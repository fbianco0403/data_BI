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指引" sheetId="1" state="visible" r:id="rId1"/>
    <sheet xmlns:r="http://schemas.openxmlformats.org/officeDocument/2006/relationships" name="维度字典" sheetId="2" state="visible" r:id="rId2"/>
    <sheet xmlns:r="http://schemas.openxmlformats.org/officeDocument/2006/relationships" name="目标填报" sheetId="3" state="visible" r:id="rId3"/>
    <sheet xmlns:r="http://schemas.openxmlformats.org/officeDocument/2006/relationships" name="系统实绩导入" sheetId="4" state="visible" r:id="rId4"/>
    <sheet xmlns:r="http://schemas.openxmlformats.org/officeDocument/2006/relationships" name="达成看板" sheetId="5" state="visible" r:id="rId5"/>
    <sheet xmlns:r="http://schemas.openxmlformats.org/officeDocument/2006/relationships" name="经营汇总" sheetId="6" state="visible" r:id="rId6"/>
    <sheet xmlns:r="http://schemas.openxmlformats.org/officeDocument/2006/relationships" name="行业经营分析表" sheetId="7" state="visible" r:id="rId7"/>
    <sheet xmlns:r="http://schemas.openxmlformats.org/officeDocument/2006/relationships" name="业务员目标管理表" sheetId="8" state="visible" r:id="rId8"/>
  </sheets>
  <definedNames>
    <definedName name="LIST_INDUSTRY">OFFSET('维度字典'!$A$2,0,0,COUNTA('维度字典'!$A$2:$A$200),1)</definedName>
    <definedName name="LIST_SALESPERSON">OFFSET('维度字典'!$C$2,0,0,COUNTA('维度字典'!$C$2:$C$200),1)</definedName>
    <definedName name="LIST_PRODUCT">OFFSET('维度字典'!$E$2,0,0,COUNTA('维度字典'!$E$2:$E$200),1)</definedName>
    <definedName name="LIST_REGION">OFFSET('维度字典'!$G$2,0,0,COUNTA('维度字典'!$G$2:$G$200),1)</definedName>
    <definedName name="LIST_METRIC_TARGET">OFFSET('维度字典'!$I$2,0,0,COUNTA('维度字典'!$I$2:$I$200),1)</definedName>
    <definedName name="LIST_METRIC_SYS">OFFSET('维度字典'!$M$2,0,0,COUNTA('维度字典'!$M$2:$M$200),1)</definedName>
    <definedName name="LIST_MONTH">'维度字典'!$U$2:$U$13</definedName>
    <definedName name="_xlnm._FilterDatabase" localSheetId="2" hidden="1">'目标填报'!$A$3:$U$1500</definedName>
    <definedName name="_xlnm._FilterDatabase" localSheetId="3" hidden="1">'系统实绩导入'!$A$3:$T$1500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&quot;月&quot;"/>
    <numFmt numFmtId="166" formatCode="0.0%"/>
    <numFmt numFmtId="167" formatCode="+#,##0.00;-#,##0.00;0.00"/>
    <numFmt numFmtId="168" formatCode="+#,##0.00;-#,##0.00;0"/>
  </numFmts>
  <fonts count="12">
    <font>
      <name val="Calibri"/>
      <family val="2"/>
      <color theme="1"/>
      <sz val="11"/>
      <scheme val="minor"/>
    </font>
    <font>
      <name val="微软雅黑"/>
      <b val="1"/>
      <color rgb="001F4E78"/>
      <sz val="16"/>
    </font>
    <font>
      <name val="微软雅黑"/>
      <color rgb="00808080"/>
      <sz val="10"/>
    </font>
    <font>
      <name val="微软雅黑"/>
      <b val="1"/>
      <color rgb="002E75B6"/>
      <sz val="12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color rgb="001F4E78"/>
      <sz val="14"/>
    </font>
    <font>
      <name val="微软雅黑"/>
      <b val="1"/>
      <color rgb="00FFFFFF"/>
      <sz val="10"/>
    </font>
    <font>
      <name val="微软雅黑"/>
      <b val="1"/>
      <color rgb="007F6000"/>
      <sz val="10"/>
    </font>
    <font>
      <name val="微软雅黑"/>
      <b val="1"/>
      <color rgb="001F4E78"/>
      <sz val="13"/>
    </font>
    <font>
      <name val="微软雅黑"/>
      <b val="1"/>
      <sz val="10"/>
    </font>
    <font>
      <name val="微软雅黑"/>
      <b val="1"/>
      <color rgb="007F6000"/>
      <sz val="11"/>
    </font>
  </fonts>
  <fills count="1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DE9D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ED7D31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9D9D9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1" fontId="4" fillId="12" borderId="1" applyAlignment="1" pivotButton="0" quotePrefix="0" xfId="0">
      <alignment horizontal="center" vertical="center" wrapText="1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4" fontId="4" fillId="7" borderId="1" applyAlignment="1" applyProtection="1" pivotButton="0" quotePrefix="0" xfId="0">
      <alignment horizontal="right" vertical="center"/>
      <protection locked="0" hidden="0"/>
    </xf>
    <xf numFmtId="4" fontId="4" fillId="12" borderId="1" applyAlignment="1" applyProtection="1" pivotButton="0" quotePrefix="0" xfId="0">
      <alignment horizontal="right" vertical="center"/>
      <protection locked="0" hidden="0"/>
    </xf>
    <xf numFmtId="0" fontId="4" fillId="14" borderId="1" applyAlignment="1" applyProtection="1" pivotButton="0" quotePrefix="0" xfId="0">
      <alignment horizontal="left" vertical="center" wrapText="1"/>
      <protection locked="0" hidden="0"/>
    </xf>
    <xf numFmtId="0" fontId="9" fillId="0" borderId="0" pivotButton="0" quotePrefix="0" xfId="0"/>
    <xf numFmtId="0" fontId="10" fillId="0" borderId="0" applyAlignment="1" pivotButton="0" quotePrefix="0" xfId="0">
      <alignment horizontal="right" vertical="center"/>
    </xf>
    <xf numFmtId="1" fontId="10" fillId="6" borderId="1" applyAlignment="1" applyProtection="1" pivotButton="0" quotePrefix="0" xfId="0">
      <alignment horizontal="center" vertical="center" wrapText="1"/>
      <protection locked="0" hidden="0"/>
    </xf>
    <xf numFmtId="0" fontId="4" fillId="2" borderId="1" applyAlignment="1" pivotButton="0" quotePrefix="0" xfId="0">
      <alignment horizontal="right" vertical="center"/>
    </xf>
    <xf numFmtId="4" fontId="4" fillId="12" borderId="1" applyAlignment="1" pivotButton="0" quotePrefix="0" xfId="0">
      <alignment horizontal="right" vertical="center"/>
    </xf>
    <xf numFmtId="166" fontId="4" fillId="12" borderId="1" applyAlignment="1" pivotButton="0" quotePrefix="0" xfId="0">
      <alignment horizontal="right" vertical="center"/>
    </xf>
    <xf numFmtId="167" fontId="4" fillId="12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right" vertical="center"/>
    </xf>
    <xf numFmtId="4" fontId="10" fillId="12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7" borderId="1" applyAlignment="1" pivotButton="0" quotePrefix="0" xfId="0">
      <alignment horizontal="right" vertical="center"/>
    </xf>
    <xf numFmtId="166" fontId="10" fillId="12" borderId="1" applyAlignment="1" pivotButton="0" quotePrefix="0" xfId="0">
      <alignment horizontal="right" vertical="center"/>
    </xf>
    <xf numFmtId="9" fontId="4" fillId="7" borderId="1" applyAlignment="1" pivotButton="0" quotePrefix="0" xfId="0">
      <alignment horizontal="right" vertical="center"/>
    </xf>
    <xf numFmtId="9" fontId="10" fillId="12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8" fontId="10" fillId="12" borderId="1" applyAlignment="1" pivotButton="0" quotePrefix="0" xfId="0">
      <alignment horizontal="right" vertical="center"/>
    </xf>
    <xf numFmtId="0" fontId="0" fillId="1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66" fontId="4" fillId="7" borderId="1" applyAlignment="1" applyProtection="1" pivotButton="0" quotePrefix="0" xfId="0">
      <alignment horizontal="right" vertical="center"/>
      <protection locked="0" hidden="0"/>
    </xf>
    <xf numFmtId="166" fontId="4" fillId="12" borderId="1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 hidden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50" customWidth="1" min="3" max="3"/>
    <col width="30" customWidth="1" min="4" max="4"/>
  </cols>
  <sheetData>
    <row r="2">
      <c r="B2" s="1" t="inlineStr">
        <is>
          <t>目标填报模板（SBU行业管理·按产品/行业/月份）v10</t>
        </is>
      </c>
    </row>
    <row r="3">
      <c r="B3" s="2" t="inlineStr">
        <is>
          <t>三层职责分离：目标填报（业务员唯一填报入口：年初设目标 + 月末填管道实际值）→ 系统实绩导入（管理员粘贴BI数据）→ 达成看板（全自动计算）</t>
        </is>
      </c>
    </row>
    <row r="5">
      <c r="B5" s="3" t="inlineStr">
        <is>
          <t>一、模板结构</t>
        </is>
      </c>
    </row>
    <row r="6" ht="18" customHeight="1">
      <c r="B6" s="4" t="inlineStr">
        <is>
          <t>「维度字典」维护行业/业务员/产品(钎焊、可拆)/区域/指标/参数，所有下拉自动联动。其中「目标填报指标」登记业务员可填报的全部 7 项指标及全年汇总方式；「实绩指标目录」只登记 BI 系统计算的指标（业务人员不填），是看板口径的权威清单。金额单位为万元。</t>
        </is>
      </c>
    </row>
    <row r="7" ht="18" customHeight="1">
      <c r="B7" s="4" t="inlineStr">
        <is>
          <t>「目标填报」业务员唯一填报表：每行 = 业务员×行业×产品×指标。①年初设定 5 类目标（销售目标额/毛利目标/毛利率目标/在手订单目标/目标客户机会目标），全年可修改，修改后所有达成率自动重算，并在「目标修订记录」列登记修改说明；②每月末在「在手订单」「目标客户机会」两行更新当月末最新实际值。</t>
        </is>
      </c>
    </row>
    <row r="8" ht="18" customHeight="1">
      <c r="B8" s="4" t="inlineStr">
        <is>
          <t>「系统实绩导入」BI 系统数据落地区：指标仅实绩销售额/实绩毛利，数据管理员每月从系统报表导出后粘贴当月列；业务人员不得修改。</t>
        </is>
      </c>
    </row>
    <row r="9" ht="18" customHeight="1">
      <c r="B9" s="4" t="inlineStr">
        <is>
          <t>「达成看板」全公式自动计算，无需填写：当期达成（本月销售额/毛利/毛利率/目标/达成率）、全年累计达成（累计/毛利率/年度目标/达成率/与目标差距）、管道充裕度（在手订单及目标与达成率、目标客户机会及目标与达成率）、下期预测（预测合计/剩余目标/预测达成率/预测与目标差距）；顶部可切换统计月份；组合行由维度字典自动展开，字典增删自动增减。</t>
        </is>
      </c>
    </row>
    <row r="10" ht="18" customHeight="1">
      <c r="B10" s="4" t="inlineStr">
        <is>
          <t>「经营汇总」产品×行业、业务员×产品、产品×月份、行业×月份 四块矩阵，公式自动。</t>
        </is>
      </c>
    </row>
    <row r="11" ht="18" customHeight="1">
      <c r="B11" s="4" t="inlineStr">
        <is>
          <t>「行业经营分析表」「业务员目标管理表」Word 样式汇报表，选月份/业务员后数字全自动。</t>
        </is>
      </c>
    </row>
    <row r="13">
      <c r="B13" s="3" t="inlineStr">
        <is>
          <t>二、填报规则（重点）</t>
        </is>
      </c>
    </row>
    <row r="14" ht="18" customHeight="1">
      <c r="B14" s="4" t="inlineStr">
        <is>
          <t>1. 一行 = 一个「业务员+行业+产品+指标」组合；同一组合同一指标只填一行，勿重复。</t>
        </is>
      </c>
    </row>
    <row r="15" ht="18" customHeight="1">
      <c r="B15" s="4" t="inlineStr">
        <is>
          <t>2. 目标填报：选好四个维度后，把 12 个月的值横向填入。目标类指标（销售/毛利/毛利率/在手订单目标/目标客户机会目标）年初设定、全年可改；「在手订单」「目标客户机会」为时点实际值，每月末只更新当月列。</t>
        </is>
      </c>
    </row>
    <row r="16" ht="18" customHeight="1">
      <c r="B16" s="4" t="inlineStr">
        <is>
          <t>3. 系统实绩导入：管理员每月把 BI 系统报表的当月销售额/毛利粘贴到对应组合行、当月列；历史月份不回改，如系统数据修正请整月替换。</t>
        </is>
      </c>
    </row>
    <row r="17" ht="18" customHeight="1">
      <c r="B17" s="4" t="inlineStr">
        <is>
          <t>4. 时点值指标（在手订单/目标客户机会及其目标）全年汇总自动取「最新一个月」的值，不做累加；求和类（销售/毛利）全年汇总=逐月累加。</t>
        </is>
      </c>
    </row>
    <row r="18" ht="18" customHeight="1">
      <c r="B18" s="4" t="inlineStr">
        <is>
          <t>5. 差异分析等文字填在最后一列备注中。</t>
        </is>
      </c>
    </row>
    <row r="19" ht="18" customHeight="1">
      <c r="B19" s="4" t="inlineStr">
        <is>
          <t>6. 每个填报指标在「维度字典」的「汇总方式」列定义全年汇总算法，共三种：求和（销售额/毛利类，留空默认）、最新值（时点值，取最后一个月）、手工录入（毛利率目标等比率指标）。</t>
        </is>
      </c>
    </row>
    <row r="20" ht="18" customHeight="1">
      <c r="B20" s="4" t="inlineStr">
        <is>
          <t>7. 「手工录入」类指标的填法：月度列照常逐月填各月目标值（如各月毛利率目标，直接输入 15% 或 0.15）；全年汇总格自动变黄，由填写人直接录入年度值。录入后可将该格格式改为百分比显示。</t>
        </is>
      </c>
    </row>
    <row r="22">
      <c r="B22" s="3" t="inlineStr">
        <is>
          <t>三、口径与公式</t>
        </is>
      </c>
    </row>
    <row r="23" ht="18" customHeight="1">
      <c r="B23" s="4" t="inlineStr">
        <is>
          <t>毛利率 = 毛利 ÷ 销售额；本月目标达成率 = 本月实绩 ÷ 本月目标（当月目标未填时自动回退用 年度目标÷12）。</t>
        </is>
      </c>
    </row>
    <row r="24" ht="18" customHeight="1">
      <c r="B24" s="4" t="inlineStr">
        <is>
          <t>累计（1-X月）= 统计月份及之前各月之和；累计达成率 = 累计实绩 ÷ 年度目标；与目标差距 = 累计实绩 − 年度目标。</t>
        </is>
      </c>
    </row>
    <row r="25" ht="18" customHeight="1">
      <c r="B25" s="4" t="inlineStr">
        <is>
          <t>管道充裕度：在手订单达成率 = 当月在手订单 ÷ 当月在手订单目标；目标客户机会达成率同口径（时点值，不累计）。</t>
        </is>
      </c>
    </row>
    <row r="26" ht="18" customHeight="1">
      <c r="B26" s="4" t="inlineStr">
        <is>
          <t>预测合计 = 在手订单 + 目标客户机会（均取自目标填报当月列）；预测与目标差距 = 预测合计 − (年度目标 − 累计销售额)。</t>
        </is>
      </c>
    </row>
    <row r="27" ht="18" customHeight="1">
      <c r="B27" s="4" t="inlineStr">
        <is>
          <t>金额单位：万元；目标年度见「维度字典」参数。</t>
        </is>
      </c>
    </row>
    <row r="29">
      <c r="B29" s="3" t="inlineStr">
        <is>
          <t>四、稳定性保障</t>
        </is>
      </c>
    </row>
    <row r="30" ht="18" customHeight="1">
      <c r="B30" s="4" t="inlineStr">
        <is>
          <t>1. 全部维度下拉选择，月度单元格仅允许非负数字，禁止文本。</t>
        </is>
      </c>
    </row>
    <row r="31" ht="18" customHeight="1">
      <c r="B31" s="4" t="inlineStr">
        <is>
          <t>2. 序号、全年汇总为公式并锁定；工作表保护开启（无密码，可撤销），保护状态下仍可筛选。</t>
        </is>
      </c>
    </row>
    <row r="32" ht="18" customHeight="1">
      <c r="B32" s="4" t="inlineStr">
        <is>
          <t>3. 颜色分区：白=填写 / 浅橙=产品 / 浅蓝=指标 / 浅黄=月份表头 / 灰=公式。</t>
        </is>
      </c>
    </row>
    <row r="33" ht="18" customHeight="1">
      <c r="B33" s="4" t="inlineStr">
        <is>
          <t>4. 冻结窗格：左侧维度列与顶部表头始终可见。</t>
        </is>
      </c>
    </row>
    <row r="35">
      <c r="B35" s="3" t="inlineStr">
        <is>
          <t>五、扩展维度</t>
        </is>
      </c>
    </row>
    <row r="36" ht="18" customHeight="1">
      <c r="B36" s="4" t="inlineStr">
        <is>
          <t>1. 新增行业/业务员/产品：在「维度字典」对应列空白处加名即可，下拉与汇总自动出现。</t>
        </is>
      </c>
    </row>
    <row r="37" ht="18" customHeight="1">
      <c r="B37" s="4" t="inlineStr">
        <is>
          <t>2. 区域列已预留（可不填）；如需启用按区域统计，填上即可。</t>
        </is>
      </c>
    </row>
    <row r="38" ht="18" customHeight="1">
      <c r="B38" s="4" t="inlineStr">
        <is>
          <t>3. 产品需要更细型号：直接在「产品」字典追加（如 钎焊-A型）。</t>
        </is>
      </c>
    </row>
    <row r="39" ht="18" customHeight="1">
      <c r="B39" s="4" t="inlineStr">
        <is>
          <t>4. 两张汇报表按五大行业固定布局（对应 Word 样式），行业改名自动联动；新增第 6 个行业需在汇总表扩列。</t>
        </is>
      </c>
    </row>
    <row r="41">
      <c r="B41" s="3" t="inlineStr">
        <is>
          <t>六、红绿灯（达成率）</t>
        </is>
      </c>
    </row>
    <row r="42" ht="18" customHeight="1">
      <c r="B42" s="4" t="inlineStr">
        <is>
          <t>阈值在「维度字典」参数区维护（默认 黄线≥60%、绿线≥80%），改参数即全局生效，无需改任何公式。</t>
        </is>
      </c>
    </row>
  </sheetData>
  <mergeCells count="29">
    <mergeCell ref="B11:D11"/>
    <mergeCell ref="B42:D42"/>
    <mergeCell ref="B14:D14"/>
    <mergeCell ref="B23:D23"/>
    <mergeCell ref="B8:D8"/>
    <mergeCell ref="B17:D17"/>
    <mergeCell ref="B38:D38"/>
    <mergeCell ref="B10:D10"/>
    <mergeCell ref="B19:D19"/>
    <mergeCell ref="B37:D37"/>
    <mergeCell ref="B9:D9"/>
    <mergeCell ref="B30:D30"/>
    <mergeCell ref="B15:D15"/>
    <mergeCell ref="B6:D6"/>
    <mergeCell ref="B24:D24"/>
    <mergeCell ref="B20:D20"/>
    <mergeCell ref="B33:D33"/>
    <mergeCell ref="B36:D36"/>
    <mergeCell ref="B32:D32"/>
    <mergeCell ref="B26:D26"/>
    <mergeCell ref="B7:D7"/>
    <mergeCell ref="B25:D25"/>
    <mergeCell ref="B16:D16"/>
    <mergeCell ref="B3:D3"/>
    <mergeCell ref="B31:D31"/>
    <mergeCell ref="B18:D18"/>
    <mergeCell ref="B27:D27"/>
    <mergeCell ref="B39:D3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" customWidth="1" min="2" max="2"/>
    <col width="14" customWidth="1" min="3" max="3"/>
    <col width="2" customWidth="1" min="4" max="4"/>
    <col width="18" customWidth="1" min="5" max="5"/>
    <col width="2" customWidth="1" min="6" max="6"/>
    <col width="12" customWidth="1" min="7" max="7"/>
    <col width="2" customWidth="1" min="8" max="8"/>
    <col width="16" customWidth="1" min="9" max="9"/>
    <col width="12" customWidth="1" min="10" max="10"/>
    <col width="16" customWidth="1" min="11" max="11"/>
    <col width="12" customWidth="1" min="12" max="12"/>
    <col width="16" customWidth="1" min="13" max="13"/>
    <col width="12" customWidth="1" min="14" max="14"/>
    <col width="2" customWidth="1" min="17" max="17"/>
    <col width="20" customWidth="1" min="18" max="18"/>
    <col width="14" customWidth="1" min="19" max="19"/>
    <col width="2" customWidth="1" min="20" max="20"/>
    <col width="12" customWidth="1" min="21" max="21"/>
  </cols>
  <sheetData>
    <row r="1">
      <c r="A1" s="5" t="inlineStr">
        <is>
          <t>行业维度（可增删）</t>
        </is>
      </c>
      <c r="C1" s="5" t="inlineStr">
        <is>
          <t>业务员（可增删）</t>
        </is>
      </c>
      <c r="E1" s="6" t="inlineStr">
        <is>
          <t>产品（钎焊/可拆，可扩展）</t>
        </is>
      </c>
      <c r="G1" s="7" t="inlineStr">
        <is>
          <t>区域（预留）</t>
        </is>
      </c>
      <c r="I1" s="5" t="inlineStr">
        <is>
          <t>目标填报指标</t>
        </is>
      </c>
      <c r="J1" s="5" t="inlineStr">
        <is>
          <t>汇总方式</t>
        </is>
      </c>
      <c r="K1" s="5" t="inlineStr">
        <is>
          <t>实绩指标目录（BI计算）</t>
        </is>
      </c>
      <c r="L1" s="5" t="inlineStr">
        <is>
          <t>计算方式</t>
        </is>
      </c>
      <c r="M1" s="5" t="inlineStr">
        <is>
          <t>系统实绩指标</t>
        </is>
      </c>
      <c r="N1" s="5" t="inlineStr">
        <is>
          <t>汇总方式</t>
        </is>
      </c>
      <c r="R1" s="8" t="inlineStr">
        <is>
          <t>参数名</t>
        </is>
      </c>
      <c r="S1" s="8" t="inlineStr">
        <is>
          <t>参数值</t>
        </is>
      </c>
      <c r="U1" s="9" t="inlineStr">
        <is>
          <t>月份（固定1-12）</t>
        </is>
      </c>
    </row>
    <row r="2">
      <c r="A2" s="10" t="inlineStr">
        <is>
          <t>空调制冷</t>
        </is>
      </c>
      <c r="C2" s="10" t="inlineStr">
        <is>
          <t>张三</t>
        </is>
      </c>
      <c r="E2" s="11" t="inlineStr">
        <is>
          <t>钎焊</t>
        </is>
      </c>
      <c r="G2" s="10" t="inlineStr">
        <is>
          <t>华东</t>
        </is>
      </c>
      <c r="I2" s="12" t="inlineStr">
        <is>
          <t>销售目标额</t>
        </is>
      </c>
      <c r="J2" s="13" t="inlineStr">
        <is>
          <t>求和</t>
        </is>
      </c>
      <c r="K2" s="12" t="inlineStr">
        <is>
          <t>本月销售额</t>
        </is>
      </c>
      <c r="L2" s="13" t="inlineStr">
        <is>
          <t>系统计算</t>
        </is>
      </c>
      <c r="M2" s="12" t="inlineStr">
        <is>
          <t>实绩销售额</t>
        </is>
      </c>
      <c r="N2" s="13" t="inlineStr">
        <is>
          <t>求和</t>
        </is>
      </c>
      <c r="R2" s="14" t="inlineStr">
        <is>
          <t>目标年度（默认）</t>
        </is>
      </c>
      <c r="S2" s="15" t="n">
        <v>2027</v>
      </c>
      <c r="U2" s="16" t="n">
        <v>1</v>
      </c>
    </row>
    <row r="3">
      <c r="A3" s="10" t="inlineStr">
        <is>
          <t>工业制冷</t>
        </is>
      </c>
      <c r="C3" s="10" t="inlineStr">
        <is>
          <t>李四</t>
        </is>
      </c>
      <c r="E3" s="11" t="inlineStr">
        <is>
          <t>可拆</t>
        </is>
      </c>
      <c r="G3" s="10" t="inlineStr">
        <is>
          <t>华南</t>
        </is>
      </c>
      <c r="I3" s="12" t="inlineStr">
        <is>
          <t>毛利目标</t>
        </is>
      </c>
      <c r="J3" s="13" t="inlineStr">
        <is>
          <t>求和</t>
        </is>
      </c>
      <c r="K3" s="12" t="inlineStr">
        <is>
          <t>本月毛利</t>
        </is>
      </c>
      <c r="L3" s="13" t="inlineStr">
        <is>
          <t>系统计算</t>
        </is>
      </c>
      <c r="M3" s="12" t="inlineStr">
        <is>
          <t>实绩毛利</t>
        </is>
      </c>
      <c r="N3" s="13" t="inlineStr">
        <is>
          <t>求和</t>
        </is>
      </c>
      <c r="R3" s="14" t="inlineStr">
        <is>
          <t>达成率·黄线（≥）</t>
        </is>
      </c>
      <c r="S3" s="17" t="n">
        <v>0.6</v>
      </c>
      <c r="U3" s="16" t="n">
        <v>2</v>
      </c>
    </row>
    <row r="4">
      <c r="A4" s="10" t="inlineStr">
        <is>
          <t>船舶行业</t>
        </is>
      </c>
      <c r="C4" s="10" t="inlineStr">
        <is>
          <t>王五</t>
        </is>
      </c>
      <c r="G4" s="10" t="inlineStr">
        <is>
          <t>华北</t>
        </is>
      </c>
      <c r="I4" s="12" t="inlineStr">
        <is>
          <t>毛利率目标</t>
        </is>
      </c>
      <c r="J4" s="13" t="inlineStr">
        <is>
          <t>手工录入</t>
        </is>
      </c>
      <c r="K4" s="12" t="inlineStr">
        <is>
          <t>本月毛利率</t>
        </is>
      </c>
      <c r="L4" s="13" t="inlineStr">
        <is>
          <t>系统计算</t>
        </is>
      </c>
      <c r="R4" s="14" t="inlineStr">
        <is>
          <t>达成率·绿线（≥）</t>
        </is>
      </c>
      <c r="S4" s="17" t="n">
        <v>0.8</v>
      </c>
      <c r="U4" s="16" t="n">
        <v>3</v>
      </c>
    </row>
    <row r="5">
      <c r="A5" s="10" t="inlineStr">
        <is>
          <t>储能行业</t>
        </is>
      </c>
      <c r="I5" s="12" t="inlineStr">
        <is>
          <t>在手订单目标</t>
        </is>
      </c>
      <c r="J5" s="13" t="inlineStr">
        <is>
          <t>最新值</t>
        </is>
      </c>
      <c r="K5" s="12" t="inlineStr">
        <is>
          <t>本月目标达成率</t>
        </is>
      </c>
      <c r="L5" s="13" t="inlineStr">
        <is>
          <t>系统计算</t>
        </is>
      </c>
      <c r="R5" s="14" t="inlineStr">
        <is>
          <t>金额单位</t>
        </is>
      </c>
      <c r="S5" s="10" t="inlineStr">
        <is>
          <t>万元</t>
        </is>
      </c>
      <c r="U5" s="16" t="n">
        <v>4</v>
      </c>
    </row>
    <row r="6">
      <c r="A6" s="10" t="inlineStr">
        <is>
          <t>数据中心</t>
        </is>
      </c>
      <c r="I6" s="12" t="inlineStr">
        <is>
          <t>目标客户机会目标</t>
        </is>
      </c>
      <c r="J6" s="13" t="inlineStr">
        <is>
          <t>最新值</t>
        </is>
      </c>
      <c r="K6" s="12" t="inlineStr">
        <is>
          <t>累计销售额</t>
        </is>
      </c>
      <c r="L6" s="13" t="inlineStr">
        <is>
          <t>系统计算</t>
        </is>
      </c>
      <c r="U6" s="16" t="n">
        <v>5</v>
      </c>
    </row>
    <row r="7">
      <c r="I7" s="12" t="inlineStr">
        <is>
          <t>在手订单</t>
        </is>
      </c>
      <c r="J7" s="13" t="inlineStr">
        <is>
          <t>最新值</t>
        </is>
      </c>
      <c r="K7" s="12" t="inlineStr">
        <is>
          <t>累计毛利</t>
        </is>
      </c>
      <c r="L7" s="13" t="inlineStr">
        <is>
          <t>系统计算</t>
        </is>
      </c>
      <c r="U7" s="16" t="n">
        <v>6</v>
      </c>
    </row>
    <row r="8">
      <c r="I8" s="12" t="inlineStr">
        <is>
          <t>目标客户机会</t>
        </is>
      </c>
      <c r="J8" s="13" t="inlineStr">
        <is>
          <t>最新值</t>
        </is>
      </c>
      <c r="K8" s="12" t="inlineStr">
        <is>
          <t>累计毛利率</t>
        </is>
      </c>
      <c r="L8" s="13" t="inlineStr">
        <is>
          <t>系统计算</t>
        </is>
      </c>
      <c r="U8" s="16" t="n">
        <v>7</v>
      </c>
    </row>
    <row r="9">
      <c r="K9" s="12" t="inlineStr">
        <is>
          <t>累计达成率</t>
        </is>
      </c>
      <c r="L9" s="13" t="inlineStr">
        <is>
          <t>系统计算</t>
        </is>
      </c>
      <c r="U9" s="16" t="n">
        <v>8</v>
      </c>
    </row>
    <row r="10">
      <c r="K10" s="12" t="inlineStr">
        <is>
          <t>与目标差距</t>
        </is>
      </c>
      <c r="L10" s="13" t="inlineStr">
        <is>
          <t>系统计算</t>
        </is>
      </c>
      <c r="U10" s="16" t="n">
        <v>9</v>
      </c>
    </row>
    <row r="11">
      <c r="K11" s="12" t="inlineStr">
        <is>
          <t>在手订单达成率</t>
        </is>
      </c>
      <c r="L11" s="13" t="inlineStr">
        <is>
          <t>系统计算</t>
        </is>
      </c>
      <c r="U11" s="16" t="n">
        <v>10</v>
      </c>
    </row>
    <row r="12">
      <c r="K12" s="12" t="inlineStr">
        <is>
          <t>目标客户机会达成率</t>
        </is>
      </c>
      <c r="L12" s="13" t="inlineStr">
        <is>
          <t>系统计算</t>
        </is>
      </c>
      <c r="U12" s="16" t="n">
        <v>11</v>
      </c>
    </row>
    <row r="13">
      <c r="K13" s="12" t="inlineStr">
        <is>
          <t>预测合计</t>
        </is>
      </c>
      <c r="L13" s="13" t="inlineStr">
        <is>
          <t>系统计算</t>
        </is>
      </c>
      <c r="U13" s="16" t="n">
        <v>12</v>
      </c>
    </row>
    <row r="14">
      <c r="K14" s="12" t="inlineStr">
        <is>
          <t>剩余目标</t>
        </is>
      </c>
      <c r="L14" s="13" t="inlineStr">
        <is>
          <t>系统计算</t>
        </is>
      </c>
    </row>
    <row r="15">
      <c r="K15" s="12" t="inlineStr">
        <is>
          <t>预测达成率</t>
        </is>
      </c>
      <c r="L15" s="13" t="inlineStr">
        <is>
          <t>系统计算</t>
        </is>
      </c>
    </row>
    <row r="16">
      <c r="K16" s="12" t="inlineStr">
        <is>
          <t>预测与目标差距</t>
        </is>
      </c>
      <c r="L16" s="13" t="inlineStr">
        <is>
          <t>系统计算</t>
        </is>
      </c>
    </row>
  </sheetData>
  <dataValidations count="2">
    <dataValidation sqref="J2:J50 N2:N50" showDropDown="0" showInputMessage="0" showErrorMessage="1" allowBlank="1" error="汇总方式请选择：求和 / 最新值 / 手工录入（留空默认求和）" type="list">
      <formula1>"求和,最新值,手工录入"</formula1>
    </dataValidation>
    <dataValidation sqref="L2:L50" showDropDown="0" showInputMessage="0" showErrorMessage="1" allowBlank="1" error="计算方式请选择：系统计算 / 最新值" type="list">
      <formula1>"系统计算,最新值"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00"/>
  <sheetViews>
    <sheetView workbookViewId="0">
      <pane xSplit="6" ySplit="3" topLeftCell="G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5" customWidth="1" min="4" max="4"/>
    <col width="11" customWidth="1" min="5" max="5"/>
    <col width="18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13" customWidth="1" min="19" max="19"/>
    <col width="26" customWidth="1" min="20" max="20"/>
    <col width="22" customWidth="1" min="21" max="21"/>
  </cols>
  <sheetData>
    <row r="1" ht="24" customHeight="1">
      <c r="A1" s="18" t="inlineStr">
        <is>
          <t>目标填报（按月）—— 业务员唯一填报入口：①年初设定5类目标（销售/毛利/毛利率/在手订单目标/目标客户机会目标，全年可改）；②每月末更新「在手订单」「目标客户机会」实际值</t>
        </is>
      </c>
    </row>
    <row r="2" ht="20" customHeight="1">
      <c r="A2" s="19" t="inlineStr"/>
      <c r="B2" s="19" t="inlineStr">
        <is>
          <t>填报维度（下拉选择）</t>
        </is>
      </c>
      <c r="C2" s="60" t="n"/>
      <c r="D2" s="60" t="n"/>
      <c r="E2" s="60" t="n"/>
      <c r="F2" s="61" t="n"/>
      <c r="G2" s="19" t="inlineStr">
        <is>
          <t>月度填报（万元）—— 当月填当列</t>
        </is>
      </c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1" t="n"/>
      <c r="S2" s="19" t="inlineStr">
        <is>
          <t>全年</t>
        </is>
      </c>
      <c r="T2" s="19" t="inlineStr">
        <is>
          <t>备注</t>
        </is>
      </c>
    </row>
    <row r="3" ht="30" customHeight="1">
      <c r="A3" s="21" t="inlineStr">
        <is>
          <t>序号</t>
        </is>
      </c>
      <c r="B3" s="21" t="inlineStr">
        <is>
          <t>业务员*</t>
        </is>
      </c>
      <c r="C3" s="21" t="inlineStr">
        <is>
          <t>应用行业*</t>
        </is>
      </c>
      <c r="D3" s="22" t="inlineStr">
        <is>
          <t>产品*(钎焊/可拆)</t>
        </is>
      </c>
      <c r="E3" s="23" t="inlineStr">
        <is>
          <t>区域(预留)</t>
        </is>
      </c>
      <c r="F3" s="24" t="inlineStr">
        <is>
          <t>填报指标*</t>
        </is>
      </c>
      <c r="G3" s="25" t="n">
        <v>1</v>
      </c>
      <c r="H3" s="25" t="n">
        <v>2</v>
      </c>
      <c r="I3" s="25" t="n">
        <v>3</v>
      </c>
      <c r="J3" s="25" t="n">
        <v>4</v>
      </c>
      <c r="K3" s="25" t="n">
        <v>5</v>
      </c>
      <c r="L3" s="25" t="n">
        <v>6</v>
      </c>
      <c r="M3" s="25" t="n">
        <v>7</v>
      </c>
      <c r="N3" s="25" t="n">
        <v>8</v>
      </c>
      <c r="O3" s="25" t="n">
        <v>9</v>
      </c>
      <c r="P3" s="25" t="n">
        <v>10</v>
      </c>
      <c r="Q3" s="25" t="n">
        <v>11</v>
      </c>
      <c r="R3" s="25" t="n">
        <v>12</v>
      </c>
      <c r="S3" s="19" t="inlineStr">
        <is>
          <t>全年汇总
(自动/录入)</t>
        </is>
      </c>
      <c r="T3" s="19" t="inlineStr">
        <is>
          <t>差异分析/备注</t>
        </is>
      </c>
      <c r="U3" s="19" t="inlineStr">
        <is>
          <t>目标修订记录</t>
        </is>
      </c>
    </row>
    <row r="4">
      <c r="A4" s="26">
        <f>IF($B4="","",ROW()-3)</f>
        <v/>
      </c>
      <c r="B4" s="27" t="inlineStr">
        <is>
          <t>张三</t>
        </is>
      </c>
      <c r="C4" s="27" t="inlineStr">
        <is>
          <t>空调制冷</t>
        </is>
      </c>
      <c r="D4" s="28" t="inlineStr">
        <is>
          <t>钎焊</t>
        </is>
      </c>
      <c r="E4" s="29" t="inlineStr">
        <is>
          <t>华东</t>
        </is>
      </c>
      <c r="F4" s="30" t="inlineStr">
        <is>
          <t>销售目标额</t>
        </is>
      </c>
      <c r="G4" s="31" t="n">
        <v>62</v>
      </c>
      <c r="H4" s="31" t="n">
        <v>53</v>
      </c>
      <c r="I4" s="31" t="n">
        <v>71</v>
      </c>
      <c r="J4" s="31" t="n">
        <v>79</v>
      </c>
      <c r="K4" s="31" t="n">
        <v>79</v>
      </c>
      <c r="L4" s="31" t="n">
        <v>88</v>
      </c>
      <c r="M4" s="31" t="n">
        <v>88</v>
      </c>
      <c r="N4" s="31" t="n">
        <v>79</v>
      </c>
      <c r="O4" s="31" t="n">
        <v>79</v>
      </c>
      <c r="P4" s="31" t="n">
        <v>79</v>
      </c>
      <c r="Q4" s="31" t="n">
        <v>71</v>
      </c>
      <c r="R4" s="31" t="n">
        <v>53</v>
      </c>
      <c r="S4" s="32">
        <f>IF($F4="","",IF(IFERROR(VLOOKUP($F4,'维度字典'!$I$2:$J$50,2,0),"求和")="手工录入","",IF(IFERROR(VLOOKUP($F4,'维度字典'!$I$2:$J$50,2,0),"求和")="最新值",IFERROR(LOOKUP(9.99E+307,G4:R4),""),SUM(G4:R4))))</f>
        <v/>
      </c>
      <c r="T4" s="33" t="n"/>
      <c r="U4" s="33" t="inlineStr">
        <is>
          <t>3月经营会调增：数据中心钎焊 +20</t>
        </is>
      </c>
    </row>
    <row r="5">
      <c r="A5" s="26">
        <f>IF($B5="","",ROW()-3)</f>
        <v/>
      </c>
      <c r="B5" s="27" t="inlineStr">
        <is>
          <t>张三</t>
        </is>
      </c>
      <c r="C5" s="27" t="inlineStr">
        <is>
          <t>空调制冷</t>
        </is>
      </c>
      <c r="D5" s="28" t="inlineStr">
        <is>
          <t>钎焊</t>
        </is>
      </c>
      <c r="E5" s="29" t="inlineStr">
        <is>
          <t>华东</t>
        </is>
      </c>
      <c r="F5" s="30" t="inlineStr">
        <is>
          <t>毛利目标</t>
        </is>
      </c>
      <c r="G5" s="31" t="n">
        <v>9.300000000000001</v>
      </c>
      <c r="H5" s="31" t="n">
        <v>7.9</v>
      </c>
      <c r="I5" s="31" t="n">
        <v>10.6</v>
      </c>
      <c r="J5" s="31" t="n">
        <v>11.9</v>
      </c>
      <c r="K5" s="31" t="n">
        <v>11.9</v>
      </c>
      <c r="L5" s="31" t="n">
        <v>13.2</v>
      </c>
      <c r="M5" s="31" t="n">
        <v>13.2</v>
      </c>
      <c r="N5" s="31" t="n">
        <v>11.9</v>
      </c>
      <c r="O5" s="31" t="n">
        <v>11.9</v>
      </c>
      <c r="P5" s="31" t="n">
        <v>11.9</v>
      </c>
      <c r="Q5" s="31" t="n">
        <v>10.6</v>
      </c>
      <c r="R5" s="31" t="n">
        <v>7.9</v>
      </c>
      <c r="S5" s="32">
        <f>IF($F5="","",IF(IFERROR(VLOOKUP($F5,'维度字典'!$I$2:$J$50,2,0),"求和")="手工录入","",IF(IFERROR(VLOOKUP($F5,'维度字典'!$I$2:$J$50,2,0),"求和")="最新值",IFERROR(LOOKUP(9.99E+307,G5:R5),""),SUM(G5:R5))))</f>
        <v/>
      </c>
      <c r="T5" s="33" t="n"/>
      <c r="U5" s="33" t="n"/>
    </row>
    <row r="6">
      <c r="A6" s="26">
        <f>IF($B6="","",ROW()-3)</f>
        <v/>
      </c>
      <c r="B6" s="27" t="inlineStr">
        <is>
          <t>张三</t>
        </is>
      </c>
      <c r="C6" s="27" t="inlineStr">
        <is>
          <t>空调制冷</t>
        </is>
      </c>
      <c r="D6" s="28" t="inlineStr">
        <is>
          <t>钎焊</t>
        </is>
      </c>
      <c r="E6" s="29" t="inlineStr">
        <is>
          <t>华东</t>
        </is>
      </c>
      <c r="F6" s="30" t="inlineStr">
        <is>
          <t>毛利率目标</t>
        </is>
      </c>
      <c r="G6" s="62" t="n">
        <v>0.144</v>
      </c>
      <c r="H6" s="62" t="n">
        <v>0.1452</v>
      </c>
      <c r="I6" s="62" t="n">
        <v>0.1464</v>
      </c>
      <c r="J6" s="62" t="n">
        <v>0.1476</v>
      </c>
      <c r="K6" s="62" t="n">
        <v>0.1488</v>
      </c>
      <c r="L6" s="62" t="n">
        <v>0.15</v>
      </c>
      <c r="M6" s="62" t="n">
        <v>0.1512</v>
      </c>
      <c r="N6" s="62" t="n">
        <v>0.1524</v>
      </c>
      <c r="O6" s="62" t="n">
        <v>0.1536</v>
      </c>
      <c r="P6" s="62" t="n">
        <v>0.1548</v>
      </c>
      <c r="Q6" s="62" t="n">
        <v>0.156</v>
      </c>
      <c r="R6" s="62" t="n">
        <v>0.1572</v>
      </c>
      <c r="S6" s="63" t="n">
        <v>0.15</v>
      </c>
      <c r="T6" s="33" t="n"/>
      <c r="U6" s="33" t="n"/>
    </row>
    <row r="7">
      <c r="A7" s="26">
        <f>IF($B7="","",ROW()-3)</f>
        <v/>
      </c>
      <c r="B7" s="27" t="inlineStr">
        <is>
          <t>张三</t>
        </is>
      </c>
      <c r="C7" s="27" t="inlineStr">
        <is>
          <t>空调制冷</t>
        </is>
      </c>
      <c r="D7" s="28" t="inlineStr">
        <is>
          <t>钎焊</t>
        </is>
      </c>
      <c r="E7" s="29" t="inlineStr">
        <is>
          <t>华东</t>
        </is>
      </c>
      <c r="F7" s="30" t="inlineStr">
        <is>
          <t>在手订单目标</t>
        </is>
      </c>
      <c r="G7" s="31" t="n">
        <v>104</v>
      </c>
      <c r="H7" s="31" t="n">
        <v>106</v>
      </c>
      <c r="I7" s="31" t="n">
        <v>107</v>
      </c>
      <c r="J7" s="31" t="n">
        <v>109</v>
      </c>
      <c r="K7" s="31" t="n">
        <v>110</v>
      </c>
      <c r="L7" s="31" t="n">
        <v>112</v>
      </c>
      <c r="M7" s="31" t="n">
        <v>113</v>
      </c>
      <c r="N7" s="31" t="n">
        <v>115</v>
      </c>
      <c r="O7" s="31" t="n">
        <v>116</v>
      </c>
      <c r="P7" s="31" t="n">
        <v>118</v>
      </c>
      <c r="Q7" s="31" t="n">
        <v>119</v>
      </c>
      <c r="R7" s="31" t="n">
        <v>121</v>
      </c>
      <c r="S7" s="32">
        <f>IF($F7="","",IF(IFERROR(VLOOKUP($F7,'维度字典'!$I$2:$J$50,2,0),"求和")="手工录入","",IF(IFERROR(VLOOKUP($F7,'维度字典'!$I$2:$J$50,2,0),"求和")="最新值",IFERROR(LOOKUP(9.99E+307,G7:R7),""),SUM(G7:R7))))</f>
        <v/>
      </c>
      <c r="T7" s="33" t="n"/>
      <c r="U7" s="33" t="inlineStr">
        <is>
          <t>6月调整：客户A项目延期，7-9月各 -10</t>
        </is>
      </c>
    </row>
    <row r="8">
      <c r="A8" s="26">
        <f>IF($B8="","",ROW()-3)</f>
        <v/>
      </c>
      <c r="B8" s="27" t="inlineStr">
        <is>
          <t>张三</t>
        </is>
      </c>
      <c r="C8" s="27" t="inlineStr">
        <is>
          <t>空调制冷</t>
        </is>
      </c>
      <c r="D8" s="28" t="inlineStr">
        <is>
          <t>钎焊</t>
        </is>
      </c>
      <c r="E8" s="29" t="inlineStr">
        <is>
          <t>华东</t>
        </is>
      </c>
      <c r="F8" s="30" t="inlineStr">
        <is>
          <t>目标客户机会目标</t>
        </is>
      </c>
      <c r="G8" s="31" t="n">
        <v>75</v>
      </c>
      <c r="H8" s="31" t="n">
        <v>76</v>
      </c>
      <c r="I8" s="31" t="n">
        <v>78</v>
      </c>
      <c r="J8" s="31" t="n">
        <v>79</v>
      </c>
      <c r="K8" s="31" t="n">
        <v>81</v>
      </c>
      <c r="L8" s="31" t="n">
        <v>82</v>
      </c>
      <c r="M8" s="31" t="n">
        <v>84</v>
      </c>
      <c r="N8" s="31" t="n">
        <v>85</v>
      </c>
      <c r="O8" s="31" t="n">
        <v>87</v>
      </c>
      <c r="P8" s="31" t="n">
        <v>88</v>
      </c>
      <c r="Q8" s="31" t="n">
        <v>90</v>
      </c>
      <c r="R8" s="31" t="n">
        <v>91</v>
      </c>
      <c r="S8" s="32">
        <f>IF($F8="","",IF(IFERROR(VLOOKUP($F8,'维度字典'!$I$2:$J$50,2,0),"求和")="手工录入","",IF(IFERROR(VLOOKUP($F8,'维度字典'!$I$2:$J$50,2,0),"求和")="最新值",IFERROR(LOOKUP(9.99E+307,G8:R8),""),SUM(G8:R8))))</f>
        <v/>
      </c>
      <c r="T8" s="33" t="n"/>
      <c r="U8" s="33" t="n"/>
    </row>
    <row r="9">
      <c r="A9" s="26">
        <f>IF($B9="","",ROW()-3)</f>
        <v/>
      </c>
      <c r="B9" s="27" t="inlineStr">
        <is>
          <t>张三</t>
        </is>
      </c>
      <c r="C9" s="27" t="inlineStr">
        <is>
          <t>空调制冷</t>
        </is>
      </c>
      <c r="D9" s="28" t="inlineStr">
        <is>
          <t>钎焊</t>
        </is>
      </c>
      <c r="E9" s="29" t="inlineStr">
        <is>
          <t>华东</t>
        </is>
      </c>
      <c r="F9" s="30" t="inlineStr">
        <is>
          <t>在手订单</t>
        </is>
      </c>
      <c r="G9" s="31" t="n">
        <v>104</v>
      </c>
      <c r="H9" s="31" t="n">
        <v>106</v>
      </c>
      <c r="I9" s="31" t="n">
        <v>107</v>
      </c>
      <c r="J9" s="31" t="n">
        <v>109</v>
      </c>
      <c r="K9" s="31" t="n">
        <v>110</v>
      </c>
      <c r="L9" s="31" t="n">
        <v>112</v>
      </c>
      <c r="M9" s="31" t="n">
        <v>113</v>
      </c>
      <c r="N9" s="31" t="n">
        <v>115</v>
      </c>
      <c r="O9" s="31" t="n">
        <v>116</v>
      </c>
      <c r="P9" s="31" t="n">
        <v>118</v>
      </c>
      <c r="Q9" s="31" t="n">
        <v>119</v>
      </c>
      <c r="R9" s="31" t="n">
        <v>121</v>
      </c>
      <c r="S9" s="32">
        <f>IF($F9="","",IF(IFERROR(VLOOKUP($F9,'维度字典'!$I$2:$J$50,2,0),"求和")="手工录入","",IF(IFERROR(VLOOKUP($F9,'维度字典'!$I$2:$J$50,2,0),"求和")="最新值",IFERROR(LOOKUP(9.99E+307,G9:R9),""),SUM(G9:R9))))</f>
        <v/>
      </c>
      <c r="T9" s="33" t="inlineStr">
        <is>
          <t>管道充足：大客户在手订单集中，交付节奏稳定</t>
        </is>
      </c>
      <c r="U9" s="33" t="n"/>
    </row>
    <row r="10">
      <c r="A10" s="26">
        <f>IF($B10="","",ROW()-3)</f>
        <v/>
      </c>
      <c r="B10" s="27" t="inlineStr">
        <is>
          <t>张三</t>
        </is>
      </c>
      <c r="C10" s="27" t="inlineStr">
        <is>
          <t>空调制冷</t>
        </is>
      </c>
      <c r="D10" s="28" t="inlineStr">
        <is>
          <t>钎焊</t>
        </is>
      </c>
      <c r="E10" s="29" t="inlineStr">
        <is>
          <t>华东</t>
        </is>
      </c>
      <c r="F10" s="30" t="inlineStr">
        <is>
          <t>目标客户机会</t>
        </is>
      </c>
      <c r="G10" s="31" t="n">
        <v>64</v>
      </c>
      <c r="H10" s="31" t="n">
        <v>65</v>
      </c>
      <c r="I10" s="31" t="n">
        <v>66</v>
      </c>
      <c r="J10" s="31" t="n">
        <v>67</v>
      </c>
      <c r="K10" s="31" t="n">
        <v>69</v>
      </c>
      <c r="L10" s="31" t="n">
        <v>70</v>
      </c>
      <c r="M10" s="31" t="n">
        <v>71</v>
      </c>
      <c r="N10" s="31" t="n">
        <v>72</v>
      </c>
      <c r="O10" s="31" t="n">
        <v>74</v>
      </c>
      <c r="P10" s="31" t="n">
        <v>75</v>
      </c>
      <c r="Q10" s="31" t="n">
        <v>77</v>
      </c>
      <c r="R10" s="31" t="n">
        <v>77</v>
      </c>
      <c r="S10" s="32">
        <f>IF($F10="","",IF(IFERROR(VLOOKUP($F10,'维度字典'!$I$2:$J$50,2,0),"求和")="手工录入","",IF(IFERROR(VLOOKUP($F10,'维度字典'!$I$2:$J$50,2,0),"求和")="最新值",IFERROR(LOOKUP(9.99E+307,G10:R10),""),SUM(G10:R10))))</f>
        <v/>
      </c>
      <c r="T10" s="33" t="n"/>
      <c r="U10" s="33" t="n"/>
    </row>
    <row r="11">
      <c r="A11" s="26">
        <f>IF($B11="","",ROW()-3)</f>
        <v/>
      </c>
      <c r="B11" s="27" t="inlineStr">
        <is>
          <t>张三</t>
        </is>
      </c>
      <c r="C11" s="27" t="inlineStr">
        <is>
          <t>空调制冷</t>
        </is>
      </c>
      <c r="D11" s="28" t="inlineStr">
        <is>
          <t>可拆</t>
        </is>
      </c>
      <c r="E11" s="29" t="inlineStr">
        <is>
          <t>华东</t>
        </is>
      </c>
      <c r="F11" s="30" t="inlineStr">
        <is>
          <t>销售目标额</t>
        </is>
      </c>
      <c r="G11" s="31" t="n">
        <v>26</v>
      </c>
      <c r="H11" s="31" t="n">
        <v>23</v>
      </c>
      <c r="I11" s="31" t="n">
        <v>30</v>
      </c>
      <c r="J11" s="31" t="n">
        <v>34</v>
      </c>
      <c r="K11" s="31" t="n">
        <v>34</v>
      </c>
      <c r="L11" s="31" t="n">
        <v>38</v>
      </c>
      <c r="M11" s="31" t="n">
        <v>38</v>
      </c>
      <c r="N11" s="31" t="n">
        <v>34</v>
      </c>
      <c r="O11" s="31" t="n">
        <v>34</v>
      </c>
      <c r="P11" s="31" t="n">
        <v>34</v>
      </c>
      <c r="Q11" s="31" t="n">
        <v>30</v>
      </c>
      <c r="R11" s="31" t="n">
        <v>23</v>
      </c>
      <c r="S11" s="32">
        <f>IF($F11="","",IF(IFERROR(VLOOKUP($F11,'维度字典'!$I$2:$J$50,2,0),"求和")="手工录入","",IF(IFERROR(VLOOKUP($F11,'维度字典'!$I$2:$J$50,2,0),"求和")="最新值",IFERROR(LOOKUP(9.99E+307,G11:R11),""),SUM(G11:R11))))</f>
        <v/>
      </c>
      <c r="T11" s="33" t="n"/>
      <c r="U11" s="33" t="n"/>
    </row>
    <row r="12">
      <c r="A12" s="26">
        <f>IF($B12="","",ROW()-3)</f>
        <v/>
      </c>
      <c r="B12" s="27" t="inlineStr">
        <is>
          <t>张三</t>
        </is>
      </c>
      <c r="C12" s="27" t="inlineStr">
        <is>
          <t>空调制冷</t>
        </is>
      </c>
      <c r="D12" s="28" t="inlineStr">
        <is>
          <t>可拆</t>
        </is>
      </c>
      <c r="E12" s="29" t="inlineStr">
        <is>
          <t>华东</t>
        </is>
      </c>
      <c r="F12" s="30" t="inlineStr">
        <is>
          <t>毛利目标</t>
        </is>
      </c>
      <c r="G12" s="31" t="n">
        <v>4</v>
      </c>
      <c r="H12" s="31" t="n">
        <v>3.4</v>
      </c>
      <c r="I12" s="31" t="n">
        <v>4.5</v>
      </c>
      <c r="J12" s="31" t="n">
        <v>5.1</v>
      </c>
      <c r="K12" s="31" t="n">
        <v>5.1</v>
      </c>
      <c r="L12" s="31" t="n">
        <v>5.7</v>
      </c>
      <c r="M12" s="31" t="n">
        <v>5.7</v>
      </c>
      <c r="N12" s="31" t="n">
        <v>5.1</v>
      </c>
      <c r="O12" s="31" t="n">
        <v>5.1</v>
      </c>
      <c r="P12" s="31" t="n">
        <v>5.1</v>
      </c>
      <c r="Q12" s="31" t="n">
        <v>4.5</v>
      </c>
      <c r="R12" s="31" t="n">
        <v>3.4</v>
      </c>
      <c r="S12" s="32">
        <f>IF($F12="","",IF(IFERROR(VLOOKUP($F12,'维度字典'!$I$2:$J$50,2,0),"求和")="手工录入","",IF(IFERROR(VLOOKUP($F12,'维度字典'!$I$2:$J$50,2,0),"求和")="最新值",IFERROR(LOOKUP(9.99E+307,G12:R12),""),SUM(G12:R12))))</f>
        <v/>
      </c>
      <c r="T12" s="33" t="n"/>
      <c r="U12" s="33" t="n"/>
    </row>
    <row r="13">
      <c r="A13" s="26">
        <f>IF($B13="","",ROW()-3)</f>
        <v/>
      </c>
      <c r="B13" s="27" t="inlineStr">
        <is>
          <t>张三</t>
        </is>
      </c>
      <c r="C13" s="27" t="inlineStr">
        <is>
          <t>空调制冷</t>
        </is>
      </c>
      <c r="D13" s="28" t="inlineStr">
        <is>
          <t>可拆</t>
        </is>
      </c>
      <c r="E13" s="29" t="inlineStr">
        <is>
          <t>华东</t>
        </is>
      </c>
      <c r="F13" s="30" t="inlineStr">
        <is>
          <t>毛利率目标</t>
        </is>
      </c>
      <c r="G13" s="62" t="n">
        <v>0.144</v>
      </c>
      <c r="H13" s="62" t="n">
        <v>0.1452</v>
      </c>
      <c r="I13" s="62" t="n">
        <v>0.1464</v>
      </c>
      <c r="J13" s="62" t="n">
        <v>0.1476</v>
      </c>
      <c r="K13" s="62" t="n">
        <v>0.1488</v>
      </c>
      <c r="L13" s="62" t="n">
        <v>0.15</v>
      </c>
      <c r="M13" s="62" t="n">
        <v>0.1512</v>
      </c>
      <c r="N13" s="62" t="n">
        <v>0.1524</v>
      </c>
      <c r="O13" s="62" t="n">
        <v>0.1536</v>
      </c>
      <c r="P13" s="62" t="n">
        <v>0.1548</v>
      </c>
      <c r="Q13" s="62" t="n">
        <v>0.156</v>
      </c>
      <c r="R13" s="62" t="n">
        <v>0.1572</v>
      </c>
      <c r="S13" s="63" t="n">
        <v>0.15</v>
      </c>
      <c r="T13" s="33" t="n"/>
      <c r="U13" s="33" t="n"/>
    </row>
    <row r="14">
      <c r="A14" s="26">
        <f>IF($B14="","",ROW()-3)</f>
        <v/>
      </c>
      <c r="B14" s="27" t="inlineStr">
        <is>
          <t>张三</t>
        </is>
      </c>
      <c r="C14" s="27" t="inlineStr">
        <is>
          <t>空调制冷</t>
        </is>
      </c>
      <c r="D14" s="28" t="inlineStr">
        <is>
          <t>可拆</t>
        </is>
      </c>
      <c r="E14" s="29" t="inlineStr">
        <is>
          <t>华东</t>
        </is>
      </c>
      <c r="F14" s="30" t="inlineStr">
        <is>
          <t>在手订单目标</t>
        </is>
      </c>
      <c r="G14" s="31" t="n">
        <v>45</v>
      </c>
      <c r="H14" s="31" t="n">
        <v>45</v>
      </c>
      <c r="I14" s="31" t="n">
        <v>46</v>
      </c>
      <c r="J14" s="31" t="n">
        <v>47</v>
      </c>
      <c r="K14" s="31" t="n">
        <v>47</v>
      </c>
      <c r="L14" s="31" t="n">
        <v>48</v>
      </c>
      <c r="M14" s="31" t="n">
        <v>49</v>
      </c>
      <c r="N14" s="31" t="n">
        <v>49</v>
      </c>
      <c r="O14" s="31" t="n">
        <v>50</v>
      </c>
      <c r="P14" s="31" t="n">
        <v>50</v>
      </c>
      <c r="Q14" s="31" t="n">
        <v>51</v>
      </c>
      <c r="R14" s="31" t="n">
        <v>52</v>
      </c>
      <c r="S14" s="32">
        <f>IF($F14="","",IF(IFERROR(VLOOKUP($F14,'维度字典'!$I$2:$J$50,2,0),"求和")="手工录入","",IF(IFERROR(VLOOKUP($F14,'维度字典'!$I$2:$J$50,2,0),"求和")="最新值",IFERROR(LOOKUP(9.99E+307,G14:R14),""),SUM(G14:R14))))</f>
        <v/>
      </c>
      <c r="T14" s="33" t="n"/>
      <c r="U14" s="33" t="n"/>
    </row>
    <row r="15">
      <c r="A15" s="26">
        <f>IF($B15="","",ROW()-3)</f>
        <v/>
      </c>
      <c r="B15" s="27" t="inlineStr">
        <is>
          <t>张三</t>
        </is>
      </c>
      <c r="C15" s="27" t="inlineStr">
        <is>
          <t>空调制冷</t>
        </is>
      </c>
      <c r="D15" s="28" t="inlineStr">
        <is>
          <t>可拆</t>
        </is>
      </c>
      <c r="E15" s="29" t="inlineStr">
        <is>
          <t>华东</t>
        </is>
      </c>
      <c r="F15" s="30" t="inlineStr">
        <is>
          <t>目标客户机会目标</t>
        </is>
      </c>
      <c r="G15" s="31" t="n">
        <v>32</v>
      </c>
      <c r="H15" s="31" t="n">
        <v>33</v>
      </c>
      <c r="I15" s="31" t="n">
        <v>33</v>
      </c>
      <c r="J15" s="31" t="n">
        <v>34</v>
      </c>
      <c r="K15" s="31" t="n">
        <v>35</v>
      </c>
      <c r="L15" s="31" t="n">
        <v>35</v>
      </c>
      <c r="M15" s="31" t="n">
        <v>36</v>
      </c>
      <c r="N15" s="31" t="n">
        <v>37</v>
      </c>
      <c r="O15" s="31" t="n">
        <v>37</v>
      </c>
      <c r="P15" s="31" t="n">
        <v>38</v>
      </c>
      <c r="Q15" s="31" t="n">
        <v>38</v>
      </c>
      <c r="R15" s="31" t="n">
        <v>39</v>
      </c>
      <c r="S15" s="32">
        <f>IF($F15="","",IF(IFERROR(VLOOKUP($F15,'维度字典'!$I$2:$J$50,2,0),"求和")="手工录入","",IF(IFERROR(VLOOKUP($F15,'维度字典'!$I$2:$J$50,2,0),"求和")="最新值",IFERROR(LOOKUP(9.99E+307,G15:R15),""),SUM(G15:R15))))</f>
        <v/>
      </c>
      <c r="T15" s="33" t="n"/>
      <c r="U15" s="33" t="n"/>
    </row>
    <row r="16">
      <c r="A16" s="26">
        <f>IF($B16="","",ROW()-3)</f>
        <v/>
      </c>
      <c r="B16" s="27" t="inlineStr">
        <is>
          <t>张三</t>
        </is>
      </c>
      <c r="C16" s="27" t="inlineStr">
        <is>
          <t>空调制冷</t>
        </is>
      </c>
      <c r="D16" s="28" t="inlineStr">
        <is>
          <t>可拆</t>
        </is>
      </c>
      <c r="E16" s="29" t="inlineStr">
        <is>
          <t>华东</t>
        </is>
      </c>
      <c r="F16" s="30" t="inlineStr">
        <is>
          <t>在手订单</t>
        </is>
      </c>
      <c r="G16" s="31" t="n">
        <v>45</v>
      </c>
      <c r="H16" s="31" t="n">
        <v>45</v>
      </c>
      <c r="I16" s="31" t="n">
        <v>46</v>
      </c>
      <c r="J16" s="31" t="n">
        <v>47</v>
      </c>
      <c r="K16" s="31" t="n">
        <v>47</v>
      </c>
      <c r="L16" s="31" t="n">
        <v>48</v>
      </c>
      <c r="M16" s="31" t="n">
        <v>49</v>
      </c>
      <c r="N16" s="31" t="n">
        <v>49</v>
      </c>
      <c r="O16" s="31" t="n">
        <v>50</v>
      </c>
      <c r="P16" s="31" t="n">
        <v>50</v>
      </c>
      <c r="Q16" s="31" t="n">
        <v>51</v>
      </c>
      <c r="R16" s="31" t="n">
        <v>52</v>
      </c>
      <c r="S16" s="32">
        <f>IF($F16="","",IF(IFERROR(VLOOKUP($F16,'维度字典'!$I$2:$J$50,2,0),"求和")="手工录入","",IF(IFERROR(VLOOKUP($F16,'维度字典'!$I$2:$J$50,2,0),"求和")="最新值",IFERROR(LOOKUP(9.99E+307,G16:R16),""),SUM(G16:R16))))</f>
        <v/>
      </c>
      <c r="T16" s="33" t="inlineStr">
        <is>
          <t>管道良好：新客户导入顺利，机会转化符合预期</t>
        </is>
      </c>
      <c r="U16" s="33" t="inlineStr">
        <is>
          <t>7月追加在手订单目标：空调制冷钎焊 +5</t>
        </is>
      </c>
    </row>
    <row r="17">
      <c r="A17" s="26">
        <f>IF($B17="","",ROW()-3)</f>
        <v/>
      </c>
      <c r="B17" s="27" t="inlineStr">
        <is>
          <t>张三</t>
        </is>
      </c>
      <c r="C17" s="27" t="inlineStr">
        <is>
          <t>空调制冷</t>
        </is>
      </c>
      <c r="D17" s="28" t="inlineStr">
        <is>
          <t>可拆</t>
        </is>
      </c>
      <c r="E17" s="29" t="inlineStr">
        <is>
          <t>华东</t>
        </is>
      </c>
      <c r="F17" s="30" t="inlineStr">
        <is>
          <t>目标客户机会</t>
        </is>
      </c>
      <c r="G17" s="31" t="n">
        <v>27</v>
      </c>
      <c r="H17" s="31" t="n">
        <v>28</v>
      </c>
      <c r="I17" s="31" t="n">
        <v>28</v>
      </c>
      <c r="J17" s="31" t="n">
        <v>29</v>
      </c>
      <c r="K17" s="31" t="n">
        <v>29</v>
      </c>
      <c r="L17" s="31" t="n">
        <v>29</v>
      </c>
      <c r="M17" s="31" t="n">
        <v>30</v>
      </c>
      <c r="N17" s="31" t="n">
        <v>31</v>
      </c>
      <c r="O17" s="31" t="n">
        <v>31</v>
      </c>
      <c r="P17" s="31" t="n">
        <v>32</v>
      </c>
      <c r="Q17" s="31" t="n">
        <v>32</v>
      </c>
      <c r="R17" s="31" t="n">
        <v>33</v>
      </c>
      <c r="S17" s="32">
        <f>IF($F17="","",IF(IFERROR(VLOOKUP($F17,'维度字典'!$I$2:$J$50,2,0),"求和")="手工录入","",IF(IFERROR(VLOOKUP($F17,'维度字典'!$I$2:$J$50,2,0),"求和")="最新值",IFERROR(LOOKUP(9.99E+307,G17:R17),""),SUM(G17:R17))))</f>
        <v/>
      </c>
      <c r="T17" s="33" t="n"/>
      <c r="U17" s="33" t="n"/>
    </row>
    <row r="18">
      <c r="A18" s="26">
        <f>IF($B18="","",ROW()-3)</f>
        <v/>
      </c>
      <c r="B18" s="27" t="inlineStr">
        <is>
          <t>张三</t>
        </is>
      </c>
      <c r="C18" s="27" t="inlineStr">
        <is>
          <t>工业制冷</t>
        </is>
      </c>
      <c r="D18" s="28" t="inlineStr">
        <is>
          <t>钎焊</t>
        </is>
      </c>
      <c r="E18" s="29" t="inlineStr">
        <is>
          <t>华东</t>
        </is>
      </c>
      <c r="F18" s="30" t="inlineStr">
        <is>
          <t>销售目标额</t>
        </is>
      </c>
      <c r="G18" s="31" t="n">
        <v>37</v>
      </c>
      <c r="H18" s="31" t="n">
        <v>32</v>
      </c>
      <c r="I18" s="31" t="n">
        <v>42</v>
      </c>
      <c r="J18" s="31" t="n">
        <v>47</v>
      </c>
      <c r="K18" s="31" t="n">
        <v>47</v>
      </c>
      <c r="L18" s="31" t="n">
        <v>52</v>
      </c>
      <c r="M18" s="31" t="n">
        <v>52</v>
      </c>
      <c r="N18" s="31" t="n">
        <v>47</v>
      </c>
      <c r="O18" s="31" t="n">
        <v>47</v>
      </c>
      <c r="P18" s="31" t="n">
        <v>47</v>
      </c>
      <c r="Q18" s="31" t="n">
        <v>42</v>
      </c>
      <c r="R18" s="31" t="n">
        <v>32</v>
      </c>
      <c r="S18" s="32">
        <f>IF($F18="","",IF(IFERROR(VLOOKUP($F18,'维度字典'!$I$2:$J$50,2,0),"求和")="手工录入","",IF(IFERROR(VLOOKUP($F18,'维度字典'!$I$2:$J$50,2,0),"求和")="最新值",IFERROR(LOOKUP(9.99E+307,G18:R18),""),SUM(G18:R18))))</f>
        <v/>
      </c>
      <c r="T18" s="33" t="n"/>
      <c r="U18" s="33" t="n"/>
    </row>
    <row r="19">
      <c r="A19" s="26">
        <f>IF($B19="","",ROW()-3)</f>
        <v/>
      </c>
      <c r="B19" s="27" t="inlineStr">
        <is>
          <t>张三</t>
        </is>
      </c>
      <c r="C19" s="27" t="inlineStr">
        <is>
          <t>工业制冷</t>
        </is>
      </c>
      <c r="D19" s="28" t="inlineStr">
        <is>
          <t>钎焊</t>
        </is>
      </c>
      <c r="E19" s="29" t="inlineStr">
        <is>
          <t>华东</t>
        </is>
      </c>
      <c r="F19" s="30" t="inlineStr">
        <is>
          <t>毛利目标</t>
        </is>
      </c>
      <c r="G19" s="31" t="n">
        <v>5.9</v>
      </c>
      <c r="H19" s="31" t="n">
        <v>5</v>
      </c>
      <c r="I19" s="31" t="n">
        <v>6.7</v>
      </c>
      <c r="J19" s="31" t="n">
        <v>7.6</v>
      </c>
      <c r="K19" s="31" t="n">
        <v>7.6</v>
      </c>
      <c r="L19" s="31" t="n">
        <v>8.4</v>
      </c>
      <c r="M19" s="31" t="n">
        <v>8.4</v>
      </c>
      <c r="N19" s="31" t="n">
        <v>7.6</v>
      </c>
      <c r="O19" s="31" t="n">
        <v>7.6</v>
      </c>
      <c r="P19" s="31" t="n">
        <v>7.6</v>
      </c>
      <c r="Q19" s="31" t="n">
        <v>6.7</v>
      </c>
      <c r="R19" s="31" t="n">
        <v>5</v>
      </c>
      <c r="S19" s="32">
        <f>IF($F19="","",IF(IFERROR(VLOOKUP($F19,'维度字典'!$I$2:$J$50,2,0),"求和")="手工录入","",IF(IFERROR(VLOOKUP($F19,'维度字典'!$I$2:$J$50,2,0),"求和")="最新值",IFERROR(LOOKUP(9.99E+307,G19:R19),""),SUM(G19:R19))))</f>
        <v/>
      </c>
      <c r="T19" s="33" t="n"/>
      <c r="U19" s="33" t="n"/>
    </row>
    <row r="20">
      <c r="A20" s="26">
        <f>IF($B20="","",ROW()-3)</f>
        <v/>
      </c>
      <c r="B20" s="27" t="inlineStr">
        <is>
          <t>张三</t>
        </is>
      </c>
      <c r="C20" s="27" t="inlineStr">
        <is>
          <t>工业制冷</t>
        </is>
      </c>
      <c r="D20" s="28" t="inlineStr">
        <is>
          <t>钎焊</t>
        </is>
      </c>
      <c r="E20" s="29" t="inlineStr">
        <is>
          <t>华东</t>
        </is>
      </c>
      <c r="F20" s="30" t="inlineStr">
        <is>
          <t>毛利率目标</t>
        </is>
      </c>
      <c r="G20" s="62" t="n">
        <v>0.1536</v>
      </c>
      <c r="H20" s="62" t="n">
        <v>0.1549</v>
      </c>
      <c r="I20" s="62" t="n">
        <v>0.1562</v>
      </c>
      <c r="J20" s="62" t="n">
        <v>0.1574</v>
      </c>
      <c r="K20" s="62" t="n">
        <v>0.1587</v>
      </c>
      <c r="L20" s="62" t="n">
        <v>0.16</v>
      </c>
      <c r="M20" s="62" t="n">
        <v>0.1613</v>
      </c>
      <c r="N20" s="62" t="n">
        <v>0.1626</v>
      </c>
      <c r="O20" s="62" t="n">
        <v>0.1638</v>
      </c>
      <c r="P20" s="62" t="n">
        <v>0.1651</v>
      </c>
      <c r="Q20" s="62" t="n">
        <v>0.1664</v>
      </c>
      <c r="R20" s="62" t="n">
        <v>0.1677</v>
      </c>
      <c r="S20" s="63" t="n">
        <v>0.16</v>
      </c>
      <c r="T20" s="33" t="n"/>
      <c r="U20" s="33" t="n"/>
    </row>
    <row r="21">
      <c r="A21" s="26">
        <f>IF($B21="","",ROW()-3)</f>
        <v/>
      </c>
      <c r="B21" s="27" t="inlineStr">
        <is>
          <t>张三</t>
        </is>
      </c>
      <c r="C21" s="27" t="inlineStr">
        <is>
          <t>工业制冷</t>
        </is>
      </c>
      <c r="D21" s="28" t="inlineStr">
        <is>
          <t>钎焊</t>
        </is>
      </c>
      <c r="E21" s="29" t="inlineStr">
        <is>
          <t>华东</t>
        </is>
      </c>
      <c r="F21" s="30" t="inlineStr">
        <is>
          <t>在手订单目标</t>
        </is>
      </c>
      <c r="G21" s="31" t="n">
        <v>62</v>
      </c>
      <c r="H21" s="31" t="n">
        <v>63</v>
      </c>
      <c r="I21" s="31" t="n">
        <v>64</v>
      </c>
      <c r="J21" s="31" t="n">
        <v>65</v>
      </c>
      <c r="K21" s="31" t="n">
        <v>66</v>
      </c>
      <c r="L21" s="31" t="n">
        <v>66</v>
      </c>
      <c r="M21" s="31" t="n">
        <v>67</v>
      </c>
      <c r="N21" s="31" t="n">
        <v>68</v>
      </c>
      <c r="O21" s="31" t="n">
        <v>69</v>
      </c>
      <c r="P21" s="31" t="n">
        <v>70</v>
      </c>
      <c r="Q21" s="31" t="n">
        <v>71</v>
      </c>
      <c r="R21" s="31" t="n">
        <v>72</v>
      </c>
      <c r="S21" s="32">
        <f>IF($F21="","",IF(IFERROR(VLOOKUP($F21,'维度字典'!$I$2:$J$50,2,0),"求和")="手工录入","",IF(IFERROR(VLOOKUP($F21,'维度字典'!$I$2:$J$50,2,0),"求和")="最新值",IFERROR(LOOKUP(9.99E+307,G21:R21),""),SUM(G21:R21))))</f>
        <v/>
      </c>
      <c r="T21" s="33" t="n"/>
      <c r="U21" s="33" t="n"/>
    </row>
    <row r="22">
      <c r="A22" s="26">
        <f>IF($B22="","",ROW()-3)</f>
        <v/>
      </c>
      <c r="B22" s="27" t="inlineStr">
        <is>
          <t>张三</t>
        </is>
      </c>
      <c r="C22" s="27" t="inlineStr">
        <is>
          <t>工业制冷</t>
        </is>
      </c>
      <c r="D22" s="28" t="inlineStr">
        <is>
          <t>钎焊</t>
        </is>
      </c>
      <c r="E22" s="29" t="inlineStr">
        <is>
          <t>华东</t>
        </is>
      </c>
      <c r="F22" s="30" t="inlineStr">
        <is>
          <t>目标客户机会目标</t>
        </is>
      </c>
      <c r="G22" s="31" t="n">
        <v>45</v>
      </c>
      <c r="H22" s="31" t="n">
        <v>46</v>
      </c>
      <c r="I22" s="31" t="n">
        <v>46</v>
      </c>
      <c r="J22" s="31" t="n">
        <v>47</v>
      </c>
      <c r="K22" s="31" t="n">
        <v>48</v>
      </c>
      <c r="L22" s="31" t="n">
        <v>49</v>
      </c>
      <c r="M22" s="31" t="n">
        <v>50</v>
      </c>
      <c r="N22" s="31" t="n">
        <v>51</v>
      </c>
      <c r="O22" s="31" t="n">
        <v>52</v>
      </c>
      <c r="P22" s="31" t="n">
        <v>52</v>
      </c>
      <c r="Q22" s="31" t="n">
        <v>53</v>
      </c>
      <c r="R22" s="31" t="n">
        <v>54</v>
      </c>
      <c r="S22" s="32">
        <f>IF($F22="","",IF(IFERROR(VLOOKUP($F22,'维度字典'!$I$2:$J$50,2,0),"求和")="手工录入","",IF(IFERROR(VLOOKUP($F22,'维度字典'!$I$2:$J$50,2,0),"求和")="最新值",IFERROR(LOOKUP(9.99E+307,G22:R22),""),SUM(G22:R22))))</f>
        <v/>
      </c>
      <c r="T22" s="33" t="n"/>
      <c r="U22" s="33" t="n"/>
    </row>
    <row r="23">
      <c r="A23" s="26">
        <f>IF($B23="","",ROW()-3)</f>
        <v/>
      </c>
      <c r="B23" s="27" t="inlineStr">
        <is>
          <t>张三</t>
        </is>
      </c>
      <c r="C23" s="27" t="inlineStr">
        <is>
          <t>工业制冷</t>
        </is>
      </c>
      <c r="D23" s="28" t="inlineStr">
        <is>
          <t>钎焊</t>
        </is>
      </c>
      <c r="E23" s="29" t="inlineStr">
        <is>
          <t>华东</t>
        </is>
      </c>
      <c r="F23" s="30" t="inlineStr">
        <is>
          <t>在手订单</t>
        </is>
      </c>
      <c r="G23" s="31" t="n">
        <v>62</v>
      </c>
      <c r="H23" s="31" t="n">
        <v>63</v>
      </c>
      <c r="I23" s="31" t="n">
        <v>64</v>
      </c>
      <c r="J23" s="31" t="n">
        <v>65</v>
      </c>
      <c r="K23" s="31" t="n">
        <v>66</v>
      </c>
      <c r="L23" s="31" t="n">
        <v>66</v>
      </c>
      <c r="M23" s="31" t="n">
        <v>67</v>
      </c>
      <c r="N23" s="31" t="n">
        <v>68</v>
      </c>
      <c r="O23" s="31" t="n">
        <v>69</v>
      </c>
      <c r="P23" s="31" t="n">
        <v>70</v>
      </c>
      <c r="Q23" s="31" t="n">
        <v>71</v>
      </c>
      <c r="R23" s="31" t="n">
        <v>72</v>
      </c>
      <c r="S23" s="32">
        <f>IF($F23="","",IF(IFERROR(VLOOKUP($F23,'维度字典'!$I$2:$J$50,2,0),"求和")="手工录入","",IF(IFERROR(VLOOKUP($F23,'维度字典'!$I$2:$J$50,2,0),"求和")="最新值",IFERROR(LOOKUP(9.99E+307,G23:R23),""),SUM(G23:R23))))</f>
        <v/>
      </c>
      <c r="T23" s="33" t="inlineStr">
        <is>
          <t>管道充足：大客户在手订单集中，交付节奏稳定</t>
        </is>
      </c>
      <c r="U23" s="33" t="n"/>
    </row>
    <row r="24">
      <c r="A24" s="26">
        <f>IF($B24="","",ROW()-3)</f>
        <v/>
      </c>
      <c r="B24" s="27" t="inlineStr">
        <is>
          <t>张三</t>
        </is>
      </c>
      <c r="C24" s="27" t="inlineStr">
        <is>
          <t>工业制冷</t>
        </is>
      </c>
      <c r="D24" s="28" t="inlineStr">
        <is>
          <t>钎焊</t>
        </is>
      </c>
      <c r="E24" s="29" t="inlineStr">
        <is>
          <t>华东</t>
        </is>
      </c>
      <c r="F24" s="30" t="inlineStr">
        <is>
          <t>目标客户机会</t>
        </is>
      </c>
      <c r="G24" s="31" t="n">
        <v>38</v>
      </c>
      <c r="H24" s="31" t="n">
        <v>39</v>
      </c>
      <c r="I24" s="31" t="n">
        <v>39</v>
      </c>
      <c r="J24" s="31" t="n">
        <v>40</v>
      </c>
      <c r="K24" s="31" t="n">
        <v>41</v>
      </c>
      <c r="L24" s="31" t="n">
        <v>42</v>
      </c>
      <c r="M24" s="31" t="n">
        <v>43</v>
      </c>
      <c r="N24" s="31" t="n">
        <v>43</v>
      </c>
      <c r="O24" s="31" t="n">
        <v>44</v>
      </c>
      <c r="P24" s="31" t="n">
        <v>44</v>
      </c>
      <c r="Q24" s="31" t="n">
        <v>45</v>
      </c>
      <c r="R24" s="31" t="n">
        <v>46</v>
      </c>
      <c r="S24" s="32">
        <f>IF($F24="","",IF(IFERROR(VLOOKUP($F24,'维度字典'!$I$2:$J$50,2,0),"求和")="手工录入","",IF(IFERROR(VLOOKUP($F24,'维度字典'!$I$2:$J$50,2,0),"求和")="最新值",IFERROR(LOOKUP(9.99E+307,G24:R24),""),SUM(G24:R24))))</f>
        <v/>
      </c>
      <c r="T24" s="33" t="n"/>
      <c r="U24" s="33" t="n"/>
    </row>
    <row r="25">
      <c r="A25" s="26">
        <f>IF($B25="","",ROW()-3)</f>
        <v/>
      </c>
      <c r="B25" s="27" t="inlineStr">
        <is>
          <t>张三</t>
        </is>
      </c>
      <c r="C25" s="27" t="inlineStr">
        <is>
          <t>工业制冷</t>
        </is>
      </c>
      <c r="D25" s="28" t="inlineStr">
        <is>
          <t>可拆</t>
        </is>
      </c>
      <c r="E25" s="29" t="inlineStr">
        <is>
          <t>华东</t>
        </is>
      </c>
      <c r="F25" s="30" t="inlineStr">
        <is>
          <t>销售目标额</t>
        </is>
      </c>
      <c r="G25" s="31" t="n">
        <v>37</v>
      </c>
      <c r="H25" s="31" t="n">
        <v>32</v>
      </c>
      <c r="I25" s="31" t="n">
        <v>42</v>
      </c>
      <c r="J25" s="31" t="n">
        <v>47</v>
      </c>
      <c r="K25" s="31" t="n">
        <v>47</v>
      </c>
      <c r="L25" s="31" t="n">
        <v>52</v>
      </c>
      <c r="M25" s="31" t="n">
        <v>52</v>
      </c>
      <c r="N25" s="31" t="n">
        <v>47</v>
      </c>
      <c r="O25" s="31" t="n">
        <v>47</v>
      </c>
      <c r="P25" s="31" t="n">
        <v>47</v>
      </c>
      <c r="Q25" s="31" t="n">
        <v>42</v>
      </c>
      <c r="R25" s="31" t="n">
        <v>32</v>
      </c>
      <c r="S25" s="32">
        <f>IF($F25="","",IF(IFERROR(VLOOKUP($F25,'维度字典'!$I$2:$J$50,2,0),"求和")="手工录入","",IF(IFERROR(VLOOKUP($F25,'维度字典'!$I$2:$J$50,2,0),"求和")="最新值",IFERROR(LOOKUP(9.99E+307,G25:R25),""),SUM(G25:R25))))</f>
        <v/>
      </c>
      <c r="T25" s="33" t="n"/>
      <c r="U25" s="33" t="n"/>
    </row>
    <row r="26">
      <c r="A26" s="26">
        <f>IF($B26="","",ROW()-3)</f>
        <v/>
      </c>
      <c r="B26" s="27" t="inlineStr">
        <is>
          <t>张三</t>
        </is>
      </c>
      <c r="C26" s="27" t="inlineStr">
        <is>
          <t>工业制冷</t>
        </is>
      </c>
      <c r="D26" s="28" t="inlineStr">
        <is>
          <t>可拆</t>
        </is>
      </c>
      <c r="E26" s="29" t="inlineStr">
        <is>
          <t>华东</t>
        </is>
      </c>
      <c r="F26" s="30" t="inlineStr">
        <is>
          <t>毛利目标</t>
        </is>
      </c>
      <c r="G26" s="31" t="n">
        <v>5.9</v>
      </c>
      <c r="H26" s="31" t="n">
        <v>5</v>
      </c>
      <c r="I26" s="31" t="n">
        <v>6.7</v>
      </c>
      <c r="J26" s="31" t="n">
        <v>7.6</v>
      </c>
      <c r="K26" s="31" t="n">
        <v>7.6</v>
      </c>
      <c r="L26" s="31" t="n">
        <v>8.4</v>
      </c>
      <c r="M26" s="31" t="n">
        <v>8.4</v>
      </c>
      <c r="N26" s="31" t="n">
        <v>7.6</v>
      </c>
      <c r="O26" s="31" t="n">
        <v>7.6</v>
      </c>
      <c r="P26" s="31" t="n">
        <v>7.6</v>
      </c>
      <c r="Q26" s="31" t="n">
        <v>6.7</v>
      </c>
      <c r="R26" s="31" t="n">
        <v>5</v>
      </c>
      <c r="S26" s="32">
        <f>IF($F26="","",IF(IFERROR(VLOOKUP($F26,'维度字典'!$I$2:$J$50,2,0),"求和")="手工录入","",IF(IFERROR(VLOOKUP($F26,'维度字典'!$I$2:$J$50,2,0),"求和")="最新值",IFERROR(LOOKUP(9.99E+307,G26:R26),""),SUM(G26:R26))))</f>
        <v/>
      </c>
      <c r="T26" s="33" t="n"/>
      <c r="U26" s="33" t="n"/>
    </row>
    <row r="27">
      <c r="A27" s="26">
        <f>IF($B27="","",ROW()-3)</f>
        <v/>
      </c>
      <c r="B27" s="27" t="inlineStr">
        <is>
          <t>张三</t>
        </is>
      </c>
      <c r="C27" s="27" t="inlineStr">
        <is>
          <t>工业制冷</t>
        </is>
      </c>
      <c r="D27" s="28" t="inlineStr">
        <is>
          <t>可拆</t>
        </is>
      </c>
      <c r="E27" s="29" t="inlineStr">
        <is>
          <t>华东</t>
        </is>
      </c>
      <c r="F27" s="30" t="inlineStr">
        <is>
          <t>毛利率目标</t>
        </is>
      </c>
      <c r="G27" s="62" t="n">
        <v>0.1536</v>
      </c>
      <c r="H27" s="62" t="n">
        <v>0.1549</v>
      </c>
      <c r="I27" s="62" t="n">
        <v>0.1562</v>
      </c>
      <c r="J27" s="62" t="n">
        <v>0.1574</v>
      </c>
      <c r="K27" s="62" t="n">
        <v>0.1587</v>
      </c>
      <c r="L27" s="62" t="n">
        <v>0.16</v>
      </c>
      <c r="M27" s="62" t="n">
        <v>0.1613</v>
      </c>
      <c r="N27" s="62" t="n">
        <v>0.1626</v>
      </c>
      <c r="O27" s="62" t="n">
        <v>0.1638</v>
      </c>
      <c r="P27" s="62" t="n">
        <v>0.1651</v>
      </c>
      <c r="Q27" s="62" t="n">
        <v>0.1664</v>
      </c>
      <c r="R27" s="62" t="n">
        <v>0.1677</v>
      </c>
      <c r="S27" s="63" t="n">
        <v>0.16</v>
      </c>
      <c r="T27" s="33" t="n"/>
      <c r="U27" s="33" t="n"/>
    </row>
    <row r="28">
      <c r="A28" s="26">
        <f>IF($B28="","",ROW()-3)</f>
        <v/>
      </c>
      <c r="B28" s="27" t="inlineStr">
        <is>
          <t>张三</t>
        </is>
      </c>
      <c r="C28" s="27" t="inlineStr">
        <is>
          <t>工业制冷</t>
        </is>
      </c>
      <c r="D28" s="28" t="inlineStr">
        <is>
          <t>可拆</t>
        </is>
      </c>
      <c r="E28" s="29" t="inlineStr">
        <is>
          <t>华东</t>
        </is>
      </c>
      <c r="F28" s="30" t="inlineStr">
        <is>
          <t>在手订单目标</t>
        </is>
      </c>
      <c r="G28" s="31" t="n">
        <v>62</v>
      </c>
      <c r="H28" s="31" t="n">
        <v>63</v>
      </c>
      <c r="I28" s="31" t="n">
        <v>64</v>
      </c>
      <c r="J28" s="31" t="n">
        <v>65</v>
      </c>
      <c r="K28" s="31" t="n">
        <v>66</v>
      </c>
      <c r="L28" s="31" t="n">
        <v>66</v>
      </c>
      <c r="M28" s="31" t="n">
        <v>67</v>
      </c>
      <c r="N28" s="31" t="n">
        <v>68</v>
      </c>
      <c r="O28" s="31" t="n">
        <v>69</v>
      </c>
      <c r="P28" s="31" t="n">
        <v>70</v>
      </c>
      <c r="Q28" s="31" t="n">
        <v>71</v>
      </c>
      <c r="R28" s="31" t="n">
        <v>72</v>
      </c>
      <c r="S28" s="32">
        <f>IF($F28="","",IF(IFERROR(VLOOKUP($F28,'维度字典'!$I$2:$J$50,2,0),"求和")="手工录入","",IF(IFERROR(VLOOKUP($F28,'维度字典'!$I$2:$J$50,2,0),"求和")="最新值",IFERROR(LOOKUP(9.99E+307,G28:R28),""),SUM(G28:R28))))</f>
        <v/>
      </c>
      <c r="T28" s="33" t="n"/>
      <c r="U28" s="33" t="n"/>
    </row>
    <row r="29">
      <c r="A29" s="26">
        <f>IF($B29="","",ROW()-3)</f>
        <v/>
      </c>
      <c r="B29" s="27" t="inlineStr">
        <is>
          <t>张三</t>
        </is>
      </c>
      <c r="C29" s="27" t="inlineStr">
        <is>
          <t>工业制冷</t>
        </is>
      </c>
      <c r="D29" s="28" t="inlineStr">
        <is>
          <t>可拆</t>
        </is>
      </c>
      <c r="E29" s="29" t="inlineStr">
        <is>
          <t>华东</t>
        </is>
      </c>
      <c r="F29" s="30" t="inlineStr">
        <is>
          <t>目标客户机会目标</t>
        </is>
      </c>
      <c r="G29" s="31" t="n">
        <v>45</v>
      </c>
      <c r="H29" s="31" t="n">
        <v>46</v>
      </c>
      <c r="I29" s="31" t="n">
        <v>46</v>
      </c>
      <c r="J29" s="31" t="n">
        <v>47</v>
      </c>
      <c r="K29" s="31" t="n">
        <v>48</v>
      </c>
      <c r="L29" s="31" t="n">
        <v>49</v>
      </c>
      <c r="M29" s="31" t="n">
        <v>50</v>
      </c>
      <c r="N29" s="31" t="n">
        <v>51</v>
      </c>
      <c r="O29" s="31" t="n">
        <v>52</v>
      </c>
      <c r="P29" s="31" t="n">
        <v>52</v>
      </c>
      <c r="Q29" s="31" t="n">
        <v>53</v>
      </c>
      <c r="R29" s="31" t="n">
        <v>54</v>
      </c>
      <c r="S29" s="32">
        <f>IF($F29="","",IF(IFERROR(VLOOKUP($F29,'维度字典'!$I$2:$J$50,2,0),"求和")="手工录入","",IF(IFERROR(VLOOKUP($F29,'维度字典'!$I$2:$J$50,2,0),"求和")="最新值",IFERROR(LOOKUP(9.99E+307,G29:R29),""),SUM(G29:R29))))</f>
        <v/>
      </c>
      <c r="T29" s="33" t="n"/>
      <c r="U29" s="33" t="n"/>
    </row>
    <row r="30">
      <c r="A30" s="26">
        <f>IF($B30="","",ROW()-3)</f>
        <v/>
      </c>
      <c r="B30" s="27" t="inlineStr">
        <is>
          <t>张三</t>
        </is>
      </c>
      <c r="C30" s="27" t="inlineStr">
        <is>
          <t>工业制冷</t>
        </is>
      </c>
      <c r="D30" s="28" t="inlineStr">
        <is>
          <t>可拆</t>
        </is>
      </c>
      <c r="E30" s="29" t="inlineStr">
        <is>
          <t>华东</t>
        </is>
      </c>
      <c r="F30" s="30" t="inlineStr">
        <is>
          <t>在手订单</t>
        </is>
      </c>
      <c r="G30" s="31" t="n">
        <v>62</v>
      </c>
      <c r="H30" s="31" t="n">
        <v>63</v>
      </c>
      <c r="I30" s="31" t="n">
        <v>64</v>
      </c>
      <c r="J30" s="31" t="n">
        <v>65</v>
      </c>
      <c r="K30" s="31" t="n">
        <v>66</v>
      </c>
      <c r="L30" s="31" t="n">
        <v>66</v>
      </c>
      <c r="M30" s="31" t="n">
        <v>67</v>
      </c>
      <c r="N30" s="31" t="n">
        <v>68</v>
      </c>
      <c r="O30" s="31" t="n">
        <v>69</v>
      </c>
      <c r="P30" s="31" t="n">
        <v>70</v>
      </c>
      <c r="Q30" s="31" t="n">
        <v>71</v>
      </c>
      <c r="R30" s="31" t="n">
        <v>72</v>
      </c>
      <c r="S30" s="32">
        <f>IF($F30="","",IF(IFERROR(VLOOKUP($F30,'维度字典'!$I$2:$J$50,2,0),"求和")="手工录入","",IF(IFERROR(VLOOKUP($F30,'维度字典'!$I$2:$J$50,2,0),"求和")="最新值",IFERROR(LOOKUP(9.99E+307,G30:R30),""),SUM(G30:R30))))</f>
        <v/>
      </c>
      <c r="T30" s="33" t="inlineStr">
        <is>
          <t>管道充足：大客户在手订单集中，交付节奏稳定</t>
        </is>
      </c>
      <c r="U30" s="33" t="n"/>
    </row>
    <row r="31">
      <c r="A31" s="26">
        <f>IF($B31="","",ROW()-3)</f>
        <v/>
      </c>
      <c r="B31" s="27" t="inlineStr">
        <is>
          <t>张三</t>
        </is>
      </c>
      <c r="C31" s="27" t="inlineStr">
        <is>
          <t>工业制冷</t>
        </is>
      </c>
      <c r="D31" s="28" t="inlineStr">
        <is>
          <t>可拆</t>
        </is>
      </c>
      <c r="E31" s="29" t="inlineStr">
        <is>
          <t>华东</t>
        </is>
      </c>
      <c r="F31" s="30" t="inlineStr">
        <is>
          <t>目标客户机会</t>
        </is>
      </c>
      <c r="G31" s="31" t="n">
        <v>38</v>
      </c>
      <c r="H31" s="31" t="n">
        <v>39</v>
      </c>
      <c r="I31" s="31" t="n">
        <v>39</v>
      </c>
      <c r="J31" s="31" t="n">
        <v>40</v>
      </c>
      <c r="K31" s="31" t="n">
        <v>41</v>
      </c>
      <c r="L31" s="31" t="n">
        <v>42</v>
      </c>
      <c r="M31" s="31" t="n">
        <v>43</v>
      </c>
      <c r="N31" s="31" t="n">
        <v>43</v>
      </c>
      <c r="O31" s="31" t="n">
        <v>44</v>
      </c>
      <c r="P31" s="31" t="n">
        <v>44</v>
      </c>
      <c r="Q31" s="31" t="n">
        <v>45</v>
      </c>
      <c r="R31" s="31" t="n">
        <v>46</v>
      </c>
      <c r="S31" s="32">
        <f>IF($F31="","",IF(IFERROR(VLOOKUP($F31,'维度字典'!$I$2:$J$50,2,0),"求和")="手工录入","",IF(IFERROR(VLOOKUP($F31,'维度字典'!$I$2:$J$50,2,0),"求和")="最新值",IFERROR(LOOKUP(9.99E+307,G31:R31),""),SUM(G31:R31))))</f>
        <v/>
      </c>
      <c r="T31" s="33" t="n"/>
      <c r="U31" s="33" t="n"/>
    </row>
    <row r="32">
      <c r="A32" s="26">
        <f>IF($B32="","",ROW()-3)</f>
        <v/>
      </c>
      <c r="B32" s="27" t="inlineStr">
        <is>
          <t>张三</t>
        </is>
      </c>
      <c r="C32" s="27" t="inlineStr">
        <is>
          <t>船舶行业</t>
        </is>
      </c>
      <c r="D32" s="28" t="inlineStr">
        <is>
          <t>钎焊</t>
        </is>
      </c>
      <c r="E32" s="29" t="inlineStr">
        <is>
          <t>华东</t>
        </is>
      </c>
      <c r="F32" s="30" t="inlineStr">
        <is>
          <t>销售目标额</t>
        </is>
      </c>
      <c r="G32" s="31" t="n">
        <v>9</v>
      </c>
      <c r="H32" s="31" t="n">
        <v>8</v>
      </c>
      <c r="I32" s="31" t="n">
        <v>11</v>
      </c>
      <c r="J32" s="31" t="n">
        <v>12</v>
      </c>
      <c r="K32" s="31" t="n">
        <v>12</v>
      </c>
      <c r="L32" s="31" t="n">
        <v>13</v>
      </c>
      <c r="M32" s="31" t="n">
        <v>13</v>
      </c>
      <c r="N32" s="31" t="n">
        <v>12</v>
      </c>
      <c r="O32" s="31" t="n">
        <v>12</v>
      </c>
      <c r="P32" s="31" t="n">
        <v>12</v>
      </c>
      <c r="Q32" s="31" t="n">
        <v>11</v>
      </c>
      <c r="R32" s="31" t="n">
        <v>8</v>
      </c>
      <c r="S32" s="32">
        <f>IF($F32="","",IF(IFERROR(VLOOKUP($F32,'维度字典'!$I$2:$J$50,2,0),"求和")="手工录入","",IF(IFERROR(VLOOKUP($F32,'维度字典'!$I$2:$J$50,2,0),"求和")="最新值",IFERROR(LOOKUP(9.99E+307,G32:R32),""),SUM(G32:R32))))</f>
        <v/>
      </c>
      <c r="T32" s="33" t="n"/>
      <c r="U32" s="33" t="n"/>
    </row>
    <row r="33">
      <c r="A33" s="26">
        <f>IF($B33="","",ROW()-3)</f>
        <v/>
      </c>
      <c r="B33" s="27" t="inlineStr">
        <is>
          <t>张三</t>
        </is>
      </c>
      <c r="C33" s="27" t="inlineStr">
        <is>
          <t>船舶行业</t>
        </is>
      </c>
      <c r="D33" s="28" t="inlineStr">
        <is>
          <t>钎焊</t>
        </is>
      </c>
      <c r="E33" s="29" t="inlineStr">
        <is>
          <t>华东</t>
        </is>
      </c>
      <c r="F33" s="30" t="inlineStr">
        <is>
          <t>毛利目标</t>
        </is>
      </c>
      <c r="G33" s="31" t="n">
        <v>1.9</v>
      </c>
      <c r="H33" s="31" t="n">
        <v>1.6</v>
      </c>
      <c r="I33" s="31" t="n">
        <v>2.1</v>
      </c>
      <c r="J33" s="31" t="n">
        <v>2.4</v>
      </c>
      <c r="K33" s="31" t="n">
        <v>2.4</v>
      </c>
      <c r="L33" s="31" t="n">
        <v>2.7</v>
      </c>
      <c r="M33" s="31" t="n">
        <v>2.7</v>
      </c>
      <c r="N33" s="31" t="n">
        <v>2.4</v>
      </c>
      <c r="O33" s="31" t="n">
        <v>2.4</v>
      </c>
      <c r="P33" s="31" t="n">
        <v>2.4</v>
      </c>
      <c r="Q33" s="31" t="n">
        <v>2.1</v>
      </c>
      <c r="R33" s="31" t="n">
        <v>1.6</v>
      </c>
      <c r="S33" s="32">
        <f>IF($F33="","",IF(IFERROR(VLOOKUP($F33,'维度字典'!$I$2:$J$50,2,0),"求和")="手工录入","",IF(IFERROR(VLOOKUP($F33,'维度字典'!$I$2:$J$50,2,0),"求和")="最新值",IFERROR(LOOKUP(9.99E+307,G33:R33),""),SUM(G33:R33))))</f>
        <v/>
      </c>
      <c r="T33" s="33" t="n"/>
      <c r="U33" s="33" t="n"/>
    </row>
    <row r="34">
      <c r="A34" s="26">
        <f>IF($B34="","",ROW()-3)</f>
        <v/>
      </c>
      <c r="B34" s="27" t="inlineStr">
        <is>
          <t>张三</t>
        </is>
      </c>
      <c r="C34" s="27" t="inlineStr">
        <is>
          <t>船舶行业</t>
        </is>
      </c>
      <c r="D34" s="28" t="inlineStr">
        <is>
          <t>钎焊</t>
        </is>
      </c>
      <c r="E34" s="29" t="inlineStr">
        <is>
          <t>华东</t>
        </is>
      </c>
      <c r="F34" s="30" t="inlineStr">
        <is>
          <t>毛利率目标</t>
        </is>
      </c>
      <c r="G34" s="62" t="n">
        <v>0.192</v>
      </c>
      <c r="H34" s="62" t="n">
        <v>0.1936</v>
      </c>
      <c r="I34" s="62" t="n">
        <v>0.1952</v>
      </c>
      <c r="J34" s="62" t="n">
        <v>0.1968</v>
      </c>
      <c r="K34" s="62" t="n">
        <v>0.1984</v>
      </c>
      <c r="L34" s="62" t="n">
        <v>0.2</v>
      </c>
      <c r="M34" s="62" t="n">
        <v>0.2016</v>
      </c>
      <c r="N34" s="62" t="n">
        <v>0.2032</v>
      </c>
      <c r="O34" s="62" t="n">
        <v>0.2048</v>
      </c>
      <c r="P34" s="62" t="n">
        <v>0.2064</v>
      </c>
      <c r="Q34" s="62" t="n">
        <v>0.208</v>
      </c>
      <c r="R34" s="62" t="n">
        <v>0.2096</v>
      </c>
      <c r="S34" s="63" t="n">
        <v>0.2</v>
      </c>
      <c r="T34" s="33" t="n"/>
      <c r="U34" s="33" t="n"/>
    </row>
    <row r="35">
      <c r="A35" s="26">
        <f>IF($B35="","",ROW()-3)</f>
        <v/>
      </c>
      <c r="B35" s="27" t="inlineStr">
        <is>
          <t>张三</t>
        </is>
      </c>
      <c r="C35" s="27" t="inlineStr">
        <is>
          <t>船舶行业</t>
        </is>
      </c>
      <c r="D35" s="28" t="inlineStr">
        <is>
          <t>钎焊</t>
        </is>
      </c>
      <c r="E35" s="29" t="inlineStr">
        <is>
          <t>华东</t>
        </is>
      </c>
      <c r="F35" s="30" t="inlineStr">
        <is>
          <t>在手订单目标</t>
        </is>
      </c>
      <c r="G35" s="31" t="n">
        <v>16</v>
      </c>
      <c r="H35" s="31" t="n">
        <v>16</v>
      </c>
      <c r="I35" s="31" t="n">
        <v>16</v>
      </c>
      <c r="J35" s="31" t="n">
        <v>17</v>
      </c>
      <c r="K35" s="31" t="n">
        <v>17</v>
      </c>
      <c r="L35" s="31" t="n">
        <v>17</v>
      </c>
      <c r="M35" s="31" t="n">
        <v>17</v>
      </c>
      <c r="N35" s="31" t="n">
        <v>17</v>
      </c>
      <c r="O35" s="31" t="n">
        <v>18</v>
      </c>
      <c r="P35" s="31" t="n">
        <v>18</v>
      </c>
      <c r="Q35" s="31" t="n">
        <v>18</v>
      </c>
      <c r="R35" s="31" t="n">
        <v>18</v>
      </c>
      <c r="S35" s="32">
        <f>IF($F35="","",IF(IFERROR(VLOOKUP($F35,'维度字典'!$I$2:$J$50,2,0),"求和")="手工录入","",IF(IFERROR(VLOOKUP($F35,'维度字典'!$I$2:$J$50,2,0),"求和")="最新值",IFERROR(LOOKUP(9.99E+307,G35:R35),""),SUM(G35:R35))))</f>
        <v/>
      </c>
      <c r="T35" s="33" t="n"/>
      <c r="U35" s="33" t="n"/>
    </row>
    <row r="36">
      <c r="A36" s="26">
        <f>IF($B36="","",ROW()-3)</f>
        <v/>
      </c>
      <c r="B36" s="27" t="inlineStr">
        <is>
          <t>张三</t>
        </is>
      </c>
      <c r="C36" s="27" t="inlineStr">
        <is>
          <t>船舶行业</t>
        </is>
      </c>
      <c r="D36" s="28" t="inlineStr">
        <is>
          <t>钎焊</t>
        </is>
      </c>
      <c r="E36" s="29" t="inlineStr">
        <is>
          <t>华东</t>
        </is>
      </c>
      <c r="F36" s="30" t="inlineStr">
        <is>
          <t>目标客户机会目标</t>
        </is>
      </c>
      <c r="G36" s="31" t="n">
        <v>11</v>
      </c>
      <c r="H36" s="31" t="n">
        <v>12</v>
      </c>
      <c r="I36" s="31" t="n">
        <v>12</v>
      </c>
      <c r="J36" s="31" t="n">
        <v>12</v>
      </c>
      <c r="K36" s="31" t="n">
        <v>12</v>
      </c>
      <c r="L36" s="31" t="n">
        <v>13</v>
      </c>
      <c r="M36" s="31" t="n">
        <v>13</v>
      </c>
      <c r="N36" s="31" t="n">
        <v>13</v>
      </c>
      <c r="O36" s="31" t="n">
        <v>13</v>
      </c>
      <c r="P36" s="31" t="n">
        <v>13</v>
      </c>
      <c r="Q36" s="31" t="n">
        <v>14</v>
      </c>
      <c r="R36" s="31" t="n">
        <v>14</v>
      </c>
      <c r="S36" s="32">
        <f>IF($F36="","",IF(IFERROR(VLOOKUP($F36,'维度字典'!$I$2:$J$50,2,0),"求和")="手工录入","",IF(IFERROR(VLOOKUP($F36,'维度字典'!$I$2:$J$50,2,0),"求和")="最新值",IFERROR(LOOKUP(9.99E+307,G36:R36),""),SUM(G36:R36))))</f>
        <v/>
      </c>
      <c r="T36" s="33" t="n"/>
      <c r="U36" s="33" t="n"/>
    </row>
    <row r="37">
      <c r="A37" s="26">
        <f>IF($B37="","",ROW()-3)</f>
        <v/>
      </c>
      <c r="B37" s="27" t="inlineStr">
        <is>
          <t>张三</t>
        </is>
      </c>
      <c r="C37" s="27" t="inlineStr">
        <is>
          <t>船舶行业</t>
        </is>
      </c>
      <c r="D37" s="28" t="inlineStr">
        <is>
          <t>钎焊</t>
        </is>
      </c>
      <c r="E37" s="29" t="inlineStr">
        <is>
          <t>华东</t>
        </is>
      </c>
      <c r="F37" s="30" t="inlineStr">
        <is>
          <t>在手订单</t>
        </is>
      </c>
      <c r="G37" s="31" t="n">
        <v>16</v>
      </c>
      <c r="H37" s="31" t="n">
        <v>16</v>
      </c>
      <c r="I37" s="31" t="n">
        <v>16</v>
      </c>
      <c r="J37" s="31" t="n">
        <v>17</v>
      </c>
      <c r="K37" s="31" t="n">
        <v>17</v>
      </c>
      <c r="L37" s="31" t="n">
        <v>17</v>
      </c>
      <c r="M37" s="31" t="n">
        <v>17</v>
      </c>
      <c r="N37" s="31" t="n">
        <v>17</v>
      </c>
      <c r="O37" s="31" t="n">
        <v>18</v>
      </c>
      <c r="P37" s="31" t="n">
        <v>18</v>
      </c>
      <c r="Q37" s="31" t="n">
        <v>18</v>
      </c>
      <c r="R37" s="31" t="n">
        <v>18</v>
      </c>
      <c r="S37" s="32">
        <f>IF($F37="","",IF(IFERROR(VLOOKUP($F37,'维度字典'!$I$2:$J$50,2,0),"求和")="手工录入","",IF(IFERROR(VLOOKUP($F37,'维度字典'!$I$2:$J$50,2,0),"求和")="最新值",IFERROR(LOOKUP(9.99E+307,G37:R37),""),SUM(G37:R37))))</f>
        <v/>
      </c>
      <c r="T37" s="33" t="inlineStr">
        <is>
          <t>管道良好：新客户导入顺利，机会转化符合预期</t>
        </is>
      </c>
      <c r="U37" s="33" t="n"/>
    </row>
    <row r="38">
      <c r="A38" s="26">
        <f>IF($B38="","",ROW()-3)</f>
        <v/>
      </c>
      <c r="B38" s="27" t="inlineStr">
        <is>
          <t>张三</t>
        </is>
      </c>
      <c r="C38" s="27" t="inlineStr">
        <is>
          <t>船舶行业</t>
        </is>
      </c>
      <c r="D38" s="28" t="inlineStr">
        <is>
          <t>钎焊</t>
        </is>
      </c>
      <c r="E38" s="29" t="inlineStr">
        <is>
          <t>华东</t>
        </is>
      </c>
      <c r="F38" s="30" t="inlineStr">
        <is>
          <t>目标客户机会</t>
        </is>
      </c>
      <c r="G38" s="31" t="n">
        <v>9</v>
      </c>
      <c r="H38" s="31" t="n">
        <v>10</v>
      </c>
      <c r="I38" s="31" t="n">
        <v>10</v>
      </c>
      <c r="J38" s="31" t="n">
        <v>10</v>
      </c>
      <c r="K38" s="31" t="n">
        <v>10</v>
      </c>
      <c r="L38" s="31" t="n">
        <v>11</v>
      </c>
      <c r="M38" s="31" t="n">
        <v>11</v>
      </c>
      <c r="N38" s="31" t="n">
        <v>11</v>
      </c>
      <c r="O38" s="31" t="n">
        <v>11</v>
      </c>
      <c r="P38" s="31" t="n">
        <v>11</v>
      </c>
      <c r="Q38" s="31" t="n">
        <v>12</v>
      </c>
      <c r="R38" s="31" t="n">
        <v>12</v>
      </c>
      <c r="S38" s="32">
        <f>IF($F38="","",IF(IFERROR(VLOOKUP($F38,'维度字典'!$I$2:$J$50,2,0),"求和")="手工录入","",IF(IFERROR(VLOOKUP($F38,'维度字典'!$I$2:$J$50,2,0),"求和")="最新值",IFERROR(LOOKUP(9.99E+307,G38:R38),""),SUM(G38:R38))))</f>
        <v/>
      </c>
      <c r="T38" s="33" t="n"/>
      <c r="U38" s="33" t="n"/>
    </row>
    <row r="39">
      <c r="A39" s="26">
        <f>IF($B39="","",ROW()-3)</f>
        <v/>
      </c>
      <c r="B39" s="27" t="inlineStr">
        <is>
          <t>张三</t>
        </is>
      </c>
      <c r="C39" s="27" t="inlineStr">
        <is>
          <t>船舶行业</t>
        </is>
      </c>
      <c r="D39" s="28" t="inlineStr">
        <is>
          <t>可拆</t>
        </is>
      </c>
      <c r="E39" s="29" t="inlineStr">
        <is>
          <t>华东</t>
        </is>
      </c>
      <c r="F39" s="30" t="inlineStr">
        <is>
          <t>销售目标额</t>
        </is>
      </c>
      <c r="G39" s="31" t="n">
        <v>14</v>
      </c>
      <c r="H39" s="31" t="n">
        <v>12</v>
      </c>
      <c r="I39" s="31" t="n">
        <v>16</v>
      </c>
      <c r="J39" s="31" t="n">
        <v>18</v>
      </c>
      <c r="K39" s="31" t="n">
        <v>18</v>
      </c>
      <c r="L39" s="31" t="n">
        <v>20</v>
      </c>
      <c r="M39" s="31" t="n">
        <v>20</v>
      </c>
      <c r="N39" s="31" t="n">
        <v>18</v>
      </c>
      <c r="O39" s="31" t="n">
        <v>18</v>
      </c>
      <c r="P39" s="31" t="n">
        <v>18</v>
      </c>
      <c r="Q39" s="31" t="n">
        <v>16</v>
      </c>
      <c r="R39" s="31" t="n">
        <v>12</v>
      </c>
      <c r="S39" s="32">
        <f>IF($F39="","",IF(IFERROR(VLOOKUP($F39,'维度字典'!$I$2:$J$50,2,0),"求和")="手工录入","",IF(IFERROR(VLOOKUP($F39,'维度字典'!$I$2:$J$50,2,0),"求和")="最新值",IFERROR(LOOKUP(9.99E+307,G39:R39),""),SUM(G39:R39))))</f>
        <v/>
      </c>
      <c r="T39" s="33" t="n"/>
      <c r="U39" s="33" t="n"/>
    </row>
    <row r="40">
      <c r="A40" s="26">
        <f>IF($B40="","",ROW()-3)</f>
        <v/>
      </c>
      <c r="B40" s="27" t="inlineStr">
        <is>
          <t>张三</t>
        </is>
      </c>
      <c r="C40" s="27" t="inlineStr">
        <is>
          <t>船舶行业</t>
        </is>
      </c>
      <c r="D40" s="28" t="inlineStr">
        <is>
          <t>可拆</t>
        </is>
      </c>
      <c r="E40" s="29" t="inlineStr">
        <is>
          <t>华东</t>
        </is>
      </c>
      <c r="F40" s="30" t="inlineStr">
        <is>
          <t>毛利目标</t>
        </is>
      </c>
      <c r="G40" s="31" t="n">
        <v>2.8</v>
      </c>
      <c r="H40" s="31" t="n">
        <v>2.4</v>
      </c>
      <c r="I40" s="31" t="n">
        <v>3.2</v>
      </c>
      <c r="J40" s="31" t="n">
        <v>3.6</v>
      </c>
      <c r="K40" s="31" t="n">
        <v>3.6</v>
      </c>
      <c r="L40" s="31" t="n">
        <v>4</v>
      </c>
      <c r="M40" s="31" t="n">
        <v>4</v>
      </c>
      <c r="N40" s="31" t="n">
        <v>3.6</v>
      </c>
      <c r="O40" s="31" t="n">
        <v>3.6</v>
      </c>
      <c r="P40" s="31" t="n">
        <v>3.6</v>
      </c>
      <c r="Q40" s="31" t="n">
        <v>3.2</v>
      </c>
      <c r="R40" s="31" t="n">
        <v>2.4</v>
      </c>
      <c r="S40" s="32">
        <f>IF($F40="","",IF(IFERROR(VLOOKUP($F40,'维度字典'!$I$2:$J$50,2,0),"求和")="手工录入","",IF(IFERROR(VLOOKUP($F40,'维度字典'!$I$2:$J$50,2,0),"求和")="最新值",IFERROR(LOOKUP(9.99E+307,G40:R40),""),SUM(G40:R40))))</f>
        <v/>
      </c>
      <c r="T40" s="33" t="n"/>
      <c r="U40" s="33" t="n"/>
    </row>
    <row r="41">
      <c r="A41" s="26">
        <f>IF($B41="","",ROW()-3)</f>
        <v/>
      </c>
      <c r="B41" s="27" t="inlineStr">
        <is>
          <t>张三</t>
        </is>
      </c>
      <c r="C41" s="27" t="inlineStr">
        <is>
          <t>船舶行业</t>
        </is>
      </c>
      <c r="D41" s="28" t="inlineStr">
        <is>
          <t>可拆</t>
        </is>
      </c>
      <c r="E41" s="29" t="inlineStr">
        <is>
          <t>华东</t>
        </is>
      </c>
      <c r="F41" s="30" t="inlineStr">
        <is>
          <t>毛利率目标</t>
        </is>
      </c>
      <c r="G41" s="62" t="n">
        <v>0.192</v>
      </c>
      <c r="H41" s="62" t="n">
        <v>0.1936</v>
      </c>
      <c r="I41" s="62" t="n">
        <v>0.1952</v>
      </c>
      <c r="J41" s="62" t="n">
        <v>0.1968</v>
      </c>
      <c r="K41" s="62" t="n">
        <v>0.1984</v>
      </c>
      <c r="L41" s="62" t="n">
        <v>0.2</v>
      </c>
      <c r="M41" s="62" t="n">
        <v>0.2016</v>
      </c>
      <c r="N41" s="62" t="n">
        <v>0.2032</v>
      </c>
      <c r="O41" s="62" t="n">
        <v>0.2048</v>
      </c>
      <c r="P41" s="62" t="n">
        <v>0.2064</v>
      </c>
      <c r="Q41" s="62" t="n">
        <v>0.208</v>
      </c>
      <c r="R41" s="62" t="n">
        <v>0.2096</v>
      </c>
      <c r="S41" s="63" t="n">
        <v>0.2</v>
      </c>
      <c r="T41" s="33" t="n"/>
      <c r="U41" s="33" t="n"/>
    </row>
    <row r="42">
      <c r="A42" s="26">
        <f>IF($B42="","",ROW()-3)</f>
        <v/>
      </c>
      <c r="B42" s="27" t="inlineStr">
        <is>
          <t>张三</t>
        </is>
      </c>
      <c r="C42" s="27" t="inlineStr">
        <is>
          <t>船舶行业</t>
        </is>
      </c>
      <c r="D42" s="28" t="inlineStr">
        <is>
          <t>可拆</t>
        </is>
      </c>
      <c r="E42" s="29" t="inlineStr">
        <is>
          <t>华东</t>
        </is>
      </c>
      <c r="F42" s="30" t="inlineStr">
        <is>
          <t>在手订单目标</t>
        </is>
      </c>
      <c r="G42" s="31" t="n">
        <v>24</v>
      </c>
      <c r="H42" s="31" t="n">
        <v>24</v>
      </c>
      <c r="I42" s="31" t="n">
        <v>25</v>
      </c>
      <c r="J42" s="31" t="n">
        <v>25</v>
      </c>
      <c r="K42" s="31" t="n">
        <v>25</v>
      </c>
      <c r="L42" s="31" t="n">
        <v>26</v>
      </c>
      <c r="M42" s="31" t="n">
        <v>26</v>
      </c>
      <c r="N42" s="31" t="n">
        <v>26</v>
      </c>
      <c r="O42" s="31" t="n">
        <v>27</v>
      </c>
      <c r="P42" s="31" t="n">
        <v>27</v>
      </c>
      <c r="Q42" s="31" t="n">
        <v>27</v>
      </c>
      <c r="R42" s="31" t="n">
        <v>28</v>
      </c>
      <c r="S42" s="32">
        <f>IF($F42="","",IF(IFERROR(VLOOKUP($F42,'维度字典'!$I$2:$J$50,2,0),"求和")="手工录入","",IF(IFERROR(VLOOKUP($F42,'维度字典'!$I$2:$J$50,2,0),"求和")="最新值",IFERROR(LOOKUP(9.99E+307,G42:R42),""),SUM(G42:R42))))</f>
        <v/>
      </c>
      <c r="T42" s="33" t="n"/>
      <c r="U42" s="33" t="n"/>
    </row>
    <row r="43">
      <c r="A43" s="26">
        <f>IF($B43="","",ROW()-3)</f>
        <v/>
      </c>
      <c r="B43" s="27" t="inlineStr">
        <is>
          <t>张三</t>
        </is>
      </c>
      <c r="C43" s="27" t="inlineStr">
        <is>
          <t>船舶行业</t>
        </is>
      </c>
      <c r="D43" s="28" t="inlineStr">
        <is>
          <t>可拆</t>
        </is>
      </c>
      <c r="E43" s="29" t="inlineStr">
        <is>
          <t>华东</t>
        </is>
      </c>
      <c r="F43" s="30" t="inlineStr">
        <is>
          <t>目标客户机会目标</t>
        </is>
      </c>
      <c r="G43" s="31" t="n">
        <v>17</v>
      </c>
      <c r="H43" s="31" t="n">
        <v>18</v>
      </c>
      <c r="I43" s="31" t="n">
        <v>18</v>
      </c>
      <c r="J43" s="31" t="n">
        <v>18</v>
      </c>
      <c r="K43" s="31" t="n">
        <v>19</v>
      </c>
      <c r="L43" s="31" t="n">
        <v>19</v>
      </c>
      <c r="M43" s="31" t="n">
        <v>19</v>
      </c>
      <c r="N43" s="31" t="n">
        <v>20</v>
      </c>
      <c r="O43" s="31" t="n">
        <v>20</v>
      </c>
      <c r="P43" s="31" t="n">
        <v>20</v>
      </c>
      <c r="Q43" s="31" t="n">
        <v>21</v>
      </c>
      <c r="R43" s="31" t="n">
        <v>21</v>
      </c>
      <c r="S43" s="32">
        <f>IF($F43="","",IF(IFERROR(VLOOKUP($F43,'维度字典'!$I$2:$J$50,2,0),"求和")="手工录入","",IF(IFERROR(VLOOKUP($F43,'维度字典'!$I$2:$J$50,2,0),"求和")="最新值",IFERROR(LOOKUP(9.99E+307,G43:R43),""),SUM(G43:R43))))</f>
        <v/>
      </c>
      <c r="T43" s="33" t="n"/>
      <c r="U43" s="33" t="n"/>
    </row>
    <row r="44">
      <c r="A44" s="26">
        <f>IF($B44="","",ROW()-3)</f>
        <v/>
      </c>
      <c r="B44" s="27" t="inlineStr">
        <is>
          <t>张三</t>
        </is>
      </c>
      <c r="C44" s="27" t="inlineStr">
        <is>
          <t>船舶行业</t>
        </is>
      </c>
      <c r="D44" s="28" t="inlineStr">
        <is>
          <t>可拆</t>
        </is>
      </c>
      <c r="E44" s="29" t="inlineStr">
        <is>
          <t>华东</t>
        </is>
      </c>
      <c r="F44" s="30" t="inlineStr">
        <is>
          <t>在手订单</t>
        </is>
      </c>
      <c r="G44" s="31" t="n">
        <v>23</v>
      </c>
      <c r="H44" s="31" t="n">
        <v>23</v>
      </c>
      <c r="I44" s="31" t="n">
        <v>24</v>
      </c>
      <c r="J44" s="31" t="n">
        <v>24</v>
      </c>
      <c r="K44" s="31" t="n">
        <v>24</v>
      </c>
      <c r="L44" s="31" t="n">
        <v>25</v>
      </c>
      <c r="M44" s="31" t="n">
        <v>25</v>
      </c>
      <c r="N44" s="31" t="n">
        <v>25</v>
      </c>
      <c r="O44" s="31" t="n">
        <v>26</v>
      </c>
      <c r="P44" s="31" t="n">
        <v>26</v>
      </c>
      <c r="Q44" s="31" t="n">
        <v>26</v>
      </c>
      <c r="R44" s="31" t="n">
        <v>27</v>
      </c>
      <c r="S44" s="32">
        <f>IF($F44="","",IF(IFERROR(VLOOKUP($F44,'维度字典'!$I$2:$J$50,2,0),"求和")="手工录入","",IF(IFERROR(VLOOKUP($F44,'维度字典'!$I$2:$J$50,2,0),"求和")="最新值",IFERROR(LOOKUP(9.99E+307,G44:R44),""),SUM(G44:R44))))</f>
        <v/>
      </c>
      <c r="T44" s="33" t="inlineStr">
        <is>
          <t>管道良好：新客户导入顺利，机会转化符合预期</t>
        </is>
      </c>
      <c r="U44" s="33" t="n"/>
    </row>
    <row r="45">
      <c r="A45" s="26">
        <f>IF($B45="","",ROW()-3)</f>
        <v/>
      </c>
      <c r="B45" s="27" t="inlineStr">
        <is>
          <t>张三</t>
        </is>
      </c>
      <c r="C45" s="27" t="inlineStr">
        <is>
          <t>船舶行业</t>
        </is>
      </c>
      <c r="D45" s="28" t="inlineStr">
        <is>
          <t>可拆</t>
        </is>
      </c>
      <c r="E45" s="29" t="inlineStr">
        <is>
          <t>华东</t>
        </is>
      </c>
      <c r="F45" s="30" t="inlineStr">
        <is>
          <t>目标客户机会</t>
        </is>
      </c>
      <c r="G45" s="31" t="n">
        <v>14</v>
      </c>
      <c r="H45" s="31" t="n">
        <v>15</v>
      </c>
      <c r="I45" s="31" t="n">
        <v>15</v>
      </c>
      <c r="J45" s="31" t="n">
        <v>15</v>
      </c>
      <c r="K45" s="31" t="n">
        <v>16</v>
      </c>
      <c r="L45" s="31" t="n">
        <v>16</v>
      </c>
      <c r="M45" s="31" t="n">
        <v>16</v>
      </c>
      <c r="N45" s="31" t="n">
        <v>16</v>
      </c>
      <c r="O45" s="31" t="n">
        <v>16</v>
      </c>
      <c r="P45" s="31" t="n">
        <v>16</v>
      </c>
      <c r="Q45" s="31" t="n">
        <v>17</v>
      </c>
      <c r="R45" s="31" t="n">
        <v>17</v>
      </c>
      <c r="S45" s="32">
        <f>IF($F45="","",IF(IFERROR(VLOOKUP($F45,'维度字典'!$I$2:$J$50,2,0),"求和")="手工录入","",IF(IFERROR(VLOOKUP($F45,'维度字典'!$I$2:$J$50,2,0),"求和")="最新值",IFERROR(LOOKUP(9.99E+307,G45:R45),""),SUM(G45:R45))))</f>
        <v/>
      </c>
      <c r="T45" s="33" t="n"/>
      <c r="U45" s="33" t="n"/>
    </row>
    <row r="46">
      <c r="A46" s="26">
        <f>IF($B46="","",ROW()-3)</f>
        <v/>
      </c>
      <c r="B46" s="27" t="inlineStr">
        <is>
          <t>张三</t>
        </is>
      </c>
      <c r="C46" s="27" t="inlineStr">
        <is>
          <t>储能行业</t>
        </is>
      </c>
      <c r="D46" s="28" t="inlineStr">
        <is>
          <t>钎焊</t>
        </is>
      </c>
      <c r="E46" s="29" t="inlineStr">
        <is>
          <t>华东</t>
        </is>
      </c>
      <c r="F46" s="30" t="inlineStr">
        <is>
          <t>销售目标额</t>
        </is>
      </c>
      <c r="G46" s="31" t="n">
        <v>5</v>
      </c>
      <c r="H46" s="31" t="n">
        <v>5</v>
      </c>
      <c r="I46" s="31" t="n">
        <v>6</v>
      </c>
      <c r="J46" s="31" t="n">
        <v>7</v>
      </c>
      <c r="K46" s="31" t="n">
        <v>7</v>
      </c>
      <c r="L46" s="31" t="n">
        <v>8</v>
      </c>
      <c r="M46" s="31" t="n">
        <v>8</v>
      </c>
      <c r="N46" s="31" t="n">
        <v>7</v>
      </c>
      <c r="O46" s="31" t="n">
        <v>7</v>
      </c>
      <c r="P46" s="31" t="n">
        <v>7</v>
      </c>
      <c r="Q46" s="31" t="n">
        <v>6</v>
      </c>
      <c r="R46" s="31" t="n">
        <v>5</v>
      </c>
      <c r="S46" s="32">
        <f>IF($F46="","",IF(IFERROR(VLOOKUP($F46,'维度字典'!$I$2:$J$50,2,0),"求和")="手工录入","",IF(IFERROR(VLOOKUP($F46,'维度字典'!$I$2:$J$50,2,0),"求和")="最新值",IFERROR(LOOKUP(9.99E+307,G46:R46),""),SUM(G46:R46))))</f>
        <v/>
      </c>
      <c r="T46" s="33" t="n"/>
      <c r="U46" s="33" t="n"/>
    </row>
    <row r="47">
      <c r="A47" s="26">
        <f>IF($B47="","",ROW()-3)</f>
        <v/>
      </c>
      <c r="B47" s="27" t="inlineStr">
        <is>
          <t>张三</t>
        </is>
      </c>
      <c r="C47" s="27" t="inlineStr">
        <is>
          <t>储能行业</t>
        </is>
      </c>
      <c r="D47" s="28" t="inlineStr">
        <is>
          <t>钎焊</t>
        </is>
      </c>
      <c r="E47" s="29" t="inlineStr">
        <is>
          <t>华东</t>
        </is>
      </c>
      <c r="F47" s="30" t="inlineStr">
        <is>
          <t>毛利目标</t>
        </is>
      </c>
      <c r="G47" s="31" t="n">
        <v>1.1</v>
      </c>
      <c r="H47" s="31" t="n">
        <v>0.9</v>
      </c>
      <c r="I47" s="31" t="n">
        <v>1.2</v>
      </c>
      <c r="J47" s="31" t="n">
        <v>1.4</v>
      </c>
      <c r="K47" s="31" t="n">
        <v>1.4</v>
      </c>
      <c r="L47" s="31" t="n">
        <v>1.5</v>
      </c>
      <c r="M47" s="31" t="n">
        <v>1.5</v>
      </c>
      <c r="N47" s="31" t="n">
        <v>1.4</v>
      </c>
      <c r="O47" s="31" t="n">
        <v>1.4</v>
      </c>
      <c r="P47" s="31" t="n">
        <v>1.4</v>
      </c>
      <c r="Q47" s="31" t="n">
        <v>1.2</v>
      </c>
      <c r="R47" s="31" t="n">
        <v>0.9</v>
      </c>
      <c r="S47" s="32">
        <f>IF($F47="","",IF(IFERROR(VLOOKUP($F47,'维度字典'!$I$2:$J$50,2,0),"求和")="手工录入","",IF(IFERROR(VLOOKUP($F47,'维度字典'!$I$2:$J$50,2,0),"求和")="最新值",IFERROR(LOOKUP(9.99E+307,G47:R47),""),SUM(G47:R47))))</f>
        <v/>
      </c>
      <c r="T47" s="33" t="n"/>
      <c r="U47" s="33" t="n"/>
    </row>
    <row r="48">
      <c r="A48" s="26">
        <f>IF($B48="","",ROW()-3)</f>
        <v/>
      </c>
      <c r="B48" s="27" t="inlineStr">
        <is>
          <t>张三</t>
        </is>
      </c>
      <c r="C48" s="27" t="inlineStr">
        <is>
          <t>储能行业</t>
        </is>
      </c>
      <c r="D48" s="28" t="inlineStr">
        <is>
          <t>钎焊</t>
        </is>
      </c>
      <c r="E48" s="29" t="inlineStr">
        <is>
          <t>华东</t>
        </is>
      </c>
      <c r="F48" s="30" t="inlineStr">
        <is>
          <t>毛利率目标</t>
        </is>
      </c>
      <c r="G48" s="62" t="n">
        <v>0.192</v>
      </c>
      <c r="H48" s="62" t="n">
        <v>0.1936</v>
      </c>
      <c r="I48" s="62" t="n">
        <v>0.1952</v>
      </c>
      <c r="J48" s="62" t="n">
        <v>0.1968</v>
      </c>
      <c r="K48" s="62" t="n">
        <v>0.1984</v>
      </c>
      <c r="L48" s="62" t="n">
        <v>0.2</v>
      </c>
      <c r="M48" s="62" t="n">
        <v>0.2016</v>
      </c>
      <c r="N48" s="62" t="n">
        <v>0.2032</v>
      </c>
      <c r="O48" s="62" t="n">
        <v>0.2048</v>
      </c>
      <c r="P48" s="62" t="n">
        <v>0.2064</v>
      </c>
      <c r="Q48" s="62" t="n">
        <v>0.208</v>
      </c>
      <c r="R48" s="62" t="n">
        <v>0.2096</v>
      </c>
      <c r="S48" s="63" t="n">
        <v>0.2</v>
      </c>
      <c r="T48" s="33" t="n"/>
      <c r="U48" s="33" t="n"/>
    </row>
    <row r="49">
      <c r="A49" s="26">
        <f>IF($B49="","",ROW()-3)</f>
        <v/>
      </c>
      <c r="B49" s="27" t="inlineStr">
        <is>
          <t>张三</t>
        </is>
      </c>
      <c r="C49" s="27" t="inlineStr">
        <is>
          <t>储能行业</t>
        </is>
      </c>
      <c r="D49" s="28" t="inlineStr">
        <is>
          <t>钎焊</t>
        </is>
      </c>
      <c r="E49" s="29" t="inlineStr">
        <is>
          <t>华东</t>
        </is>
      </c>
      <c r="F49" s="30" t="inlineStr">
        <is>
          <t>在手订单目标</t>
        </is>
      </c>
      <c r="G49" s="31" t="n">
        <v>9</v>
      </c>
      <c r="H49" s="31" t="n">
        <v>9</v>
      </c>
      <c r="I49" s="31" t="n">
        <v>9</v>
      </c>
      <c r="J49" s="31" t="n">
        <v>9</v>
      </c>
      <c r="K49" s="31" t="n">
        <v>10</v>
      </c>
      <c r="L49" s="31" t="n">
        <v>10</v>
      </c>
      <c r="M49" s="31" t="n">
        <v>10</v>
      </c>
      <c r="N49" s="31" t="n">
        <v>10</v>
      </c>
      <c r="O49" s="31" t="n">
        <v>10</v>
      </c>
      <c r="P49" s="31" t="n">
        <v>10</v>
      </c>
      <c r="Q49" s="31" t="n">
        <v>10</v>
      </c>
      <c r="R49" s="31" t="n">
        <v>10</v>
      </c>
      <c r="S49" s="32">
        <f>IF($F49="","",IF(IFERROR(VLOOKUP($F49,'维度字典'!$I$2:$J$50,2,0),"求和")="手工录入","",IF(IFERROR(VLOOKUP($F49,'维度字典'!$I$2:$J$50,2,0),"求和")="最新值",IFERROR(LOOKUP(9.99E+307,G49:R49),""),SUM(G49:R49))))</f>
        <v/>
      </c>
      <c r="T49" s="33" t="n"/>
      <c r="U49" s="33" t="n"/>
    </row>
    <row r="50">
      <c r="A50" s="26">
        <f>IF($B50="","",ROW()-3)</f>
        <v/>
      </c>
      <c r="B50" s="27" t="inlineStr">
        <is>
          <t>张三</t>
        </is>
      </c>
      <c r="C50" s="27" t="inlineStr">
        <is>
          <t>储能行业</t>
        </is>
      </c>
      <c r="D50" s="28" t="inlineStr">
        <is>
          <t>钎焊</t>
        </is>
      </c>
      <c r="E50" s="29" t="inlineStr">
        <is>
          <t>华东</t>
        </is>
      </c>
      <c r="F50" s="30" t="inlineStr">
        <is>
          <t>目标客户机会目标</t>
        </is>
      </c>
      <c r="G50" s="31" t="n">
        <v>6</v>
      </c>
      <c r="H50" s="31" t="n">
        <v>7</v>
      </c>
      <c r="I50" s="31" t="n">
        <v>7</v>
      </c>
      <c r="J50" s="31" t="n">
        <v>7</v>
      </c>
      <c r="K50" s="31" t="n">
        <v>7</v>
      </c>
      <c r="L50" s="31" t="n">
        <v>7</v>
      </c>
      <c r="M50" s="31" t="n">
        <v>7</v>
      </c>
      <c r="N50" s="31" t="n">
        <v>7</v>
      </c>
      <c r="O50" s="31" t="n">
        <v>7</v>
      </c>
      <c r="P50" s="31" t="n">
        <v>8</v>
      </c>
      <c r="Q50" s="31" t="n">
        <v>8</v>
      </c>
      <c r="R50" s="31" t="n">
        <v>8</v>
      </c>
      <c r="S50" s="32">
        <f>IF($F50="","",IF(IFERROR(VLOOKUP($F50,'维度字典'!$I$2:$J$50,2,0),"求和")="手工录入","",IF(IFERROR(VLOOKUP($F50,'维度字典'!$I$2:$J$50,2,0),"求和")="最新值",IFERROR(LOOKUP(9.99E+307,G50:R50),""),SUM(G50:R50))))</f>
        <v/>
      </c>
      <c r="T50" s="33" t="n"/>
      <c r="U50" s="33" t="n"/>
    </row>
    <row r="51">
      <c r="A51" s="26">
        <f>IF($B51="","",ROW()-3)</f>
        <v/>
      </c>
      <c r="B51" s="27" t="inlineStr">
        <is>
          <t>张三</t>
        </is>
      </c>
      <c r="C51" s="27" t="inlineStr">
        <is>
          <t>储能行业</t>
        </is>
      </c>
      <c r="D51" s="28" t="inlineStr">
        <is>
          <t>钎焊</t>
        </is>
      </c>
      <c r="E51" s="29" t="inlineStr">
        <is>
          <t>华东</t>
        </is>
      </c>
      <c r="F51" s="30" t="inlineStr">
        <is>
          <t>在手订单</t>
        </is>
      </c>
      <c r="G51" s="31" t="n">
        <v>9</v>
      </c>
      <c r="H51" s="31" t="n">
        <v>9</v>
      </c>
      <c r="I51" s="31" t="n">
        <v>9</v>
      </c>
      <c r="J51" s="31" t="n">
        <v>9</v>
      </c>
      <c r="K51" s="31" t="n">
        <v>10</v>
      </c>
      <c r="L51" s="31" t="n">
        <v>10</v>
      </c>
      <c r="M51" s="31" t="n">
        <v>10</v>
      </c>
      <c r="N51" s="31" t="n">
        <v>10</v>
      </c>
      <c r="O51" s="31" t="n">
        <v>10</v>
      </c>
      <c r="P51" s="31" t="n">
        <v>10</v>
      </c>
      <c r="Q51" s="31" t="n">
        <v>10</v>
      </c>
      <c r="R51" s="31" t="n">
        <v>10</v>
      </c>
      <c r="S51" s="32">
        <f>IF($F51="","",IF(IFERROR(VLOOKUP($F51,'维度字典'!$I$2:$J$50,2,0),"求和")="手工录入","",IF(IFERROR(VLOOKUP($F51,'维度字典'!$I$2:$J$50,2,0),"求和")="最新值",IFERROR(LOOKUP(9.99E+307,G51:R51),""),SUM(G51:R51))))</f>
        <v/>
      </c>
      <c r="T51" s="33" t="inlineStr">
        <is>
          <t>管道良好：新客户导入顺利，机会转化符合预期</t>
        </is>
      </c>
      <c r="U51" s="33" t="n"/>
    </row>
    <row r="52">
      <c r="A52" s="26">
        <f>IF($B52="","",ROW()-3)</f>
        <v/>
      </c>
      <c r="B52" s="27" t="inlineStr">
        <is>
          <t>张三</t>
        </is>
      </c>
      <c r="C52" s="27" t="inlineStr">
        <is>
          <t>储能行业</t>
        </is>
      </c>
      <c r="D52" s="28" t="inlineStr">
        <is>
          <t>钎焊</t>
        </is>
      </c>
      <c r="E52" s="29" t="inlineStr">
        <is>
          <t>华东</t>
        </is>
      </c>
      <c r="F52" s="30" t="inlineStr">
        <is>
          <t>目标客户机会</t>
        </is>
      </c>
      <c r="G52" s="31" t="n">
        <v>5</v>
      </c>
      <c r="H52" s="31" t="n">
        <v>6</v>
      </c>
      <c r="I52" s="31" t="n">
        <v>6</v>
      </c>
      <c r="J52" s="31" t="n">
        <v>6</v>
      </c>
      <c r="K52" s="31" t="n">
        <v>6</v>
      </c>
      <c r="L52" s="31" t="n">
        <v>6</v>
      </c>
      <c r="M52" s="31" t="n">
        <v>6</v>
      </c>
      <c r="N52" s="31" t="n">
        <v>6</v>
      </c>
      <c r="O52" s="31" t="n">
        <v>6</v>
      </c>
      <c r="P52" s="31" t="n">
        <v>7</v>
      </c>
      <c r="Q52" s="31" t="n">
        <v>7</v>
      </c>
      <c r="R52" s="31" t="n">
        <v>7</v>
      </c>
      <c r="S52" s="32">
        <f>IF($F52="","",IF(IFERROR(VLOOKUP($F52,'维度字典'!$I$2:$J$50,2,0),"求和")="手工录入","",IF(IFERROR(VLOOKUP($F52,'维度字典'!$I$2:$J$50,2,0),"求和")="最新值",IFERROR(LOOKUP(9.99E+307,G52:R52),""),SUM(G52:R52))))</f>
        <v/>
      </c>
      <c r="T52" s="33" t="n"/>
      <c r="U52" s="33" t="n"/>
    </row>
    <row r="53">
      <c r="A53" s="26">
        <f>IF($B53="","",ROW()-3)</f>
        <v/>
      </c>
      <c r="B53" s="27" t="inlineStr">
        <is>
          <t>张三</t>
        </is>
      </c>
      <c r="C53" s="27" t="inlineStr">
        <is>
          <t>储能行业</t>
        </is>
      </c>
      <c r="D53" s="28" t="inlineStr">
        <is>
          <t>可拆</t>
        </is>
      </c>
      <c r="E53" s="29" t="inlineStr">
        <is>
          <t>华东</t>
        </is>
      </c>
      <c r="F53" s="30" t="inlineStr">
        <is>
          <t>销售目标额</t>
        </is>
      </c>
      <c r="G53" s="31" t="n">
        <v>12</v>
      </c>
      <c r="H53" s="31" t="n">
        <v>11</v>
      </c>
      <c r="I53" s="31" t="n">
        <v>14</v>
      </c>
      <c r="J53" s="31" t="n">
        <v>16</v>
      </c>
      <c r="K53" s="31" t="n">
        <v>16</v>
      </c>
      <c r="L53" s="31" t="n">
        <v>18</v>
      </c>
      <c r="M53" s="31" t="n">
        <v>18</v>
      </c>
      <c r="N53" s="31" t="n">
        <v>16</v>
      </c>
      <c r="O53" s="31" t="n">
        <v>16</v>
      </c>
      <c r="P53" s="31" t="n">
        <v>16</v>
      </c>
      <c r="Q53" s="31" t="n">
        <v>14</v>
      </c>
      <c r="R53" s="31" t="n">
        <v>11</v>
      </c>
      <c r="S53" s="32">
        <f>IF($F53="","",IF(IFERROR(VLOOKUP($F53,'维度字典'!$I$2:$J$50,2,0),"求和")="手工录入","",IF(IFERROR(VLOOKUP($F53,'维度字典'!$I$2:$J$50,2,0),"求和")="最新值",IFERROR(LOOKUP(9.99E+307,G53:R53),""),SUM(G53:R53))))</f>
        <v/>
      </c>
      <c r="T53" s="33" t="n"/>
      <c r="U53" s="33" t="n"/>
    </row>
    <row r="54">
      <c r="A54" s="26">
        <f>IF($B54="","",ROW()-3)</f>
        <v/>
      </c>
      <c r="B54" s="27" t="inlineStr">
        <is>
          <t>张三</t>
        </is>
      </c>
      <c r="C54" s="27" t="inlineStr">
        <is>
          <t>储能行业</t>
        </is>
      </c>
      <c r="D54" s="28" t="inlineStr">
        <is>
          <t>可拆</t>
        </is>
      </c>
      <c r="E54" s="29" t="inlineStr">
        <is>
          <t>华东</t>
        </is>
      </c>
      <c r="F54" s="30" t="inlineStr">
        <is>
          <t>毛利目标</t>
        </is>
      </c>
      <c r="G54" s="31" t="n">
        <v>2.5</v>
      </c>
      <c r="H54" s="31" t="n">
        <v>2.1</v>
      </c>
      <c r="I54" s="31" t="n">
        <v>2.8</v>
      </c>
      <c r="J54" s="31" t="n">
        <v>3.2</v>
      </c>
      <c r="K54" s="31" t="n">
        <v>3.2</v>
      </c>
      <c r="L54" s="31" t="n">
        <v>3.5</v>
      </c>
      <c r="M54" s="31" t="n">
        <v>3.5</v>
      </c>
      <c r="N54" s="31" t="n">
        <v>3.2</v>
      </c>
      <c r="O54" s="31" t="n">
        <v>3.2</v>
      </c>
      <c r="P54" s="31" t="n">
        <v>3.2</v>
      </c>
      <c r="Q54" s="31" t="n">
        <v>2.8</v>
      </c>
      <c r="R54" s="31" t="n">
        <v>2.1</v>
      </c>
      <c r="S54" s="32">
        <f>IF($F54="","",IF(IFERROR(VLOOKUP($F54,'维度字典'!$I$2:$J$50,2,0),"求和")="手工录入","",IF(IFERROR(VLOOKUP($F54,'维度字典'!$I$2:$J$50,2,0),"求和")="最新值",IFERROR(LOOKUP(9.99E+307,G54:R54),""),SUM(G54:R54))))</f>
        <v/>
      </c>
      <c r="T54" s="33" t="n"/>
      <c r="U54" s="33" t="n"/>
    </row>
    <row r="55">
      <c r="A55" s="26">
        <f>IF($B55="","",ROW()-3)</f>
        <v/>
      </c>
      <c r="B55" s="27" t="inlineStr">
        <is>
          <t>张三</t>
        </is>
      </c>
      <c r="C55" s="27" t="inlineStr">
        <is>
          <t>储能行业</t>
        </is>
      </c>
      <c r="D55" s="28" t="inlineStr">
        <is>
          <t>可拆</t>
        </is>
      </c>
      <c r="E55" s="29" t="inlineStr">
        <is>
          <t>华东</t>
        </is>
      </c>
      <c r="F55" s="30" t="inlineStr">
        <is>
          <t>毛利率目标</t>
        </is>
      </c>
      <c r="G55" s="62" t="n">
        <v>0.192</v>
      </c>
      <c r="H55" s="62" t="n">
        <v>0.1936</v>
      </c>
      <c r="I55" s="62" t="n">
        <v>0.1952</v>
      </c>
      <c r="J55" s="62" t="n">
        <v>0.1968</v>
      </c>
      <c r="K55" s="62" t="n">
        <v>0.1984</v>
      </c>
      <c r="L55" s="62" t="n">
        <v>0.2</v>
      </c>
      <c r="M55" s="62" t="n">
        <v>0.2016</v>
      </c>
      <c r="N55" s="62" t="n">
        <v>0.2032</v>
      </c>
      <c r="O55" s="62" t="n">
        <v>0.2048</v>
      </c>
      <c r="P55" s="62" t="n">
        <v>0.2064</v>
      </c>
      <c r="Q55" s="62" t="n">
        <v>0.208</v>
      </c>
      <c r="R55" s="62" t="n">
        <v>0.2096</v>
      </c>
      <c r="S55" s="63" t="n">
        <v>0.2</v>
      </c>
      <c r="T55" s="33" t="n"/>
      <c r="U55" s="33" t="n"/>
    </row>
    <row r="56">
      <c r="A56" s="26">
        <f>IF($B56="","",ROW()-3)</f>
        <v/>
      </c>
      <c r="B56" s="27" t="inlineStr">
        <is>
          <t>张三</t>
        </is>
      </c>
      <c r="C56" s="27" t="inlineStr">
        <is>
          <t>储能行业</t>
        </is>
      </c>
      <c r="D56" s="28" t="inlineStr">
        <is>
          <t>可拆</t>
        </is>
      </c>
      <c r="E56" s="29" t="inlineStr">
        <is>
          <t>华东</t>
        </is>
      </c>
      <c r="F56" s="30" t="inlineStr">
        <is>
          <t>在手订单目标</t>
        </is>
      </c>
      <c r="G56" s="31" t="n">
        <v>21</v>
      </c>
      <c r="H56" s="31" t="n">
        <v>21</v>
      </c>
      <c r="I56" s="31" t="n">
        <v>21</v>
      </c>
      <c r="J56" s="31" t="n">
        <v>22</v>
      </c>
      <c r="K56" s="31" t="n">
        <v>22</v>
      </c>
      <c r="L56" s="31" t="n">
        <v>22</v>
      </c>
      <c r="M56" s="31" t="n">
        <v>23</v>
      </c>
      <c r="N56" s="31" t="n">
        <v>23</v>
      </c>
      <c r="O56" s="31" t="n">
        <v>23</v>
      </c>
      <c r="P56" s="31" t="n">
        <v>23</v>
      </c>
      <c r="Q56" s="31" t="n">
        <v>24</v>
      </c>
      <c r="R56" s="31" t="n">
        <v>24</v>
      </c>
      <c r="S56" s="32">
        <f>IF($F56="","",IF(IFERROR(VLOOKUP($F56,'维度字典'!$I$2:$J$50,2,0),"求和")="手工录入","",IF(IFERROR(VLOOKUP($F56,'维度字典'!$I$2:$J$50,2,0),"求和")="最新值",IFERROR(LOOKUP(9.99E+307,G56:R56),""),SUM(G56:R56))))</f>
        <v/>
      </c>
      <c r="T56" s="33" t="n"/>
      <c r="U56" s="33" t="n"/>
    </row>
    <row r="57">
      <c r="A57" s="26">
        <f>IF($B57="","",ROW()-3)</f>
        <v/>
      </c>
      <c r="B57" s="27" t="inlineStr">
        <is>
          <t>张三</t>
        </is>
      </c>
      <c r="C57" s="27" t="inlineStr">
        <is>
          <t>储能行业</t>
        </is>
      </c>
      <c r="D57" s="28" t="inlineStr">
        <is>
          <t>可拆</t>
        </is>
      </c>
      <c r="E57" s="29" t="inlineStr">
        <is>
          <t>华东</t>
        </is>
      </c>
      <c r="F57" s="30" t="inlineStr">
        <is>
          <t>目标客户机会目标</t>
        </is>
      </c>
      <c r="G57" s="31" t="n">
        <v>15</v>
      </c>
      <c r="H57" s="31" t="n">
        <v>15</v>
      </c>
      <c r="I57" s="31" t="n">
        <v>16</v>
      </c>
      <c r="J57" s="31" t="n">
        <v>16</v>
      </c>
      <c r="K57" s="31" t="n">
        <v>16</v>
      </c>
      <c r="L57" s="31" t="n">
        <v>16</v>
      </c>
      <c r="M57" s="31" t="n">
        <v>17</v>
      </c>
      <c r="N57" s="31" t="n">
        <v>17</v>
      </c>
      <c r="O57" s="31" t="n">
        <v>17</v>
      </c>
      <c r="P57" s="31" t="n">
        <v>18</v>
      </c>
      <c r="Q57" s="31" t="n">
        <v>18</v>
      </c>
      <c r="R57" s="31" t="n">
        <v>18</v>
      </c>
      <c r="S57" s="32">
        <f>IF($F57="","",IF(IFERROR(VLOOKUP($F57,'维度字典'!$I$2:$J$50,2,0),"求和")="手工录入","",IF(IFERROR(VLOOKUP($F57,'维度字典'!$I$2:$J$50,2,0),"求和")="最新值",IFERROR(LOOKUP(9.99E+307,G57:R57),""),SUM(G57:R57))))</f>
        <v/>
      </c>
      <c r="T57" s="33" t="n"/>
      <c r="U57" s="33" t="n"/>
    </row>
    <row r="58">
      <c r="A58" s="26">
        <f>IF($B58="","",ROW()-3)</f>
        <v/>
      </c>
      <c r="B58" s="27" t="inlineStr">
        <is>
          <t>张三</t>
        </is>
      </c>
      <c r="C58" s="27" t="inlineStr">
        <is>
          <t>储能行业</t>
        </is>
      </c>
      <c r="D58" s="28" t="inlineStr">
        <is>
          <t>可拆</t>
        </is>
      </c>
      <c r="E58" s="29" t="inlineStr">
        <is>
          <t>华东</t>
        </is>
      </c>
      <c r="F58" s="30" t="inlineStr">
        <is>
          <t>在手订单</t>
        </is>
      </c>
      <c r="G58" s="31" t="n">
        <v>20</v>
      </c>
      <c r="H58" s="31" t="n">
        <v>20</v>
      </c>
      <c r="I58" s="31" t="n">
        <v>20</v>
      </c>
      <c r="J58" s="31" t="n">
        <v>21</v>
      </c>
      <c r="K58" s="31" t="n">
        <v>21</v>
      </c>
      <c r="L58" s="31" t="n">
        <v>21</v>
      </c>
      <c r="M58" s="31" t="n">
        <v>22</v>
      </c>
      <c r="N58" s="31" t="n">
        <v>22</v>
      </c>
      <c r="O58" s="31" t="n">
        <v>22</v>
      </c>
      <c r="P58" s="31" t="n">
        <v>22</v>
      </c>
      <c r="Q58" s="31" t="n">
        <v>23</v>
      </c>
      <c r="R58" s="31" t="n">
        <v>23</v>
      </c>
      <c r="S58" s="32">
        <f>IF($F58="","",IF(IFERROR(VLOOKUP($F58,'维度字典'!$I$2:$J$50,2,0),"求和")="手工录入","",IF(IFERROR(VLOOKUP($F58,'维度字典'!$I$2:$J$50,2,0),"求和")="最新值",IFERROR(LOOKUP(9.99E+307,G58:R58),""),SUM(G58:R58))))</f>
        <v/>
      </c>
      <c r="T58" s="33" t="inlineStr">
        <is>
          <t>管道偏紧：个别客户观望，需加快报价与签约节奏</t>
        </is>
      </c>
      <c r="U58" s="33" t="n"/>
    </row>
    <row r="59">
      <c r="A59" s="26">
        <f>IF($B59="","",ROW()-3)</f>
        <v/>
      </c>
      <c r="B59" s="27" t="inlineStr">
        <is>
          <t>张三</t>
        </is>
      </c>
      <c r="C59" s="27" t="inlineStr">
        <is>
          <t>储能行业</t>
        </is>
      </c>
      <c r="D59" s="28" t="inlineStr">
        <is>
          <t>可拆</t>
        </is>
      </c>
      <c r="E59" s="29" t="inlineStr">
        <is>
          <t>华东</t>
        </is>
      </c>
      <c r="F59" s="30" t="inlineStr">
        <is>
          <t>目标客户机会</t>
        </is>
      </c>
      <c r="G59" s="31" t="n">
        <v>12</v>
      </c>
      <c r="H59" s="31" t="n">
        <v>12</v>
      </c>
      <c r="I59" s="31" t="n">
        <v>13</v>
      </c>
      <c r="J59" s="31" t="n">
        <v>13</v>
      </c>
      <c r="K59" s="31" t="n">
        <v>13</v>
      </c>
      <c r="L59" s="31" t="n">
        <v>13</v>
      </c>
      <c r="M59" s="31" t="n">
        <v>14</v>
      </c>
      <c r="N59" s="31" t="n">
        <v>14</v>
      </c>
      <c r="O59" s="31" t="n">
        <v>14</v>
      </c>
      <c r="P59" s="31" t="n">
        <v>15</v>
      </c>
      <c r="Q59" s="31" t="n">
        <v>15</v>
      </c>
      <c r="R59" s="31" t="n">
        <v>15</v>
      </c>
      <c r="S59" s="32">
        <f>IF($F59="","",IF(IFERROR(VLOOKUP($F59,'维度字典'!$I$2:$J$50,2,0),"求和")="手工录入","",IF(IFERROR(VLOOKUP($F59,'维度字典'!$I$2:$J$50,2,0),"求和")="最新值",IFERROR(LOOKUP(9.99E+307,G59:R59),""),SUM(G59:R59))))</f>
        <v/>
      </c>
      <c r="T59" s="33" t="n"/>
      <c r="U59" s="33" t="n"/>
    </row>
    <row r="60">
      <c r="A60" s="26">
        <f>IF($B60="","",ROW()-3)</f>
        <v/>
      </c>
      <c r="B60" s="27" t="inlineStr">
        <is>
          <t>张三</t>
        </is>
      </c>
      <c r="C60" s="27" t="inlineStr">
        <is>
          <t>数据中心</t>
        </is>
      </c>
      <c r="D60" s="28" t="inlineStr">
        <is>
          <t>钎焊</t>
        </is>
      </c>
      <c r="E60" s="29" t="inlineStr">
        <is>
          <t>华东</t>
        </is>
      </c>
      <c r="F60" s="30" t="inlineStr">
        <is>
          <t>销售目标额</t>
        </is>
      </c>
      <c r="G60" s="31" t="n">
        <v>26</v>
      </c>
      <c r="H60" s="31" t="n">
        <v>23</v>
      </c>
      <c r="I60" s="31" t="n">
        <v>30</v>
      </c>
      <c r="J60" s="31" t="n">
        <v>34</v>
      </c>
      <c r="K60" s="31" t="n">
        <v>34</v>
      </c>
      <c r="L60" s="31" t="n">
        <v>38</v>
      </c>
      <c r="M60" s="31" t="n">
        <v>38</v>
      </c>
      <c r="N60" s="31" t="n">
        <v>34</v>
      </c>
      <c r="O60" s="31" t="n">
        <v>34</v>
      </c>
      <c r="P60" s="31" t="n">
        <v>34</v>
      </c>
      <c r="Q60" s="31" t="n">
        <v>30</v>
      </c>
      <c r="R60" s="31" t="n">
        <v>23</v>
      </c>
      <c r="S60" s="32">
        <f>IF($F60="","",IF(IFERROR(VLOOKUP($F60,'维度字典'!$I$2:$J$50,2,0),"求和")="手工录入","",IF(IFERROR(VLOOKUP($F60,'维度字典'!$I$2:$J$50,2,0),"求和")="最新值",IFERROR(LOOKUP(9.99E+307,G60:R60),""),SUM(G60:R60))))</f>
        <v/>
      </c>
      <c r="T60" s="33" t="n"/>
      <c r="U60" s="33" t="n"/>
    </row>
    <row r="61">
      <c r="A61" s="26">
        <f>IF($B61="","",ROW()-3)</f>
        <v/>
      </c>
      <c r="B61" s="27" t="inlineStr">
        <is>
          <t>张三</t>
        </is>
      </c>
      <c r="C61" s="27" t="inlineStr">
        <is>
          <t>数据中心</t>
        </is>
      </c>
      <c r="D61" s="28" t="inlineStr">
        <is>
          <t>钎焊</t>
        </is>
      </c>
      <c r="E61" s="29" t="inlineStr">
        <is>
          <t>华东</t>
        </is>
      </c>
      <c r="F61" s="30" t="inlineStr">
        <is>
          <t>毛利目标</t>
        </is>
      </c>
      <c r="G61" s="31" t="n">
        <v>5.8</v>
      </c>
      <c r="H61" s="31" t="n">
        <v>5</v>
      </c>
      <c r="I61" s="31" t="n">
        <v>6.7</v>
      </c>
      <c r="J61" s="31" t="n">
        <v>7.5</v>
      </c>
      <c r="K61" s="31" t="n">
        <v>7.5</v>
      </c>
      <c r="L61" s="31" t="n">
        <v>8.300000000000001</v>
      </c>
      <c r="M61" s="31" t="n">
        <v>8.300000000000001</v>
      </c>
      <c r="N61" s="31" t="n">
        <v>7.5</v>
      </c>
      <c r="O61" s="31" t="n">
        <v>7.5</v>
      </c>
      <c r="P61" s="31" t="n">
        <v>7.5</v>
      </c>
      <c r="Q61" s="31" t="n">
        <v>6.7</v>
      </c>
      <c r="R61" s="31" t="n">
        <v>5</v>
      </c>
      <c r="S61" s="32">
        <f>IF($F61="","",IF(IFERROR(VLOOKUP($F61,'维度字典'!$I$2:$J$50,2,0),"求和")="手工录入","",IF(IFERROR(VLOOKUP($F61,'维度字典'!$I$2:$J$50,2,0),"求和")="最新值",IFERROR(LOOKUP(9.99E+307,G61:R61),""),SUM(G61:R61))))</f>
        <v/>
      </c>
      <c r="T61" s="33" t="n"/>
      <c r="U61" s="33" t="n"/>
    </row>
    <row r="62">
      <c r="A62" s="26">
        <f>IF($B62="","",ROW()-3)</f>
        <v/>
      </c>
      <c r="B62" s="27" t="inlineStr">
        <is>
          <t>张三</t>
        </is>
      </c>
      <c r="C62" s="27" t="inlineStr">
        <is>
          <t>数据中心</t>
        </is>
      </c>
      <c r="D62" s="28" t="inlineStr">
        <is>
          <t>钎焊</t>
        </is>
      </c>
      <c r="E62" s="29" t="inlineStr">
        <is>
          <t>华东</t>
        </is>
      </c>
      <c r="F62" s="30" t="inlineStr">
        <is>
          <t>毛利率目标</t>
        </is>
      </c>
      <c r="G62" s="62" t="n">
        <v>0.2112</v>
      </c>
      <c r="H62" s="62" t="n">
        <v>0.213</v>
      </c>
      <c r="I62" s="62" t="n">
        <v>0.2147</v>
      </c>
      <c r="J62" s="62" t="n">
        <v>0.2165</v>
      </c>
      <c r="K62" s="62" t="n">
        <v>0.2182</v>
      </c>
      <c r="L62" s="62" t="n">
        <v>0.22</v>
      </c>
      <c r="M62" s="62" t="n">
        <v>0.2218</v>
      </c>
      <c r="N62" s="62" t="n">
        <v>0.2235</v>
      </c>
      <c r="O62" s="62" t="n">
        <v>0.2253</v>
      </c>
      <c r="P62" s="62" t="n">
        <v>0.227</v>
      </c>
      <c r="Q62" s="62" t="n">
        <v>0.2288</v>
      </c>
      <c r="R62" s="62" t="n">
        <v>0.2306</v>
      </c>
      <c r="S62" s="63" t="n">
        <v>0.22</v>
      </c>
      <c r="T62" s="33" t="n"/>
      <c r="U62" s="33" t="n"/>
    </row>
    <row r="63">
      <c r="A63" s="26">
        <f>IF($B63="","",ROW()-3)</f>
        <v/>
      </c>
      <c r="B63" s="27" t="inlineStr">
        <is>
          <t>张三</t>
        </is>
      </c>
      <c r="C63" s="27" t="inlineStr">
        <is>
          <t>数据中心</t>
        </is>
      </c>
      <c r="D63" s="28" t="inlineStr">
        <is>
          <t>钎焊</t>
        </is>
      </c>
      <c r="E63" s="29" t="inlineStr">
        <is>
          <t>华东</t>
        </is>
      </c>
      <c r="F63" s="30" t="inlineStr">
        <is>
          <t>在手订单目标</t>
        </is>
      </c>
      <c r="G63" s="31" t="n">
        <v>45</v>
      </c>
      <c r="H63" s="31" t="n">
        <v>45</v>
      </c>
      <c r="I63" s="31" t="n">
        <v>46</v>
      </c>
      <c r="J63" s="31" t="n">
        <v>47</v>
      </c>
      <c r="K63" s="31" t="n">
        <v>47</v>
      </c>
      <c r="L63" s="31" t="n">
        <v>48</v>
      </c>
      <c r="M63" s="31" t="n">
        <v>49</v>
      </c>
      <c r="N63" s="31" t="n">
        <v>49</v>
      </c>
      <c r="O63" s="31" t="n">
        <v>50</v>
      </c>
      <c r="P63" s="31" t="n">
        <v>50</v>
      </c>
      <c r="Q63" s="31" t="n">
        <v>51</v>
      </c>
      <c r="R63" s="31" t="n">
        <v>52</v>
      </c>
      <c r="S63" s="32">
        <f>IF($F63="","",IF(IFERROR(VLOOKUP($F63,'维度字典'!$I$2:$J$50,2,0),"求和")="手工录入","",IF(IFERROR(VLOOKUP($F63,'维度字典'!$I$2:$J$50,2,0),"求和")="最新值",IFERROR(LOOKUP(9.99E+307,G63:R63),""),SUM(G63:R63))))</f>
        <v/>
      </c>
      <c r="T63" s="33" t="n"/>
      <c r="U63" s="33" t="n"/>
    </row>
    <row r="64">
      <c r="A64" s="26">
        <f>IF($B64="","",ROW()-3)</f>
        <v/>
      </c>
      <c r="B64" s="27" t="inlineStr">
        <is>
          <t>张三</t>
        </is>
      </c>
      <c r="C64" s="27" t="inlineStr">
        <is>
          <t>数据中心</t>
        </is>
      </c>
      <c r="D64" s="28" t="inlineStr">
        <is>
          <t>钎焊</t>
        </is>
      </c>
      <c r="E64" s="29" t="inlineStr">
        <is>
          <t>华东</t>
        </is>
      </c>
      <c r="F64" s="30" t="inlineStr">
        <is>
          <t>目标客户机会目标</t>
        </is>
      </c>
      <c r="G64" s="31" t="n">
        <v>32</v>
      </c>
      <c r="H64" s="31" t="n">
        <v>33</v>
      </c>
      <c r="I64" s="31" t="n">
        <v>33</v>
      </c>
      <c r="J64" s="31" t="n">
        <v>34</v>
      </c>
      <c r="K64" s="31" t="n">
        <v>35</v>
      </c>
      <c r="L64" s="31" t="n">
        <v>35</v>
      </c>
      <c r="M64" s="31" t="n">
        <v>36</v>
      </c>
      <c r="N64" s="31" t="n">
        <v>37</v>
      </c>
      <c r="O64" s="31" t="n">
        <v>37</v>
      </c>
      <c r="P64" s="31" t="n">
        <v>38</v>
      </c>
      <c r="Q64" s="31" t="n">
        <v>38</v>
      </c>
      <c r="R64" s="31" t="n">
        <v>39</v>
      </c>
      <c r="S64" s="32">
        <f>IF($F64="","",IF(IFERROR(VLOOKUP($F64,'维度字典'!$I$2:$J$50,2,0),"求和")="手工录入","",IF(IFERROR(VLOOKUP($F64,'维度字典'!$I$2:$J$50,2,0),"求和")="最新值",IFERROR(LOOKUP(9.99E+307,G64:R64),""),SUM(G64:R64))))</f>
        <v/>
      </c>
      <c r="T64" s="33" t="n"/>
      <c r="U64" s="33" t="n"/>
    </row>
    <row r="65">
      <c r="A65" s="26">
        <f>IF($B65="","",ROW()-3)</f>
        <v/>
      </c>
      <c r="B65" s="27" t="inlineStr">
        <is>
          <t>张三</t>
        </is>
      </c>
      <c r="C65" s="27" t="inlineStr">
        <is>
          <t>数据中心</t>
        </is>
      </c>
      <c r="D65" s="28" t="inlineStr">
        <is>
          <t>钎焊</t>
        </is>
      </c>
      <c r="E65" s="29" t="inlineStr">
        <is>
          <t>华东</t>
        </is>
      </c>
      <c r="F65" s="30" t="inlineStr">
        <is>
          <t>在手订单</t>
        </is>
      </c>
      <c r="G65" s="31" t="n">
        <v>45</v>
      </c>
      <c r="H65" s="31" t="n">
        <v>45</v>
      </c>
      <c r="I65" s="31" t="n">
        <v>46</v>
      </c>
      <c r="J65" s="31" t="n">
        <v>47</v>
      </c>
      <c r="K65" s="31" t="n">
        <v>47</v>
      </c>
      <c r="L65" s="31" t="n">
        <v>48</v>
      </c>
      <c r="M65" s="31" t="n">
        <v>49</v>
      </c>
      <c r="N65" s="31" t="n">
        <v>49</v>
      </c>
      <c r="O65" s="31" t="n">
        <v>50</v>
      </c>
      <c r="P65" s="31" t="n">
        <v>50</v>
      </c>
      <c r="Q65" s="31" t="n">
        <v>51</v>
      </c>
      <c r="R65" s="31" t="n">
        <v>52</v>
      </c>
      <c r="S65" s="32">
        <f>IF($F65="","",IF(IFERROR(VLOOKUP($F65,'维度字典'!$I$2:$J$50,2,0),"求和")="手工录入","",IF(IFERROR(VLOOKUP($F65,'维度字典'!$I$2:$J$50,2,0),"求和")="最新值",IFERROR(LOOKUP(9.99E+307,G65:R65),""),SUM(G65:R65))))</f>
        <v/>
      </c>
      <c r="T65" s="33" t="inlineStr">
        <is>
          <t>管道充足：大客户在手订单集中，交付节奏稳定</t>
        </is>
      </c>
      <c r="U65" s="33" t="n"/>
    </row>
    <row r="66">
      <c r="A66" s="26">
        <f>IF($B66="","",ROW()-3)</f>
        <v/>
      </c>
      <c r="B66" s="27" t="inlineStr">
        <is>
          <t>张三</t>
        </is>
      </c>
      <c r="C66" s="27" t="inlineStr">
        <is>
          <t>数据中心</t>
        </is>
      </c>
      <c r="D66" s="28" t="inlineStr">
        <is>
          <t>钎焊</t>
        </is>
      </c>
      <c r="E66" s="29" t="inlineStr">
        <is>
          <t>华东</t>
        </is>
      </c>
      <c r="F66" s="30" t="inlineStr">
        <is>
          <t>目标客户机会</t>
        </is>
      </c>
      <c r="G66" s="31" t="n">
        <v>27</v>
      </c>
      <c r="H66" s="31" t="n">
        <v>28</v>
      </c>
      <c r="I66" s="31" t="n">
        <v>28</v>
      </c>
      <c r="J66" s="31" t="n">
        <v>29</v>
      </c>
      <c r="K66" s="31" t="n">
        <v>30</v>
      </c>
      <c r="L66" s="31" t="n">
        <v>30</v>
      </c>
      <c r="M66" s="31" t="n">
        <v>31</v>
      </c>
      <c r="N66" s="31" t="n">
        <v>31</v>
      </c>
      <c r="O66" s="31" t="n">
        <v>31</v>
      </c>
      <c r="P66" s="31" t="n">
        <v>32</v>
      </c>
      <c r="Q66" s="31" t="n">
        <v>32</v>
      </c>
      <c r="R66" s="31" t="n">
        <v>33</v>
      </c>
      <c r="S66" s="32">
        <f>IF($F66="","",IF(IFERROR(VLOOKUP($F66,'维度字典'!$I$2:$J$50,2,0),"求和")="手工录入","",IF(IFERROR(VLOOKUP($F66,'维度字典'!$I$2:$J$50,2,0),"求和")="最新值",IFERROR(LOOKUP(9.99E+307,G66:R66),""),SUM(G66:R66))))</f>
        <v/>
      </c>
      <c r="T66" s="33" t="n"/>
      <c r="U66" s="33" t="n"/>
    </row>
    <row r="67">
      <c r="A67" s="26">
        <f>IF($B67="","",ROW()-3)</f>
        <v/>
      </c>
      <c r="B67" s="27" t="inlineStr">
        <is>
          <t>张三</t>
        </is>
      </c>
      <c r="C67" s="27" t="inlineStr">
        <is>
          <t>数据中心</t>
        </is>
      </c>
      <c r="D67" s="28" t="inlineStr">
        <is>
          <t>可拆</t>
        </is>
      </c>
      <c r="E67" s="29" t="inlineStr">
        <is>
          <t>华东</t>
        </is>
      </c>
      <c r="F67" s="30" t="inlineStr">
        <is>
          <t>销售目标额</t>
        </is>
      </c>
      <c r="G67" s="31" t="n">
        <v>18</v>
      </c>
      <c r="H67" s="31" t="n">
        <v>15</v>
      </c>
      <c r="I67" s="31" t="n">
        <v>20</v>
      </c>
      <c r="J67" s="31" t="n">
        <v>23</v>
      </c>
      <c r="K67" s="31" t="n">
        <v>23</v>
      </c>
      <c r="L67" s="31" t="n">
        <v>25</v>
      </c>
      <c r="M67" s="31" t="n">
        <v>25</v>
      </c>
      <c r="N67" s="31" t="n">
        <v>23</v>
      </c>
      <c r="O67" s="31" t="n">
        <v>23</v>
      </c>
      <c r="P67" s="31" t="n">
        <v>23</v>
      </c>
      <c r="Q67" s="31" t="n">
        <v>20</v>
      </c>
      <c r="R67" s="31" t="n">
        <v>15</v>
      </c>
      <c r="S67" s="32">
        <f>IF($F67="","",IF(IFERROR(VLOOKUP($F67,'维度字典'!$I$2:$J$50,2,0),"求和")="手工录入","",IF(IFERROR(VLOOKUP($F67,'维度字典'!$I$2:$J$50,2,0),"求和")="最新值",IFERROR(LOOKUP(9.99E+307,G67:R67),""),SUM(G67:R67))))</f>
        <v/>
      </c>
      <c r="T67" s="33" t="n"/>
      <c r="U67" s="33" t="n"/>
    </row>
    <row r="68">
      <c r="A68" s="26">
        <f>IF($B68="","",ROW()-3)</f>
        <v/>
      </c>
      <c r="B68" s="27" t="inlineStr">
        <is>
          <t>张三</t>
        </is>
      </c>
      <c r="C68" s="27" t="inlineStr">
        <is>
          <t>数据中心</t>
        </is>
      </c>
      <c r="D68" s="28" t="inlineStr">
        <is>
          <t>可拆</t>
        </is>
      </c>
      <c r="E68" s="29" t="inlineStr">
        <is>
          <t>华东</t>
        </is>
      </c>
      <c r="F68" s="30" t="inlineStr">
        <is>
          <t>毛利目标</t>
        </is>
      </c>
      <c r="G68" s="31" t="n">
        <v>3.9</v>
      </c>
      <c r="H68" s="31" t="n">
        <v>3.3</v>
      </c>
      <c r="I68" s="31" t="n">
        <v>4.4</v>
      </c>
      <c r="J68" s="31" t="n">
        <v>5</v>
      </c>
      <c r="K68" s="31" t="n">
        <v>5</v>
      </c>
      <c r="L68" s="31" t="n">
        <v>5.5</v>
      </c>
      <c r="M68" s="31" t="n">
        <v>5.5</v>
      </c>
      <c r="N68" s="31" t="n">
        <v>5</v>
      </c>
      <c r="O68" s="31" t="n">
        <v>5</v>
      </c>
      <c r="P68" s="31" t="n">
        <v>5</v>
      </c>
      <c r="Q68" s="31" t="n">
        <v>4.4</v>
      </c>
      <c r="R68" s="31" t="n">
        <v>3.3</v>
      </c>
      <c r="S68" s="32">
        <f>IF($F68="","",IF(IFERROR(VLOOKUP($F68,'维度字典'!$I$2:$J$50,2,0),"求和")="手工录入","",IF(IFERROR(VLOOKUP($F68,'维度字典'!$I$2:$J$50,2,0),"求和")="最新值",IFERROR(LOOKUP(9.99E+307,G68:R68),""),SUM(G68:R68))))</f>
        <v/>
      </c>
      <c r="T68" s="33" t="n"/>
      <c r="U68" s="33" t="n"/>
    </row>
    <row r="69">
      <c r="A69" s="26">
        <f>IF($B69="","",ROW()-3)</f>
        <v/>
      </c>
      <c r="B69" s="27" t="inlineStr">
        <is>
          <t>张三</t>
        </is>
      </c>
      <c r="C69" s="27" t="inlineStr">
        <is>
          <t>数据中心</t>
        </is>
      </c>
      <c r="D69" s="28" t="inlineStr">
        <is>
          <t>可拆</t>
        </is>
      </c>
      <c r="E69" s="29" t="inlineStr">
        <is>
          <t>华东</t>
        </is>
      </c>
      <c r="F69" s="30" t="inlineStr">
        <is>
          <t>毛利率目标</t>
        </is>
      </c>
      <c r="G69" s="62" t="n">
        <v>0.2112</v>
      </c>
      <c r="H69" s="62" t="n">
        <v>0.213</v>
      </c>
      <c r="I69" s="62" t="n">
        <v>0.2147</v>
      </c>
      <c r="J69" s="62" t="n">
        <v>0.2165</v>
      </c>
      <c r="K69" s="62" t="n">
        <v>0.2182</v>
      </c>
      <c r="L69" s="62" t="n">
        <v>0.22</v>
      </c>
      <c r="M69" s="62" t="n">
        <v>0.2218</v>
      </c>
      <c r="N69" s="62" t="n">
        <v>0.2235</v>
      </c>
      <c r="O69" s="62" t="n">
        <v>0.2253</v>
      </c>
      <c r="P69" s="62" t="n">
        <v>0.227</v>
      </c>
      <c r="Q69" s="62" t="n">
        <v>0.2288</v>
      </c>
      <c r="R69" s="62" t="n">
        <v>0.2306</v>
      </c>
      <c r="S69" s="63" t="n">
        <v>0.22</v>
      </c>
      <c r="T69" s="33" t="n"/>
      <c r="U69" s="33" t="n"/>
    </row>
    <row r="70">
      <c r="A70" s="26">
        <f>IF($B70="","",ROW()-3)</f>
        <v/>
      </c>
      <c r="B70" s="27" t="inlineStr">
        <is>
          <t>张三</t>
        </is>
      </c>
      <c r="C70" s="27" t="inlineStr">
        <is>
          <t>数据中心</t>
        </is>
      </c>
      <c r="D70" s="28" t="inlineStr">
        <is>
          <t>可拆</t>
        </is>
      </c>
      <c r="E70" s="29" t="inlineStr">
        <is>
          <t>华东</t>
        </is>
      </c>
      <c r="F70" s="30" t="inlineStr">
        <is>
          <t>在手订单目标</t>
        </is>
      </c>
      <c r="G70" s="31" t="n">
        <v>30</v>
      </c>
      <c r="H70" s="31" t="n">
        <v>30</v>
      </c>
      <c r="I70" s="31" t="n">
        <v>31</v>
      </c>
      <c r="J70" s="31" t="n">
        <v>31</v>
      </c>
      <c r="K70" s="31" t="n">
        <v>32</v>
      </c>
      <c r="L70" s="31" t="n">
        <v>32</v>
      </c>
      <c r="M70" s="31" t="n">
        <v>32</v>
      </c>
      <c r="N70" s="31" t="n">
        <v>33</v>
      </c>
      <c r="O70" s="31" t="n">
        <v>33</v>
      </c>
      <c r="P70" s="31" t="n">
        <v>34</v>
      </c>
      <c r="Q70" s="31" t="n">
        <v>34</v>
      </c>
      <c r="R70" s="31" t="n">
        <v>34</v>
      </c>
      <c r="S70" s="32">
        <f>IF($F70="","",IF(IFERROR(VLOOKUP($F70,'维度字典'!$I$2:$J$50,2,0),"求和")="手工录入","",IF(IFERROR(VLOOKUP($F70,'维度字典'!$I$2:$J$50,2,0),"求和")="最新值",IFERROR(LOOKUP(9.99E+307,G70:R70),""),SUM(G70:R70))))</f>
        <v/>
      </c>
      <c r="T70" s="33" t="n"/>
      <c r="U70" s="33" t="n"/>
    </row>
    <row r="71">
      <c r="A71" s="26">
        <f>IF($B71="","",ROW()-3)</f>
        <v/>
      </c>
      <c r="B71" s="27" t="inlineStr">
        <is>
          <t>张三</t>
        </is>
      </c>
      <c r="C71" s="27" t="inlineStr">
        <is>
          <t>数据中心</t>
        </is>
      </c>
      <c r="D71" s="28" t="inlineStr">
        <is>
          <t>可拆</t>
        </is>
      </c>
      <c r="E71" s="29" t="inlineStr">
        <is>
          <t>华东</t>
        </is>
      </c>
      <c r="F71" s="30" t="inlineStr">
        <is>
          <t>目标客户机会目标</t>
        </is>
      </c>
      <c r="G71" s="31" t="n">
        <v>21</v>
      </c>
      <c r="H71" s="31" t="n">
        <v>22</v>
      </c>
      <c r="I71" s="31" t="n">
        <v>22</v>
      </c>
      <c r="J71" s="31" t="n">
        <v>23</v>
      </c>
      <c r="K71" s="31" t="n">
        <v>23</v>
      </c>
      <c r="L71" s="31" t="n">
        <v>24</v>
      </c>
      <c r="M71" s="31" t="n">
        <v>24</v>
      </c>
      <c r="N71" s="31" t="n">
        <v>24</v>
      </c>
      <c r="O71" s="31" t="n">
        <v>25</v>
      </c>
      <c r="P71" s="31" t="n">
        <v>25</v>
      </c>
      <c r="Q71" s="31" t="n">
        <v>26</v>
      </c>
      <c r="R71" s="31" t="n">
        <v>26</v>
      </c>
      <c r="S71" s="32">
        <f>IF($F71="","",IF(IFERROR(VLOOKUP($F71,'维度字典'!$I$2:$J$50,2,0),"求和")="手工录入","",IF(IFERROR(VLOOKUP($F71,'维度字典'!$I$2:$J$50,2,0),"求和")="最新值",IFERROR(LOOKUP(9.99E+307,G71:R71),""),SUM(G71:R71))))</f>
        <v/>
      </c>
      <c r="T71" s="33" t="n"/>
      <c r="U71" s="33" t="n"/>
    </row>
    <row r="72">
      <c r="A72" s="26">
        <f>IF($B72="","",ROW()-3)</f>
        <v/>
      </c>
      <c r="B72" s="27" t="inlineStr">
        <is>
          <t>张三</t>
        </is>
      </c>
      <c r="C72" s="27" t="inlineStr">
        <is>
          <t>数据中心</t>
        </is>
      </c>
      <c r="D72" s="28" t="inlineStr">
        <is>
          <t>可拆</t>
        </is>
      </c>
      <c r="E72" s="29" t="inlineStr">
        <is>
          <t>华东</t>
        </is>
      </c>
      <c r="F72" s="30" t="inlineStr">
        <is>
          <t>在手订单</t>
        </is>
      </c>
      <c r="G72" s="31" t="n">
        <v>30</v>
      </c>
      <c r="H72" s="31" t="n">
        <v>30</v>
      </c>
      <c r="I72" s="31" t="n">
        <v>31</v>
      </c>
      <c r="J72" s="31" t="n">
        <v>31</v>
      </c>
      <c r="K72" s="31" t="n">
        <v>32</v>
      </c>
      <c r="L72" s="31" t="n">
        <v>32</v>
      </c>
      <c r="M72" s="31" t="n">
        <v>32</v>
      </c>
      <c r="N72" s="31" t="n">
        <v>33</v>
      </c>
      <c r="O72" s="31" t="n">
        <v>33</v>
      </c>
      <c r="P72" s="31" t="n">
        <v>34</v>
      </c>
      <c r="Q72" s="31" t="n">
        <v>34</v>
      </c>
      <c r="R72" s="31" t="n">
        <v>34</v>
      </c>
      <c r="S72" s="32">
        <f>IF($F72="","",IF(IFERROR(VLOOKUP($F72,'维度字典'!$I$2:$J$50,2,0),"求和")="手工录入","",IF(IFERROR(VLOOKUP($F72,'维度字典'!$I$2:$J$50,2,0),"求和")="最新值",IFERROR(LOOKUP(9.99E+307,G72:R72),""),SUM(G72:R72))))</f>
        <v/>
      </c>
      <c r="T72" s="33" t="inlineStr">
        <is>
          <t>管道充足：大客户在手订单集中，交付节奏稳定</t>
        </is>
      </c>
      <c r="U72" s="33" t="n"/>
    </row>
    <row r="73">
      <c r="A73" s="26">
        <f>IF($B73="","",ROW()-3)</f>
        <v/>
      </c>
      <c r="B73" s="27" t="inlineStr">
        <is>
          <t>张三</t>
        </is>
      </c>
      <c r="C73" s="27" t="inlineStr">
        <is>
          <t>数据中心</t>
        </is>
      </c>
      <c r="D73" s="28" t="inlineStr">
        <is>
          <t>可拆</t>
        </is>
      </c>
      <c r="E73" s="29" t="inlineStr">
        <is>
          <t>华东</t>
        </is>
      </c>
      <c r="F73" s="30" t="inlineStr">
        <is>
          <t>目标客户机会</t>
        </is>
      </c>
      <c r="G73" s="31" t="n">
        <v>18</v>
      </c>
      <c r="H73" s="31" t="n">
        <v>19</v>
      </c>
      <c r="I73" s="31" t="n">
        <v>19</v>
      </c>
      <c r="J73" s="31" t="n">
        <v>20</v>
      </c>
      <c r="K73" s="31" t="n">
        <v>20</v>
      </c>
      <c r="L73" s="31" t="n">
        <v>20</v>
      </c>
      <c r="M73" s="31" t="n">
        <v>20</v>
      </c>
      <c r="N73" s="31" t="n">
        <v>20</v>
      </c>
      <c r="O73" s="31" t="n">
        <v>21</v>
      </c>
      <c r="P73" s="31" t="n">
        <v>21</v>
      </c>
      <c r="Q73" s="31" t="n">
        <v>22</v>
      </c>
      <c r="R73" s="31" t="n">
        <v>22</v>
      </c>
      <c r="S73" s="32">
        <f>IF($F73="","",IF(IFERROR(VLOOKUP($F73,'维度字典'!$I$2:$J$50,2,0),"求和")="手工录入","",IF(IFERROR(VLOOKUP($F73,'维度字典'!$I$2:$J$50,2,0),"求和")="最新值",IFERROR(LOOKUP(9.99E+307,G73:R73),""),SUM(G73:R73))))</f>
        <v/>
      </c>
      <c r="T73" s="33" t="n"/>
      <c r="U73" s="33" t="n"/>
    </row>
    <row r="74">
      <c r="A74" s="26">
        <f>IF($B74="","",ROW()-3)</f>
        <v/>
      </c>
      <c r="B74" s="27" t="inlineStr">
        <is>
          <t>李四</t>
        </is>
      </c>
      <c r="C74" s="27" t="inlineStr">
        <is>
          <t>空调制冷</t>
        </is>
      </c>
      <c r="D74" s="28" t="inlineStr">
        <is>
          <t>钎焊</t>
        </is>
      </c>
      <c r="E74" s="29" t="inlineStr">
        <is>
          <t>华南</t>
        </is>
      </c>
      <c r="F74" s="30" t="inlineStr">
        <is>
          <t>销售目标额</t>
        </is>
      </c>
      <c r="G74" s="31" t="n">
        <v>51</v>
      </c>
      <c r="H74" s="31" t="n">
        <v>44</v>
      </c>
      <c r="I74" s="31" t="n">
        <v>59</v>
      </c>
      <c r="J74" s="31" t="n">
        <v>66</v>
      </c>
      <c r="K74" s="31" t="n">
        <v>66</v>
      </c>
      <c r="L74" s="31" t="n">
        <v>74</v>
      </c>
      <c r="M74" s="31" t="n">
        <v>74</v>
      </c>
      <c r="N74" s="31" t="n">
        <v>66</v>
      </c>
      <c r="O74" s="31" t="n">
        <v>66</v>
      </c>
      <c r="P74" s="31" t="n">
        <v>66</v>
      </c>
      <c r="Q74" s="31" t="n">
        <v>59</v>
      </c>
      <c r="R74" s="31" t="n">
        <v>44</v>
      </c>
      <c r="S74" s="32">
        <f>IF($F74="","",IF(IFERROR(VLOOKUP($F74,'维度字典'!$I$2:$J$50,2,0),"求和")="手工录入","",IF(IFERROR(VLOOKUP($F74,'维度字典'!$I$2:$J$50,2,0),"求和")="最新值",IFERROR(LOOKUP(9.99E+307,G74:R74),""),SUM(G74:R74))))</f>
        <v/>
      </c>
      <c r="T74" s="33" t="n"/>
      <c r="U74" s="33" t="n"/>
    </row>
    <row r="75">
      <c r="A75" s="26">
        <f>IF($B75="","",ROW()-3)</f>
        <v/>
      </c>
      <c r="B75" s="27" t="inlineStr">
        <is>
          <t>李四</t>
        </is>
      </c>
      <c r="C75" s="27" t="inlineStr">
        <is>
          <t>空调制冷</t>
        </is>
      </c>
      <c r="D75" s="28" t="inlineStr">
        <is>
          <t>钎焊</t>
        </is>
      </c>
      <c r="E75" s="29" t="inlineStr">
        <is>
          <t>华南</t>
        </is>
      </c>
      <c r="F75" s="30" t="inlineStr">
        <is>
          <t>毛利目标</t>
        </is>
      </c>
      <c r="G75" s="31" t="n">
        <v>7.7</v>
      </c>
      <c r="H75" s="31" t="n">
        <v>6.6</v>
      </c>
      <c r="I75" s="31" t="n">
        <v>8.800000000000001</v>
      </c>
      <c r="J75" s="31" t="n">
        <v>9.9</v>
      </c>
      <c r="K75" s="31" t="n">
        <v>9.9</v>
      </c>
      <c r="L75" s="31" t="n">
        <v>11</v>
      </c>
      <c r="M75" s="31" t="n">
        <v>11</v>
      </c>
      <c r="N75" s="31" t="n">
        <v>9.9</v>
      </c>
      <c r="O75" s="31" t="n">
        <v>9.9</v>
      </c>
      <c r="P75" s="31" t="n">
        <v>9.9</v>
      </c>
      <c r="Q75" s="31" t="n">
        <v>8.800000000000001</v>
      </c>
      <c r="R75" s="31" t="n">
        <v>6.6</v>
      </c>
      <c r="S75" s="32">
        <f>IF($F75="","",IF(IFERROR(VLOOKUP($F75,'维度字典'!$I$2:$J$50,2,0),"求和")="手工录入","",IF(IFERROR(VLOOKUP($F75,'维度字典'!$I$2:$J$50,2,0),"求和")="最新值",IFERROR(LOOKUP(9.99E+307,G75:R75),""),SUM(G75:R75))))</f>
        <v/>
      </c>
      <c r="T75" s="33" t="n"/>
      <c r="U75" s="33" t="n"/>
    </row>
    <row r="76">
      <c r="A76" s="26">
        <f>IF($B76="","",ROW()-3)</f>
        <v/>
      </c>
      <c r="B76" s="27" t="inlineStr">
        <is>
          <t>李四</t>
        </is>
      </c>
      <c r="C76" s="27" t="inlineStr">
        <is>
          <t>空调制冷</t>
        </is>
      </c>
      <c r="D76" s="28" t="inlineStr">
        <is>
          <t>钎焊</t>
        </is>
      </c>
      <c r="E76" s="29" t="inlineStr">
        <is>
          <t>华南</t>
        </is>
      </c>
      <c r="F76" s="30" t="inlineStr">
        <is>
          <t>毛利率目标</t>
        </is>
      </c>
      <c r="G76" s="62" t="n">
        <v>0.144</v>
      </c>
      <c r="H76" s="62" t="n">
        <v>0.1452</v>
      </c>
      <c r="I76" s="62" t="n">
        <v>0.1464</v>
      </c>
      <c r="J76" s="62" t="n">
        <v>0.1476</v>
      </c>
      <c r="K76" s="62" t="n">
        <v>0.1488</v>
      </c>
      <c r="L76" s="62" t="n">
        <v>0.15</v>
      </c>
      <c r="M76" s="62" t="n">
        <v>0.1512</v>
      </c>
      <c r="N76" s="62" t="n">
        <v>0.1524</v>
      </c>
      <c r="O76" s="62" t="n">
        <v>0.1536</v>
      </c>
      <c r="P76" s="62" t="n">
        <v>0.1548</v>
      </c>
      <c r="Q76" s="62" t="n">
        <v>0.156</v>
      </c>
      <c r="R76" s="62" t="n">
        <v>0.1572</v>
      </c>
      <c r="S76" s="63" t="n">
        <v>0.15</v>
      </c>
      <c r="T76" s="33" t="n"/>
      <c r="U76" s="33" t="n"/>
    </row>
    <row r="77">
      <c r="A77" s="26">
        <f>IF($B77="","",ROW()-3)</f>
        <v/>
      </c>
      <c r="B77" s="27" t="inlineStr">
        <is>
          <t>李四</t>
        </is>
      </c>
      <c r="C77" s="27" t="inlineStr">
        <is>
          <t>空调制冷</t>
        </is>
      </c>
      <c r="D77" s="28" t="inlineStr">
        <is>
          <t>钎焊</t>
        </is>
      </c>
      <c r="E77" s="29" t="inlineStr">
        <is>
          <t>华南</t>
        </is>
      </c>
      <c r="F77" s="30" t="inlineStr">
        <is>
          <t>在手订单目标</t>
        </is>
      </c>
      <c r="G77" s="31" t="n">
        <v>87</v>
      </c>
      <c r="H77" s="31" t="n">
        <v>88</v>
      </c>
      <c r="I77" s="31" t="n">
        <v>89</v>
      </c>
      <c r="J77" s="31" t="n">
        <v>91</v>
      </c>
      <c r="K77" s="31" t="n">
        <v>92</v>
      </c>
      <c r="L77" s="31" t="n">
        <v>93</v>
      </c>
      <c r="M77" s="31" t="n">
        <v>94</v>
      </c>
      <c r="N77" s="31" t="n">
        <v>96</v>
      </c>
      <c r="O77" s="31" t="n">
        <v>97</v>
      </c>
      <c r="P77" s="31" t="n">
        <v>98</v>
      </c>
      <c r="Q77" s="31" t="n">
        <v>99</v>
      </c>
      <c r="R77" s="31" t="n">
        <v>100</v>
      </c>
      <c r="S77" s="32">
        <f>IF($F77="","",IF(IFERROR(VLOOKUP($F77,'维度字典'!$I$2:$J$50,2,0),"求和")="手工录入","",IF(IFERROR(VLOOKUP($F77,'维度字典'!$I$2:$J$50,2,0),"求和")="最新值",IFERROR(LOOKUP(9.99E+307,G77:R77),""),SUM(G77:R77))))</f>
        <v/>
      </c>
      <c r="T77" s="33" t="n"/>
      <c r="U77" s="33" t="n"/>
    </row>
    <row r="78">
      <c r="A78" s="26">
        <f>IF($B78="","",ROW()-3)</f>
        <v/>
      </c>
      <c r="B78" s="27" t="inlineStr">
        <is>
          <t>李四</t>
        </is>
      </c>
      <c r="C78" s="27" t="inlineStr">
        <is>
          <t>空调制冷</t>
        </is>
      </c>
      <c r="D78" s="28" t="inlineStr">
        <is>
          <t>钎焊</t>
        </is>
      </c>
      <c r="E78" s="29" t="inlineStr">
        <is>
          <t>华南</t>
        </is>
      </c>
      <c r="F78" s="30" t="inlineStr">
        <is>
          <t>目标客户机会目标</t>
        </is>
      </c>
      <c r="G78" s="31" t="n">
        <v>62</v>
      </c>
      <c r="H78" s="31" t="n">
        <v>64</v>
      </c>
      <c r="I78" s="31" t="n">
        <v>65</v>
      </c>
      <c r="J78" s="31" t="n">
        <v>66</v>
      </c>
      <c r="K78" s="31" t="n">
        <v>67</v>
      </c>
      <c r="L78" s="31" t="n">
        <v>69</v>
      </c>
      <c r="M78" s="31" t="n">
        <v>70</v>
      </c>
      <c r="N78" s="31" t="n">
        <v>71</v>
      </c>
      <c r="O78" s="31" t="n">
        <v>72</v>
      </c>
      <c r="P78" s="31" t="n">
        <v>74</v>
      </c>
      <c r="Q78" s="31" t="n">
        <v>75</v>
      </c>
      <c r="R78" s="31" t="n">
        <v>76</v>
      </c>
      <c r="S78" s="32">
        <f>IF($F78="","",IF(IFERROR(VLOOKUP($F78,'维度字典'!$I$2:$J$50,2,0),"求和")="手工录入","",IF(IFERROR(VLOOKUP($F78,'维度字典'!$I$2:$J$50,2,0),"求和")="最新值",IFERROR(LOOKUP(9.99E+307,G78:R78),""),SUM(G78:R78))))</f>
        <v/>
      </c>
      <c r="T78" s="33" t="n"/>
      <c r="U78" s="33" t="n"/>
    </row>
    <row r="79">
      <c r="A79" s="26">
        <f>IF($B79="","",ROW()-3)</f>
        <v/>
      </c>
      <c r="B79" s="27" t="inlineStr">
        <is>
          <t>李四</t>
        </is>
      </c>
      <c r="C79" s="27" t="inlineStr">
        <is>
          <t>空调制冷</t>
        </is>
      </c>
      <c r="D79" s="28" t="inlineStr">
        <is>
          <t>钎焊</t>
        </is>
      </c>
      <c r="E79" s="29" t="inlineStr">
        <is>
          <t>华南</t>
        </is>
      </c>
      <c r="F79" s="30" t="inlineStr">
        <is>
          <t>在手订单</t>
        </is>
      </c>
      <c r="G79" s="31" t="n">
        <v>85</v>
      </c>
      <c r="H79" s="31" t="n">
        <v>86</v>
      </c>
      <c r="I79" s="31" t="n">
        <v>87</v>
      </c>
      <c r="J79" s="31" t="n">
        <v>89</v>
      </c>
      <c r="K79" s="31" t="n">
        <v>90</v>
      </c>
      <c r="L79" s="31" t="n">
        <v>91</v>
      </c>
      <c r="M79" s="31" t="n">
        <v>92</v>
      </c>
      <c r="N79" s="31" t="n">
        <v>94</v>
      </c>
      <c r="O79" s="31" t="n">
        <v>95</v>
      </c>
      <c r="P79" s="31" t="n">
        <v>96</v>
      </c>
      <c r="Q79" s="31" t="n">
        <v>97</v>
      </c>
      <c r="R79" s="31" t="n">
        <v>98</v>
      </c>
      <c r="S79" s="32">
        <f>IF($F79="","",IF(IFERROR(VLOOKUP($F79,'维度字典'!$I$2:$J$50,2,0),"求和")="手工录入","",IF(IFERROR(VLOOKUP($F79,'维度字典'!$I$2:$J$50,2,0),"求和")="最新值",IFERROR(LOOKUP(9.99E+307,G79:R79),""),SUM(G79:R79))))</f>
        <v/>
      </c>
      <c r="T79" s="33" t="inlineStr">
        <is>
          <t>管道良好：新客户导入顺利，机会转化符合预期</t>
        </is>
      </c>
      <c r="U79" s="33" t="n"/>
    </row>
    <row r="80">
      <c r="A80" s="26">
        <f>IF($B80="","",ROW()-3)</f>
        <v/>
      </c>
      <c r="B80" s="27" t="inlineStr">
        <is>
          <t>李四</t>
        </is>
      </c>
      <c r="C80" s="27" t="inlineStr">
        <is>
          <t>空调制冷</t>
        </is>
      </c>
      <c r="D80" s="28" t="inlineStr">
        <is>
          <t>钎焊</t>
        </is>
      </c>
      <c r="E80" s="29" t="inlineStr">
        <is>
          <t>华南</t>
        </is>
      </c>
      <c r="F80" s="30" t="inlineStr">
        <is>
          <t>目标客户机会</t>
        </is>
      </c>
      <c r="G80" s="31" t="n">
        <v>52</v>
      </c>
      <c r="H80" s="31" t="n">
        <v>53</v>
      </c>
      <c r="I80" s="31" t="n">
        <v>54</v>
      </c>
      <c r="J80" s="31" t="n">
        <v>55</v>
      </c>
      <c r="K80" s="31" t="n">
        <v>56</v>
      </c>
      <c r="L80" s="31" t="n">
        <v>57</v>
      </c>
      <c r="M80" s="31" t="n">
        <v>58</v>
      </c>
      <c r="N80" s="31" t="n">
        <v>59</v>
      </c>
      <c r="O80" s="31" t="n">
        <v>60</v>
      </c>
      <c r="P80" s="31" t="n">
        <v>62</v>
      </c>
      <c r="Q80" s="31" t="n">
        <v>62</v>
      </c>
      <c r="R80" s="31" t="n">
        <v>63</v>
      </c>
      <c r="S80" s="32">
        <f>IF($F80="","",IF(IFERROR(VLOOKUP($F80,'维度字典'!$I$2:$J$50,2,0),"求和")="手工录入","",IF(IFERROR(VLOOKUP($F80,'维度字典'!$I$2:$J$50,2,0),"求和")="最新值",IFERROR(LOOKUP(9.99E+307,G80:R80),""),SUM(G80:R80))))</f>
        <v/>
      </c>
      <c r="T80" s="33" t="n"/>
      <c r="U80" s="33" t="n"/>
    </row>
    <row r="81">
      <c r="A81" s="26">
        <f>IF($B81="","",ROW()-3)</f>
        <v/>
      </c>
      <c r="B81" s="27" t="inlineStr">
        <is>
          <t>李四</t>
        </is>
      </c>
      <c r="C81" s="27" t="inlineStr">
        <is>
          <t>空调制冷</t>
        </is>
      </c>
      <c r="D81" s="28" t="inlineStr">
        <is>
          <t>可拆</t>
        </is>
      </c>
      <c r="E81" s="29" t="inlineStr">
        <is>
          <t>华南</t>
        </is>
      </c>
      <c r="F81" s="30" t="inlineStr">
        <is>
          <t>销售目标额</t>
        </is>
      </c>
      <c r="G81" s="31" t="n">
        <v>22</v>
      </c>
      <c r="H81" s="31" t="n">
        <v>19</v>
      </c>
      <c r="I81" s="31" t="n">
        <v>25</v>
      </c>
      <c r="J81" s="31" t="n">
        <v>28</v>
      </c>
      <c r="K81" s="31" t="n">
        <v>28</v>
      </c>
      <c r="L81" s="31" t="n">
        <v>32</v>
      </c>
      <c r="M81" s="31" t="n">
        <v>32</v>
      </c>
      <c r="N81" s="31" t="n">
        <v>28</v>
      </c>
      <c r="O81" s="31" t="n">
        <v>28</v>
      </c>
      <c r="P81" s="31" t="n">
        <v>28</v>
      </c>
      <c r="Q81" s="31" t="n">
        <v>25</v>
      </c>
      <c r="R81" s="31" t="n">
        <v>19</v>
      </c>
      <c r="S81" s="32">
        <f>IF($F81="","",IF(IFERROR(VLOOKUP($F81,'维度字典'!$I$2:$J$50,2,0),"求和")="手工录入","",IF(IFERROR(VLOOKUP($F81,'维度字典'!$I$2:$J$50,2,0),"求和")="最新值",IFERROR(LOOKUP(9.99E+307,G81:R81),""),SUM(G81:R81))))</f>
        <v/>
      </c>
      <c r="T81" s="33" t="n"/>
      <c r="U81" s="33" t="n"/>
    </row>
    <row r="82">
      <c r="A82" s="26">
        <f>IF($B82="","",ROW()-3)</f>
        <v/>
      </c>
      <c r="B82" s="27" t="inlineStr">
        <is>
          <t>李四</t>
        </is>
      </c>
      <c r="C82" s="27" t="inlineStr">
        <is>
          <t>空调制冷</t>
        </is>
      </c>
      <c r="D82" s="28" t="inlineStr">
        <is>
          <t>可拆</t>
        </is>
      </c>
      <c r="E82" s="29" t="inlineStr">
        <is>
          <t>华南</t>
        </is>
      </c>
      <c r="F82" s="30" t="inlineStr">
        <is>
          <t>毛利目标</t>
        </is>
      </c>
      <c r="G82" s="31" t="n">
        <v>3.3</v>
      </c>
      <c r="H82" s="31" t="n">
        <v>2.8</v>
      </c>
      <c r="I82" s="31" t="n">
        <v>3.8</v>
      </c>
      <c r="J82" s="31" t="n">
        <v>4.3</v>
      </c>
      <c r="K82" s="31" t="n">
        <v>4.3</v>
      </c>
      <c r="L82" s="31" t="n">
        <v>4.7</v>
      </c>
      <c r="M82" s="31" t="n">
        <v>4.7</v>
      </c>
      <c r="N82" s="31" t="n">
        <v>4.3</v>
      </c>
      <c r="O82" s="31" t="n">
        <v>4.3</v>
      </c>
      <c r="P82" s="31" t="n">
        <v>4.3</v>
      </c>
      <c r="Q82" s="31" t="n">
        <v>3.8</v>
      </c>
      <c r="R82" s="31" t="n">
        <v>2.8</v>
      </c>
      <c r="S82" s="32">
        <f>IF($F82="","",IF(IFERROR(VLOOKUP($F82,'维度字典'!$I$2:$J$50,2,0),"求和")="手工录入","",IF(IFERROR(VLOOKUP($F82,'维度字典'!$I$2:$J$50,2,0),"求和")="最新值",IFERROR(LOOKUP(9.99E+307,G82:R82),""),SUM(G82:R82))))</f>
        <v/>
      </c>
      <c r="T82" s="33" t="n"/>
      <c r="U82" s="33" t="n"/>
    </row>
    <row r="83">
      <c r="A83" s="26">
        <f>IF($B83="","",ROW()-3)</f>
        <v/>
      </c>
      <c r="B83" s="27" t="inlineStr">
        <is>
          <t>李四</t>
        </is>
      </c>
      <c r="C83" s="27" t="inlineStr">
        <is>
          <t>空调制冷</t>
        </is>
      </c>
      <c r="D83" s="28" t="inlineStr">
        <is>
          <t>可拆</t>
        </is>
      </c>
      <c r="E83" s="29" t="inlineStr">
        <is>
          <t>华南</t>
        </is>
      </c>
      <c r="F83" s="30" t="inlineStr">
        <is>
          <t>毛利率目标</t>
        </is>
      </c>
      <c r="G83" s="62" t="n">
        <v>0.144</v>
      </c>
      <c r="H83" s="62" t="n">
        <v>0.1452</v>
      </c>
      <c r="I83" s="62" t="n">
        <v>0.1464</v>
      </c>
      <c r="J83" s="62" t="n">
        <v>0.1476</v>
      </c>
      <c r="K83" s="62" t="n">
        <v>0.1488</v>
      </c>
      <c r="L83" s="62" t="n">
        <v>0.15</v>
      </c>
      <c r="M83" s="62" t="n">
        <v>0.1512</v>
      </c>
      <c r="N83" s="62" t="n">
        <v>0.1524</v>
      </c>
      <c r="O83" s="62" t="n">
        <v>0.1536</v>
      </c>
      <c r="P83" s="62" t="n">
        <v>0.1548</v>
      </c>
      <c r="Q83" s="62" t="n">
        <v>0.156</v>
      </c>
      <c r="R83" s="62" t="n">
        <v>0.1572</v>
      </c>
      <c r="S83" s="63" t="n">
        <v>0.15</v>
      </c>
      <c r="T83" s="33" t="n"/>
      <c r="U83" s="33" t="n"/>
    </row>
    <row r="84">
      <c r="A84" s="26">
        <f>IF($B84="","",ROW()-3)</f>
        <v/>
      </c>
      <c r="B84" s="27" t="inlineStr">
        <is>
          <t>李四</t>
        </is>
      </c>
      <c r="C84" s="27" t="inlineStr">
        <is>
          <t>空调制冷</t>
        </is>
      </c>
      <c r="D84" s="28" t="inlineStr">
        <is>
          <t>可拆</t>
        </is>
      </c>
      <c r="E84" s="29" t="inlineStr">
        <is>
          <t>华南</t>
        </is>
      </c>
      <c r="F84" s="30" t="inlineStr">
        <is>
          <t>在手订单目标</t>
        </is>
      </c>
      <c r="G84" s="31" t="n">
        <v>37</v>
      </c>
      <c r="H84" s="31" t="n">
        <v>38</v>
      </c>
      <c r="I84" s="31" t="n">
        <v>38</v>
      </c>
      <c r="J84" s="31" t="n">
        <v>39</v>
      </c>
      <c r="K84" s="31" t="n">
        <v>39</v>
      </c>
      <c r="L84" s="31" t="n">
        <v>40</v>
      </c>
      <c r="M84" s="31" t="n">
        <v>40</v>
      </c>
      <c r="N84" s="31" t="n">
        <v>41</v>
      </c>
      <c r="O84" s="31" t="n">
        <v>41</v>
      </c>
      <c r="P84" s="31" t="n">
        <v>42</v>
      </c>
      <c r="Q84" s="31" t="n">
        <v>43</v>
      </c>
      <c r="R84" s="31" t="n">
        <v>43</v>
      </c>
      <c r="S84" s="32">
        <f>IF($F84="","",IF(IFERROR(VLOOKUP($F84,'维度字典'!$I$2:$J$50,2,0),"求和")="手工录入","",IF(IFERROR(VLOOKUP($F84,'维度字典'!$I$2:$J$50,2,0),"求和")="最新值",IFERROR(LOOKUP(9.99E+307,G84:R84),""),SUM(G84:R84))))</f>
        <v/>
      </c>
      <c r="T84" s="33" t="n"/>
      <c r="U84" s="33" t="n"/>
    </row>
    <row r="85">
      <c r="A85" s="26">
        <f>IF($B85="","",ROW()-3)</f>
        <v/>
      </c>
      <c r="B85" s="27" t="inlineStr">
        <is>
          <t>李四</t>
        </is>
      </c>
      <c r="C85" s="27" t="inlineStr">
        <is>
          <t>空调制冷</t>
        </is>
      </c>
      <c r="D85" s="28" t="inlineStr">
        <is>
          <t>可拆</t>
        </is>
      </c>
      <c r="E85" s="29" t="inlineStr">
        <is>
          <t>华南</t>
        </is>
      </c>
      <c r="F85" s="30" t="inlineStr">
        <is>
          <t>目标客户机会目标</t>
        </is>
      </c>
      <c r="G85" s="31" t="n">
        <v>27</v>
      </c>
      <c r="H85" s="31" t="n">
        <v>27</v>
      </c>
      <c r="I85" s="31" t="n">
        <v>28</v>
      </c>
      <c r="J85" s="31" t="n">
        <v>28</v>
      </c>
      <c r="K85" s="31" t="n">
        <v>29</v>
      </c>
      <c r="L85" s="31" t="n">
        <v>29</v>
      </c>
      <c r="M85" s="31" t="n">
        <v>30</v>
      </c>
      <c r="N85" s="31" t="n">
        <v>30</v>
      </c>
      <c r="O85" s="31" t="n">
        <v>31</v>
      </c>
      <c r="P85" s="31" t="n">
        <v>32</v>
      </c>
      <c r="Q85" s="31" t="n">
        <v>32</v>
      </c>
      <c r="R85" s="31" t="n">
        <v>33</v>
      </c>
      <c r="S85" s="32">
        <f>IF($F85="","",IF(IFERROR(VLOOKUP($F85,'维度字典'!$I$2:$J$50,2,0),"求和")="手工录入","",IF(IFERROR(VLOOKUP($F85,'维度字典'!$I$2:$J$50,2,0),"求和")="最新值",IFERROR(LOOKUP(9.99E+307,G85:R85),""),SUM(G85:R85))))</f>
        <v/>
      </c>
      <c r="T85" s="33" t="n"/>
      <c r="U85" s="33" t="n"/>
    </row>
    <row r="86">
      <c r="A86" s="26">
        <f>IF($B86="","",ROW()-3)</f>
        <v/>
      </c>
      <c r="B86" s="27" t="inlineStr">
        <is>
          <t>李四</t>
        </is>
      </c>
      <c r="C86" s="27" t="inlineStr">
        <is>
          <t>空调制冷</t>
        </is>
      </c>
      <c r="D86" s="28" t="inlineStr">
        <is>
          <t>可拆</t>
        </is>
      </c>
      <c r="E86" s="29" t="inlineStr">
        <is>
          <t>华南</t>
        </is>
      </c>
      <c r="F86" s="30" t="inlineStr">
        <is>
          <t>在手订单</t>
        </is>
      </c>
      <c r="G86" s="31" t="n">
        <v>36</v>
      </c>
      <c r="H86" s="31" t="n">
        <v>37</v>
      </c>
      <c r="I86" s="31" t="n">
        <v>37</v>
      </c>
      <c r="J86" s="31" t="n">
        <v>38</v>
      </c>
      <c r="K86" s="31" t="n">
        <v>38</v>
      </c>
      <c r="L86" s="31" t="n">
        <v>39</v>
      </c>
      <c r="M86" s="31" t="n">
        <v>39</v>
      </c>
      <c r="N86" s="31" t="n">
        <v>40</v>
      </c>
      <c r="O86" s="31" t="n">
        <v>40</v>
      </c>
      <c r="P86" s="31" t="n">
        <v>41</v>
      </c>
      <c r="Q86" s="31" t="n">
        <v>42</v>
      </c>
      <c r="R86" s="31" t="n">
        <v>42</v>
      </c>
      <c r="S86" s="32">
        <f>IF($F86="","",IF(IFERROR(VLOOKUP($F86,'维度字典'!$I$2:$J$50,2,0),"求和")="手工录入","",IF(IFERROR(VLOOKUP($F86,'维度字典'!$I$2:$J$50,2,0),"求和")="最新值",IFERROR(LOOKUP(9.99E+307,G86:R86),""),SUM(G86:R86))))</f>
        <v/>
      </c>
      <c r="T86" s="33" t="inlineStr">
        <is>
          <t>管道良好：新客户导入顺利，机会转化符合预期</t>
        </is>
      </c>
      <c r="U86" s="33" t="n"/>
    </row>
    <row r="87">
      <c r="A87" s="26">
        <f>IF($B87="","",ROW()-3)</f>
        <v/>
      </c>
      <c r="B87" s="27" t="inlineStr">
        <is>
          <t>李四</t>
        </is>
      </c>
      <c r="C87" s="27" t="inlineStr">
        <is>
          <t>空调制冷</t>
        </is>
      </c>
      <c r="D87" s="28" t="inlineStr">
        <is>
          <t>可拆</t>
        </is>
      </c>
      <c r="E87" s="29" t="inlineStr">
        <is>
          <t>华南</t>
        </is>
      </c>
      <c r="F87" s="30" t="inlineStr">
        <is>
          <t>目标客户机会</t>
        </is>
      </c>
      <c r="G87" s="31" t="n">
        <v>22</v>
      </c>
      <c r="H87" s="31" t="n">
        <v>22</v>
      </c>
      <c r="I87" s="31" t="n">
        <v>23</v>
      </c>
      <c r="J87" s="31" t="n">
        <v>23</v>
      </c>
      <c r="K87" s="31" t="n">
        <v>24</v>
      </c>
      <c r="L87" s="31" t="n">
        <v>24</v>
      </c>
      <c r="M87" s="31" t="n">
        <v>25</v>
      </c>
      <c r="N87" s="31" t="n">
        <v>25</v>
      </c>
      <c r="O87" s="31" t="n">
        <v>25</v>
      </c>
      <c r="P87" s="31" t="n">
        <v>26</v>
      </c>
      <c r="Q87" s="31" t="n">
        <v>26</v>
      </c>
      <c r="R87" s="31" t="n">
        <v>27</v>
      </c>
      <c r="S87" s="32">
        <f>IF($F87="","",IF(IFERROR(VLOOKUP($F87,'维度字典'!$I$2:$J$50,2,0),"求和")="手工录入","",IF(IFERROR(VLOOKUP($F87,'维度字典'!$I$2:$J$50,2,0),"求和")="最新值",IFERROR(LOOKUP(9.99E+307,G87:R87),""),SUM(G87:R87))))</f>
        <v/>
      </c>
      <c r="T87" s="33" t="n"/>
      <c r="U87" s="33" t="n"/>
    </row>
    <row r="88">
      <c r="A88" s="26">
        <f>IF($B88="","",ROW()-3)</f>
        <v/>
      </c>
      <c r="B88" s="27" t="inlineStr">
        <is>
          <t>李四</t>
        </is>
      </c>
      <c r="C88" s="27" t="inlineStr">
        <is>
          <t>工业制冷</t>
        </is>
      </c>
      <c r="D88" s="28" t="inlineStr">
        <is>
          <t>钎焊</t>
        </is>
      </c>
      <c r="E88" s="29" t="inlineStr">
        <is>
          <t>华南</t>
        </is>
      </c>
      <c r="F88" s="30" t="inlineStr">
        <is>
          <t>销售目标额</t>
        </is>
      </c>
      <c r="G88" s="31" t="n">
        <v>31</v>
      </c>
      <c r="H88" s="31" t="n">
        <v>26</v>
      </c>
      <c r="I88" s="31" t="n">
        <v>35</v>
      </c>
      <c r="J88" s="31" t="n">
        <v>39</v>
      </c>
      <c r="K88" s="31" t="n">
        <v>39</v>
      </c>
      <c r="L88" s="31" t="n">
        <v>44</v>
      </c>
      <c r="M88" s="31" t="n">
        <v>44</v>
      </c>
      <c r="N88" s="31" t="n">
        <v>39</v>
      </c>
      <c r="O88" s="31" t="n">
        <v>39</v>
      </c>
      <c r="P88" s="31" t="n">
        <v>39</v>
      </c>
      <c r="Q88" s="31" t="n">
        <v>35</v>
      </c>
      <c r="R88" s="31" t="n">
        <v>26</v>
      </c>
      <c r="S88" s="32">
        <f>IF($F88="","",IF(IFERROR(VLOOKUP($F88,'维度字典'!$I$2:$J$50,2,0),"求和")="手工录入","",IF(IFERROR(VLOOKUP($F88,'维度字典'!$I$2:$J$50,2,0),"求和")="最新值",IFERROR(LOOKUP(9.99E+307,G88:R88),""),SUM(G88:R88))))</f>
        <v/>
      </c>
      <c r="T88" s="33" t="n"/>
      <c r="U88" s="33" t="n"/>
    </row>
    <row r="89">
      <c r="A89" s="26">
        <f>IF($B89="","",ROW()-3)</f>
        <v/>
      </c>
      <c r="B89" s="27" t="inlineStr">
        <is>
          <t>李四</t>
        </is>
      </c>
      <c r="C89" s="27" t="inlineStr">
        <is>
          <t>工业制冷</t>
        </is>
      </c>
      <c r="D89" s="28" t="inlineStr">
        <is>
          <t>钎焊</t>
        </is>
      </c>
      <c r="E89" s="29" t="inlineStr">
        <is>
          <t>华南</t>
        </is>
      </c>
      <c r="F89" s="30" t="inlineStr">
        <is>
          <t>毛利目标</t>
        </is>
      </c>
      <c r="G89" s="31" t="n">
        <v>4.9</v>
      </c>
      <c r="H89" s="31" t="n">
        <v>4.2</v>
      </c>
      <c r="I89" s="31" t="n">
        <v>5.6</v>
      </c>
      <c r="J89" s="31" t="n">
        <v>6.3</v>
      </c>
      <c r="K89" s="31" t="n">
        <v>6.3</v>
      </c>
      <c r="L89" s="31" t="n">
        <v>7</v>
      </c>
      <c r="M89" s="31" t="n">
        <v>7</v>
      </c>
      <c r="N89" s="31" t="n">
        <v>6.3</v>
      </c>
      <c r="O89" s="31" t="n">
        <v>6.3</v>
      </c>
      <c r="P89" s="31" t="n">
        <v>6.3</v>
      </c>
      <c r="Q89" s="31" t="n">
        <v>5.6</v>
      </c>
      <c r="R89" s="31" t="n">
        <v>4.2</v>
      </c>
      <c r="S89" s="32">
        <f>IF($F89="","",IF(IFERROR(VLOOKUP($F89,'维度字典'!$I$2:$J$50,2,0),"求和")="手工录入","",IF(IFERROR(VLOOKUP($F89,'维度字典'!$I$2:$J$50,2,0),"求和")="最新值",IFERROR(LOOKUP(9.99E+307,G89:R89),""),SUM(G89:R89))))</f>
        <v/>
      </c>
      <c r="T89" s="33" t="n"/>
      <c r="U89" s="33" t="n"/>
    </row>
    <row r="90">
      <c r="A90" s="26">
        <f>IF($B90="","",ROW()-3)</f>
        <v/>
      </c>
      <c r="B90" s="27" t="inlineStr">
        <is>
          <t>李四</t>
        </is>
      </c>
      <c r="C90" s="27" t="inlineStr">
        <is>
          <t>工业制冷</t>
        </is>
      </c>
      <c r="D90" s="28" t="inlineStr">
        <is>
          <t>钎焊</t>
        </is>
      </c>
      <c r="E90" s="29" t="inlineStr">
        <is>
          <t>华南</t>
        </is>
      </c>
      <c r="F90" s="30" t="inlineStr">
        <is>
          <t>毛利率目标</t>
        </is>
      </c>
      <c r="G90" s="62" t="n">
        <v>0.1536</v>
      </c>
      <c r="H90" s="62" t="n">
        <v>0.1549</v>
      </c>
      <c r="I90" s="62" t="n">
        <v>0.1562</v>
      </c>
      <c r="J90" s="62" t="n">
        <v>0.1574</v>
      </c>
      <c r="K90" s="62" t="n">
        <v>0.1587</v>
      </c>
      <c r="L90" s="62" t="n">
        <v>0.16</v>
      </c>
      <c r="M90" s="62" t="n">
        <v>0.1613</v>
      </c>
      <c r="N90" s="62" t="n">
        <v>0.1626</v>
      </c>
      <c r="O90" s="62" t="n">
        <v>0.1638</v>
      </c>
      <c r="P90" s="62" t="n">
        <v>0.1651</v>
      </c>
      <c r="Q90" s="62" t="n">
        <v>0.1664</v>
      </c>
      <c r="R90" s="62" t="n">
        <v>0.1677</v>
      </c>
      <c r="S90" s="63" t="n">
        <v>0.16</v>
      </c>
      <c r="T90" s="33" t="n"/>
      <c r="U90" s="33" t="n"/>
    </row>
    <row r="91">
      <c r="A91" s="26">
        <f>IF($B91="","",ROW()-3)</f>
        <v/>
      </c>
      <c r="B91" s="27" t="inlineStr">
        <is>
          <t>李四</t>
        </is>
      </c>
      <c r="C91" s="27" t="inlineStr">
        <is>
          <t>工业制冷</t>
        </is>
      </c>
      <c r="D91" s="28" t="inlineStr">
        <is>
          <t>钎焊</t>
        </is>
      </c>
      <c r="E91" s="29" t="inlineStr">
        <is>
          <t>华南</t>
        </is>
      </c>
      <c r="F91" s="30" t="inlineStr">
        <is>
          <t>在手订单目标</t>
        </is>
      </c>
      <c r="G91" s="31" t="n">
        <v>52</v>
      </c>
      <c r="H91" s="31" t="n">
        <v>53</v>
      </c>
      <c r="I91" s="31" t="n">
        <v>53</v>
      </c>
      <c r="J91" s="31" t="n">
        <v>54</v>
      </c>
      <c r="K91" s="31" t="n">
        <v>55</v>
      </c>
      <c r="L91" s="31" t="n">
        <v>55</v>
      </c>
      <c r="M91" s="31" t="n">
        <v>56</v>
      </c>
      <c r="N91" s="31" t="n">
        <v>57</v>
      </c>
      <c r="O91" s="31" t="n">
        <v>58</v>
      </c>
      <c r="P91" s="31" t="n">
        <v>58</v>
      </c>
      <c r="Q91" s="31" t="n">
        <v>59</v>
      </c>
      <c r="R91" s="31" t="n">
        <v>60</v>
      </c>
      <c r="S91" s="32">
        <f>IF($F91="","",IF(IFERROR(VLOOKUP($F91,'维度字典'!$I$2:$J$50,2,0),"求和")="手工录入","",IF(IFERROR(VLOOKUP($F91,'维度字典'!$I$2:$J$50,2,0),"求和")="最新值",IFERROR(LOOKUP(9.99E+307,G91:R91),""),SUM(G91:R91))))</f>
        <v/>
      </c>
      <c r="T91" s="33" t="n"/>
      <c r="U91" s="33" t="n"/>
    </row>
    <row r="92">
      <c r="A92" s="26">
        <f>IF($B92="","",ROW()-3)</f>
        <v/>
      </c>
      <c r="B92" s="27" t="inlineStr">
        <is>
          <t>李四</t>
        </is>
      </c>
      <c r="C92" s="27" t="inlineStr">
        <is>
          <t>工业制冷</t>
        </is>
      </c>
      <c r="D92" s="28" t="inlineStr">
        <is>
          <t>钎焊</t>
        </is>
      </c>
      <c r="E92" s="29" t="inlineStr">
        <is>
          <t>华南</t>
        </is>
      </c>
      <c r="F92" s="30" t="inlineStr">
        <is>
          <t>目标客户机会目标</t>
        </is>
      </c>
      <c r="G92" s="31" t="n">
        <v>37</v>
      </c>
      <c r="H92" s="31" t="n">
        <v>38</v>
      </c>
      <c r="I92" s="31" t="n">
        <v>39</v>
      </c>
      <c r="J92" s="31" t="n">
        <v>39</v>
      </c>
      <c r="K92" s="31" t="n">
        <v>40</v>
      </c>
      <c r="L92" s="31" t="n">
        <v>41</v>
      </c>
      <c r="M92" s="31" t="n">
        <v>42</v>
      </c>
      <c r="N92" s="31" t="n">
        <v>42</v>
      </c>
      <c r="O92" s="31" t="n">
        <v>43</v>
      </c>
      <c r="P92" s="31" t="n">
        <v>44</v>
      </c>
      <c r="Q92" s="31" t="n">
        <v>45</v>
      </c>
      <c r="R92" s="31" t="n">
        <v>45</v>
      </c>
      <c r="S92" s="32">
        <f>IF($F92="","",IF(IFERROR(VLOOKUP($F92,'维度字典'!$I$2:$J$50,2,0),"求和")="手工录入","",IF(IFERROR(VLOOKUP($F92,'维度字典'!$I$2:$J$50,2,0),"求和")="最新值",IFERROR(LOOKUP(9.99E+307,G92:R92),""),SUM(G92:R92))))</f>
        <v/>
      </c>
      <c r="T92" s="33" t="n"/>
      <c r="U92" s="33" t="n"/>
    </row>
    <row r="93">
      <c r="A93" s="26">
        <f>IF($B93="","",ROW()-3)</f>
        <v/>
      </c>
      <c r="B93" s="27" t="inlineStr">
        <is>
          <t>李四</t>
        </is>
      </c>
      <c r="C93" s="27" t="inlineStr">
        <is>
          <t>工业制冷</t>
        </is>
      </c>
      <c r="D93" s="28" t="inlineStr">
        <is>
          <t>钎焊</t>
        </is>
      </c>
      <c r="E93" s="29" t="inlineStr">
        <is>
          <t>华南</t>
        </is>
      </c>
      <c r="F93" s="30" t="inlineStr">
        <is>
          <t>在手订单</t>
        </is>
      </c>
      <c r="G93" s="31" t="n">
        <v>52</v>
      </c>
      <c r="H93" s="31" t="n">
        <v>53</v>
      </c>
      <c r="I93" s="31" t="n">
        <v>53</v>
      </c>
      <c r="J93" s="31" t="n">
        <v>54</v>
      </c>
      <c r="K93" s="31" t="n">
        <v>55</v>
      </c>
      <c r="L93" s="31" t="n">
        <v>55</v>
      </c>
      <c r="M93" s="31" t="n">
        <v>56</v>
      </c>
      <c r="N93" s="31" t="n">
        <v>57</v>
      </c>
      <c r="O93" s="31" t="n">
        <v>58</v>
      </c>
      <c r="P93" s="31" t="n">
        <v>58</v>
      </c>
      <c r="Q93" s="31" t="n">
        <v>59</v>
      </c>
      <c r="R93" s="31" t="n">
        <v>60</v>
      </c>
      <c r="S93" s="32">
        <f>IF($F93="","",IF(IFERROR(VLOOKUP($F93,'维度字典'!$I$2:$J$50,2,0),"求和")="手工录入","",IF(IFERROR(VLOOKUP($F93,'维度字典'!$I$2:$J$50,2,0),"求和")="最新值",IFERROR(LOOKUP(9.99E+307,G93:R93),""),SUM(G93:R93))))</f>
        <v/>
      </c>
      <c r="T93" s="33" t="inlineStr">
        <is>
          <t>管道良好：新客户导入顺利，机会转化符合预期</t>
        </is>
      </c>
      <c r="U93" s="33" t="n"/>
    </row>
    <row r="94">
      <c r="A94" s="26">
        <f>IF($B94="","",ROW()-3)</f>
        <v/>
      </c>
      <c r="B94" s="27" t="inlineStr">
        <is>
          <t>李四</t>
        </is>
      </c>
      <c r="C94" s="27" t="inlineStr">
        <is>
          <t>工业制冷</t>
        </is>
      </c>
      <c r="D94" s="28" t="inlineStr">
        <is>
          <t>钎焊</t>
        </is>
      </c>
      <c r="E94" s="29" t="inlineStr">
        <is>
          <t>华南</t>
        </is>
      </c>
      <c r="F94" s="30" t="inlineStr">
        <is>
          <t>目标客户机会</t>
        </is>
      </c>
      <c r="G94" s="31" t="n">
        <v>31</v>
      </c>
      <c r="H94" s="31" t="n">
        <v>32</v>
      </c>
      <c r="I94" s="31" t="n">
        <v>33</v>
      </c>
      <c r="J94" s="31" t="n">
        <v>33</v>
      </c>
      <c r="K94" s="31" t="n">
        <v>34</v>
      </c>
      <c r="L94" s="31" t="n">
        <v>35</v>
      </c>
      <c r="M94" s="31" t="n">
        <v>35</v>
      </c>
      <c r="N94" s="31" t="n">
        <v>35</v>
      </c>
      <c r="O94" s="31" t="n">
        <v>36</v>
      </c>
      <c r="P94" s="31" t="n">
        <v>37</v>
      </c>
      <c r="Q94" s="31" t="n">
        <v>38</v>
      </c>
      <c r="R94" s="31" t="n">
        <v>38</v>
      </c>
      <c r="S94" s="32">
        <f>IF($F94="","",IF(IFERROR(VLOOKUP($F94,'维度字典'!$I$2:$J$50,2,0),"求和")="手工录入","",IF(IFERROR(VLOOKUP($F94,'维度字典'!$I$2:$J$50,2,0),"求和")="最新值",IFERROR(LOOKUP(9.99E+307,G94:R94),""),SUM(G94:R94))))</f>
        <v/>
      </c>
      <c r="T94" s="33" t="n"/>
      <c r="U94" s="33" t="n"/>
    </row>
    <row r="95">
      <c r="A95" s="26">
        <f>IF($B95="","",ROW()-3)</f>
        <v/>
      </c>
      <c r="B95" s="27" t="inlineStr">
        <is>
          <t>李四</t>
        </is>
      </c>
      <c r="C95" s="27" t="inlineStr">
        <is>
          <t>工业制冷</t>
        </is>
      </c>
      <c r="D95" s="28" t="inlineStr">
        <is>
          <t>可拆</t>
        </is>
      </c>
      <c r="E95" s="29" t="inlineStr">
        <is>
          <t>华南</t>
        </is>
      </c>
      <c r="F95" s="30" t="inlineStr">
        <is>
          <t>销售目标额</t>
        </is>
      </c>
      <c r="G95" s="31" t="n">
        <v>31</v>
      </c>
      <c r="H95" s="31" t="n">
        <v>26</v>
      </c>
      <c r="I95" s="31" t="n">
        <v>35</v>
      </c>
      <c r="J95" s="31" t="n">
        <v>39</v>
      </c>
      <c r="K95" s="31" t="n">
        <v>39</v>
      </c>
      <c r="L95" s="31" t="n">
        <v>44</v>
      </c>
      <c r="M95" s="31" t="n">
        <v>44</v>
      </c>
      <c r="N95" s="31" t="n">
        <v>39</v>
      </c>
      <c r="O95" s="31" t="n">
        <v>39</v>
      </c>
      <c r="P95" s="31" t="n">
        <v>39</v>
      </c>
      <c r="Q95" s="31" t="n">
        <v>35</v>
      </c>
      <c r="R95" s="31" t="n">
        <v>26</v>
      </c>
      <c r="S95" s="32">
        <f>IF($F95="","",IF(IFERROR(VLOOKUP($F95,'维度字典'!$I$2:$J$50,2,0),"求和")="手工录入","",IF(IFERROR(VLOOKUP($F95,'维度字典'!$I$2:$J$50,2,0),"求和")="最新值",IFERROR(LOOKUP(9.99E+307,G95:R95),""),SUM(G95:R95))))</f>
        <v/>
      </c>
      <c r="T95" s="33" t="n"/>
      <c r="U95" s="33" t="n"/>
    </row>
    <row r="96">
      <c r="A96" s="26">
        <f>IF($B96="","",ROW()-3)</f>
        <v/>
      </c>
      <c r="B96" s="27" t="inlineStr">
        <is>
          <t>李四</t>
        </is>
      </c>
      <c r="C96" s="27" t="inlineStr">
        <is>
          <t>工业制冷</t>
        </is>
      </c>
      <c r="D96" s="28" t="inlineStr">
        <is>
          <t>可拆</t>
        </is>
      </c>
      <c r="E96" s="29" t="inlineStr">
        <is>
          <t>华南</t>
        </is>
      </c>
      <c r="F96" s="30" t="inlineStr">
        <is>
          <t>毛利目标</t>
        </is>
      </c>
      <c r="G96" s="31" t="n">
        <v>4.9</v>
      </c>
      <c r="H96" s="31" t="n">
        <v>4.2</v>
      </c>
      <c r="I96" s="31" t="n">
        <v>5.6</v>
      </c>
      <c r="J96" s="31" t="n">
        <v>6.3</v>
      </c>
      <c r="K96" s="31" t="n">
        <v>6.3</v>
      </c>
      <c r="L96" s="31" t="n">
        <v>7</v>
      </c>
      <c r="M96" s="31" t="n">
        <v>7</v>
      </c>
      <c r="N96" s="31" t="n">
        <v>6.3</v>
      </c>
      <c r="O96" s="31" t="n">
        <v>6.3</v>
      </c>
      <c r="P96" s="31" t="n">
        <v>6.3</v>
      </c>
      <c r="Q96" s="31" t="n">
        <v>5.6</v>
      </c>
      <c r="R96" s="31" t="n">
        <v>4.2</v>
      </c>
      <c r="S96" s="32">
        <f>IF($F96="","",IF(IFERROR(VLOOKUP($F96,'维度字典'!$I$2:$J$50,2,0),"求和")="手工录入","",IF(IFERROR(VLOOKUP($F96,'维度字典'!$I$2:$J$50,2,0),"求和")="最新值",IFERROR(LOOKUP(9.99E+307,G96:R96),""),SUM(G96:R96))))</f>
        <v/>
      </c>
      <c r="T96" s="33" t="n"/>
      <c r="U96" s="33" t="n"/>
    </row>
    <row r="97">
      <c r="A97" s="26">
        <f>IF($B97="","",ROW()-3)</f>
        <v/>
      </c>
      <c r="B97" s="27" t="inlineStr">
        <is>
          <t>李四</t>
        </is>
      </c>
      <c r="C97" s="27" t="inlineStr">
        <is>
          <t>工业制冷</t>
        </is>
      </c>
      <c r="D97" s="28" t="inlineStr">
        <is>
          <t>可拆</t>
        </is>
      </c>
      <c r="E97" s="29" t="inlineStr">
        <is>
          <t>华南</t>
        </is>
      </c>
      <c r="F97" s="30" t="inlineStr">
        <is>
          <t>毛利率目标</t>
        </is>
      </c>
      <c r="G97" s="62" t="n">
        <v>0.1536</v>
      </c>
      <c r="H97" s="62" t="n">
        <v>0.1549</v>
      </c>
      <c r="I97" s="62" t="n">
        <v>0.1562</v>
      </c>
      <c r="J97" s="62" t="n">
        <v>0.1574</v>
      </c>
      <c r="K97" s="62" t="n">
        <v>0.1587</v>
      </c>
      <c r="L97" s="62" t="n">
        <v>0.16</v>
      </c>
      <c r="M97" s="62" t="n">
        <v>0.1613</v>
      </c>
      <c r="N97" s="62" t="n">
        <v>0.1626</v>
      </c>
      <c r="O97" s="62" t="n">
        <v>0.1638</v>
      </c>
      <c r="P97" s="62" t="n">
        <v>0.1651</v>
      </c>
      <c r="Q97" s="62" t="n">
        <v>0.1664</v>
      </c>
      <c r="R97" s="62" t="n">
        <v>0.1677</v>
      </c>
      <c r="S97" s="63" t="n">
        <v>0.16</v>
      </c>
      <c r="T97" s="33" t="n"/>
      <c r="U97" s="33" t="n"/>
    </row>
    <row r="98">
      <c r="A98" s="26">
        <f>IF($B98="","",ROW()-3)</f>
        <v/>
      </c>
      <c r="B98" s="27" t="inlineStr">
        <is>
          <t>李四</t>
        </is>
      </c>
      <c r="C98" s="27" t="inlineStr">
        <is>
          <t>工业制冷</t>
        </is>
      </c>
      <c r="D98" s="28" t="inlineStr">
        <is>
          <t>可拆</t>
        </is>
      </c>
      <c r="E98" s="29" t="inlineStr">
        <is>
          <t>华南</t>
        </is>
      </c>
      <c r="F98" s="30" t="inlineStr">
        <is>
          <t>在手订单目标</t>
        </is>
      </c>
      <c r="G98" s="31" t="n">
        <v>52</v>
      </c>
      <c r="H98" s="31" t="n">
        <v>52</v>
      </c>
      <c r="I98" s="31" t="n">
        <v>53</v>
      </c>
      <c r="J98" s="31" t="n">
        <v>54</v>
      </c>
      <c r="K98" s="31" t="n">
        <v>55</v>
      </c>
      <c r="L98" s="31" t="n">
        <v>55</v>
      </c>
      <c r="M98" s="31" t="n">
        <v>56</v>
      </c>
      <c r="N98" s="31" t="n">
        <v>57</v>
      </c>
      <c r="O98" s="31" t="n">
        <v>58</v>
      </c>
      <c r="P98" s="31" t="n">
        <v>58</v>
      </c>
      <c r="Q98" s="31" t="n">
        <v>59</v>
      </c>
      <c r="R98" s="31" t="n">
        <v>60</v>
      </c>
      <c r="S98" s="32">
        <f>IF($F98="","",IF(IFERROR(VLOOKUP($F98,'维度字典'!$I$2:$J$50,2,0),"求和")="手工录入","",IF(IFERROR(VLOOKUP($F98,'维度字典'!$I$2:$J$50,2,0),"求和")="最新值",IFERROR(LOOKUP(9.99E+307,G98:R98),""),SUM(G98:R98))))</f>
        <v/>
      </c>
      <c r="T98" s="33" t="n"/>
      <c r="U98" s="33" t="n"/>
    </row>
    <row r="99">
      <c r="A99" s="26">
        <f>IF($B99="","",ROW()-3)</f>
        <v/>
      </c>
      <c r="B99" s="27" t="inlineStr">
        <is>
          <t>李四</t>
        </is>
      </c>
      <c r="C99" s="27" t="inlineStr">
        <is>
          <t>工业制冷</t>
        </is>
      </c>
      <c r="D99" s="28" t="inlineStr">
        <is>
          <t>可拆</t>
        </is>
      </c>
      <c r="E99" s="29" t="inlineStr">
        <is>
          <t>华南</t>
        </is>
      </c>
      <c r="F99" s="30" t="inlineStr">
        <is>
          <t>目标客户机会目标</t>
        </is>
      </c>
      <c r="G99" s="31" t="n">
        <v>37</v>
      </c>
      <c r="H99" s="31" t="n">
        <v>38</v>
      </c>
      <c r="I99" s="31" t="n">
        <v>39</v>
      </c>
      <c r="J99" s="31" t="n">
        <v>39</v>
      </c>
      <c r="K99" s="31" t="n">
        <v>40</v>
      </c>
      <c r="L99" s="31" t="n">
        <v>41</v>
      </c>
      <c r="M99" s="31" t="n">
        <v>42</v>
      </c>
      <c r="N99" s="31" t="n">
        <v>42</v>
      </c>
      <c r="O99" s="31" t="n">
        <v>43</v>
      </c>
      <c r="P99" s="31" t="n">
        <v>44</v>
      </c>
      <c r="Q99" s="31" t="n">
        <v>44</v>
      </c>
      <c r="R99" s="31" t="n">
        <v>45</v>
      </c>
      <c r="S99" s="32">
        <f>IF($F99="","",IF(IFERROR(VLOOKUP($F99,'维度字典'!$I$2:$J$50,2,0),"求和")="手工录入","",IF(IFERROR(VLOOKUP($F99,'维度字典'!$I$2:$J$50,2,0),"求和")="最新值",IFERROR(LOOKUP(9.99E+307,G99:R99),""),SUM(G99:R99))))</f>
        <v/>
      </c>
      <c r="T99" s="33" t="n"/>
      <c r="U99" s="33" t="n"/>
    </row>
    <row r="100">
      <c r="A100" s="26">
        <f>IF($B100="","",ROW()-3)</f>
        <v/>
      </c>
      <c r="B100" s="27" t="inlineStr">
        <is>
          <t>李四</t>
        </is>
      </c>
      <c r="C100" s="27" t="inlineStr">
        <is>
          <t>工业制冷</t>
        </is>
      </c>
      <c r="D100" s="28" t="inlineStr">
        <is>
          <t>可拆</t>
        </is>
      </c>
      <c r="E100" s="29" t="inlineStr">
        <is>
          <t>华南</t>
        </is>
      </c>
      <c r="F100" s="30" t="inlineStr">
        <is>
          <t>在手订单</t>
        </is>
      </c>
      <c r="G100" s="31" t="n">
        <v>51</v>
      </c>
      <c r="H100" s="31" t="n">
        <v>51</v>
      </c>
      <c r="I100" s="31" t="n">
        <v>52</v>
      </c>
      <c r="J100" s="31" t="n">
        <v>53</v>
      </c>
      <c r="K100" s="31" t="n">
        <v>54</v>
      </c>
      <c r="L100" s="31" t="n">
        <v>54</v>
      </c>
      <c r="M100" s="31" t="n">
        <v>55</v>
      </c>
      <c r="N100" s="31" t="n">
        <v>56</v>
      </c>
      <c r="O100" s="31" t="n">
        <v>57</v>
      </c>
      <c r="P100" s="31" t="n">
        <v>57</v>
      </c>
      <c r="Q100" s="31" t="n">
        <v>58</v>
      </c>
      <c r="R100" s="31" t="n">
        <v>59</v>
      </c>
      <c r="S100" s="32">
        <f>IF($F100="","",IF(IFERROR(VLOOKUP($F100,'维度字典'!$I$2:$J$50,2,0),"求和")="手工录入","",IF(IFERROR(VLOOKUP($F100,'维度字典'!$I$2:$J$50,2,0),"求和")="最新值",IFERROR(LOOKUP(9.99E+307,G100:R100),""),SUM(G100:R100))))</f>
        <v/>
      </c>
      <c r="T100" s="33" t="inlineStr">
        <is>
          <t>管道良好：新客户导入顺利，机会转化符合预期</t>
        </is>
      </c>
      <c r="U100" s="33" t="n"/>
    </row>
    <row r="101">
      <c r="A101" s="26">
        <f>IF($B101="","",ROW()-3)</f>
        <v/>
      </c>
      <c r="B101" s="27" t="inlineStr">
        <is>
          <t>李四</t>
        </is>
      </c>
      <c r="C101" s="27" t="inlineStr">
        <is>
          <t>工业制冷</t>
        </is>
      </c>
      <c r="D101" s="28" t="inlineStr">
        <is>
          <t>可拆</t>
        </is>
      </c>
      <c r="E101" s="29" t="inlineStr">
        <is>
          <t>华南</t>
        </is>
      </c>
      <c r="F101" s="30" t="inlineStr">
        <is>
          <t>目标客户机会</t>
        </is>
      </c>
      <c r="G101" s="31" t="n">
        <v>31</v>
      </c>
      <c r="H101" s="31" t="n">
        <v>32</v>
      </c>
      <c r="I101" s="31" t="n">
        <v>32</v>
      </c>
      <c r="J101" s="31" t="n">
        <v>32</v>
      </c>
      <c r="K101" s="31" t="n">
        <v>33</v>
      </c>
      <c r="L101" s="31" t="n">
        <v>34</v>
      </c>
      <c r="M101" s="31" t="n">
        <v>35</v>
      </c>
      <c r="N101" s="31" t="n">
        <v>35</v>
      </c>
      <c r="O101" s="31" t="n">
        <v>36</v>
      </c>
      <c r="P101" s="31" t="n">
        <v>37</v>
      </c>
      <c r="Q101" s="31" t="n">
        <v>37</v>
      </c>
      <c r="R101" s="31" t="n">
        <v>37</v>
      </c>
      <c r="S101" s="32">
        <f>IF($F101="","",IF(IFERROR(VLOOKUP($F101,'维度字典'!$I$2:$J$50,2,0),"求和")="手工录入","",IF(IFERROR(VLOOKUP($F101,'维度字典'!$I$2:$J$50,2,0),"求和")="最新值",IFERROR(LOOKUP(9.99E+307,G101:R101),""),SUM(G101:R101))))</f>
        <v/>
      </c>
      <c r="T101" s="33" t="n"/>
      <c r="U101" s="33" t="n"/>
    </row>
    <row r="102">
      <c r="A102" s="26">
        <f>IF($B102="","",ROW()-3)</f>
        <v/>
      </c>
      <c r="B102" s="27" t="inlineStr">
        <is>
          <t>李四</t>
        </is>
      </c>
      <c r="C102" s="27" t="inlineStr">
        <is>
          <t>船舶行业</t>
        </is>
      </c>
      <c r="D102" s="28" t="inlineStr">
        <is>
          <t>钎焊</t>
        </is>
      </c>
      <c r="E102" s="29" t="inlineStr">
        <is>
          <t>华南</t>
        </is>
      </c>
      <c r="F102" s="30" t="inlineStr">
        <is>
          <t>销售目标额</t>
        </is>
      </c>
      <c r="G102" s="31" t="n">
        <v>8</v>
      </c>
      <c r="H102" s="31" t="n">
        <v>7</v>
      </c>
      <c r="I102" s="31" t="n">
        <v>9</v>
      </c>
      <c r="J102" s="31" t="n">
        <v>10</v>
      </c>
      <c r="K102" s="31" t="n">
        <v>10</v>
      </c>
      <c r="L102" s="31" t="n">
        <v>11</v>
      </c>
      <c r="M102" s="31" t="n">
        <v>11</v>
      </c>
      <c r="N102" s="31" t="n">
        <v>10</v>
      </c>
      <c r="O102" s="31" t="n">
        <v>10</v>
      </c>
      <c r="P102" s="31" t="n">
        <v>10</v>
      </c>
      <c r="Q102" s="31" t="n">
        <v>9</v>
      </c>
      <c r="R102" s="31" t="n">
        <v>7</v>
      </c>
      <c r="S102" s="32">
        <f>IF($F102="","",IF(IFERROR(VLOOKUP($F102,'维度字典'!$I$2:$J$50,2,0),"求和")="手工录入","",IF(IFERROR(VLOOKUP($F102,'维度字典'!$I$2:$J$50,2,0),"求和")="最新值",IFERROR(LOOKUP(9.99E+307,G102:R102),""),SUM(G102:R102))))</f>
        <v/>
      </c>
      <c r="T102" s="33" t="n"/>
      <c r="U102" s="33" t="n"/>
    </row>
    <row r="103">
      <c r="A103" s="26">
        <f>IF($B103="","",ROW()-3)</f>
        <v/>
      </c>
      <c r="B103" s="27" t="inlineStr">
        <is>
          <t>李四</t>
        </is>
      </c>
      <c r="C103" s="27" t="inlineStr">
        <is>
          <t>船舶行业</t>
        </is>
      </c>
      <c r="D103" s="28" t="inlineStr">
        <is>
          <t>钎焊</t>
        </is>
      </c>
      <c r="E103" s="29" t="inlineStr">
        <is>
          <t>华南</t>
        </is>
      </c>
      <c r="F103" s="30" t="inlineStr">
        <is>
          <t>毛利目标</t>
        </is>
      </c>
      <c r="G103" s="31" t="n">
        <v>1.6</v>
      </c>
      <c r="H103" s="31" t="n">
        <v>1.3</v>
      </c>
      <c r="I103" s="31" t="n">
        <v>1.8</v>
      </c>
      <c r="J103" s="31" t="n">
        <v>2</v>
      </c>
      <c r="K103" s="31" t="n">
        <v>2</v>
      </c>
      <c r="L103" s="31" t="n">
        <v>2.2</v>
      </c>
      <c r="M103" s="31" t="n">
        <v>2.2</v>
      </c>
      <c r="N103" s="31" t="n">
        <v>2</v>
      </c>
      <c r="O103" s="31" t="n">
        <v>2</v>
      </c>
      <c r="P103" s="31" t="n">
        <v>2</v>
      </c>
      <c r="Q103" s="31" t="n">
        <v>1.8</v>
      </c>
      <c r="R103" s="31" t="n">
        <v>1.3</v>
      </c>
      <c r="S103" s="32">
        <f>IF($F103="","",IF(IFERROR(VLOOKUP($F103,'维度字典'!$I$2:$J$50,2,0),"求和")="手工录入","",IF(IFERROR(VLOOKUP($F103,'维度字典'!$I$2:$J$50,2,0),"求和")="最新值",IFERROR(LOOKUP(9.99E+307,G103:R103),""),SUM(G103:R103))))</f>
        <v/>
      </c>
      <c r="T103" s="33" t="n"/>
      <c r="U103" s="33" t="n"/>
    </row>
    <row r="104">
      <c r="A104" s="26">
        <f>IF($B104="","",ROW()-3)</f>
        <v/>
      </c>
      <c r="B104" s="27" t="inlineStr">
        <is>
          <t>李四</t>
        </is>
      </c>
      <c r="C104" s="27" t="inlineStr">
        <is>
          <t>船舶行业</t>
        </is>
      </c>
      <c r="D104" s="28" t="inlineStr">
        <is>
          <t>钎焊</t>
        </is>
      </c>
      <c r="E104" s="29" t="inlineStr">
        <is>
          <t>华南</t>
        </is>
      </c>
      <c r="F104" s="30" t="inlineStr">
        <is>
          <t>毛利率目标</t>
        </is>
      </c>
      <c r="G104" s="62" t="n">
        <v>0.192</v>
      </c>
      <c r="H104" s="62" t="n">
        <v>0.1936</v>
      </c>
      <c r="I104" s="62" t="n">
        <v>0.1952</v>
      </c>
      <c r="J104" s="62" t="n">
        <v>0.1968</v>
      </c>
      <c r="K104" s="62" t="n">
        <v>0.1984</v>
      </c>
      <c r="L104" s="62" t="n">
        <v>0.2</v>
      </c>
      <c r="M104" s="62" t="n">
        <v>0.2016</v>
      </c>
      <c r="N104" s="62" t="n">
        <v>0.2032</v>
      </c>
      <c r="O104" s="62" t="n">
        <v>0.2048</v>
      </c>
      <c r="P104" s="62" t="n">
        <v>0.2064</v>
      </c>
      <c r="Q104" s="62" t="n">
        <v>0.208</v>
      </c>
      <c r="R104" s="62" t="n">
        <v>0.2096</v>
      </c>
      <c r="S104" s="63" t="n">
        <v>0.2</v>
      </c>
      <c r="T104" s="33" t="n"/>
      <c r="U104" s="33" t="n"/>
    </row>
    <row r="105">
      <c r="A105" s="26">
        <f>IF($B105="","",ROW()-3)</f>
        <v/>
      </c>
      <c r="B105" s="27" t="inlineStr">
        <is>
          <t>李四</t>
        </is>
      </c>
      <c r="C105" s="27" t="inlineStr">
        <is>
          <t>船舶行业</t>
        </is>
      </c>
      <c r="D105" s="28" t="inlineStr">
        <is>
          <t>钎焊</t>
        </is>
      </c>
      <c r="E105" s="29" t="inlineStr">
        <is>
          <t>华南</t>
        </is>
      </c>
      <c r="F105" s="30" t="inlineStr">
        <is>
          <t>在手订单目标</t>
        </is>
      </c>
      <c r="G105" s="31" t="n">
        <v>13</v>
      </c>
      <c r="H105" s="31" t="n">
        <v>13</v>
      </c>
      <c r="I105" s="31" t="n">
        <v>14</v>
      </c>
      <c r="J105" s="31" t="n">
        <v>14</v>
      </c>
      <c r="K105" s="31" t="n">
        <v>14</v>
      </c>
      <c r="L105" s="31" t="n">
        <v>14</v>
      </c>
      <c r="M105" s="31" t="n">
        <v>14</v>
      </c>
      <c r="N105" s="31" t="n">
        <v>15</v>
      </c>
      <c r="O105" s="31" t="n">
        <v>15</v>
      </c>
      <c r="P105" s="31" t="n">
        <v>15</v>
      </c>
      <c r="Q105" s="31" t="n">
        <v>15</v>
      </c>
      <c r="R105" s="31" t="n">
        <v>15</v>
      </c>
      <c r="S105" s="32">
        <f>IF($F105="","",IF(IFERROR(VLOOKUP($F105,'维度字典'!$I$2:$J$50,2,0),"求和")="手工录入","",IF(IFERROR(VLOOKUP($F105,'维度字典'!$I$2:$J$50,2,0),"求和")="最新值",IFERROR(LOOKUP(9.99E+307,G105:R105),""),SUM(G105:R105))))</f>
        <v/>
      </c>
      <c r="T105" s="33" t="n"/>
      <c r="U105" s="33" t="n"/>
    </row>
    <row r="106">
      <c r="A106" s="26">
        <f>IF($B106="","",ROW()-3)</f>
        <v/>
      </c>
      <c r="B106" s="27" t="inlineStr">
        <is>
          <t>李四</t>
        </is>
      </c>
      <c r="C106" s="27" t="inlineStr">
        <is>
          <t>船舶行业</t>
        </is>
      </c>
      <c r="D106" s="28" t="inlineStr">
        <is>
          <t>钎焊</t>
        </is>
      </c>
      <c r="E106" s="29" t="inlineStr">
        <is>
          <t>华南</t>
        </is>
      </c>
      <c r="F106" s="30" t="inlineStr">
        <is>
          <t>目标客户机会目标</t>
        </is>
      </c>
      <c r="G106" s="31" t="n">
        <v>10</v>
      </c>
      <c r="H106" s="31" t="n">
        <v>10</v>
      </c>
      <c r="I106" s="31" t="n">
        <v>10</v>
      </c>
      <c r="J106" s="31" t="n">
        <v>10</v>
      </c>
      <c r="K106" s="31" t="n">
        <v>10</v>
      </c>
      <c r="L106" s="31" t="n">
        <v>10</v>
      </c>
      <c r="M106" s="31" t="n">
        <v>11</v>
      </c>
      <c r="N106" s="31" t="n">
        <v>11</v>
      </c>
      <c r="O106" s="31" t="n">
        <v>11</v>
      </c>
      <c r="P106" s="31" t="n">
        <v>11</v>
      </c>
      <c r="Q106" s="31" t="n">
        <v>11</v>
      </c>
      <c r="R106" s="31" t="n">
        <v>12</v>
      </c>
      <c r="S106" s="32">
        <f>IF($F106="","",IF(IFERROR(VLOOKUP($F106,'维度字典'!$I$2:$J$50,2,0),"求和")="手工录入","",IF(IFERROR(VLOOKUP($F106,'维度字典'!$I$2:$J$50,2,0),"求和")="最新值",IFERROR(LOOKUP(9.99E+307,G106:R106),""),SUM(G106:R106))))</f>
        <v/>
      </c>
      <c r="T106" s="33" t="n"/>
      <c r="U106" s="33" t="n"/>
    </row>
    <row r="107">
      <c r="A107" s="26">
        <f>IF($B107="","",ROW()-3)</f>
        <v/>
      </c>
      <c r="B107" s="27" t="inlineStr">
        <is>
          <t>李四</t>
        </is>
      </c>
      <c r="C107" s="27" t="inlineStr">
        <is>
          <t>船舶行业</t>
        </is>
      </c>
      <c r="D107" s="28" t="inlineStr">
        <is>
          <t>钎焊</t>
        </is>
      </c>
      <c r="E107" s="29" t="inlineStr">
        <is>
          <t>华南</t>
        </is>
      </c>
      <c r="F107" s="30" t="inlineStr">
        <is>
          <t>在手订单</t>
        </is>
      </c>
      <c r="G107" s="31" t="n">
        <v>13</v>
      </c>
      <c r="H107" s="31" t="n">
        <v>13</v>
      </c>
      <c r="I107" s="31" t="n">
        <v>13</v>
      </c>
      <c r="J107" s="31" t="n">
        <v>13</v>
      </c>
      <c r="K107" s="31" t="n">
        <v>13</v>
      </c>
      <c r="L107" s="31" t="n">
        <v>13</v>
      </c>
      <c r="M107" s="31" t="n">
        <v>13</v>
      </c>
      <c r="N107" s="31" t="n">
        <v>14</v>
      </c>
      <c r="O107" s="31" t="n">
        <v>14</v>
      </c>
      <c r="P107" s="31" t="n">
        <v>14</v>
      </c>
      <c r="Q107" s="31" t="n">
        <v>14</v>
      </c>
      <c r="R107" s="31" t="n">
        <v>14</v>
      </c>
      <c r="S107" s="32">
        <f>IF($F107="","",IF(IFERROR(VLOOKUP($F107,'维度字典'!$I$2:$J$50,2,0),"求和")="手工录入","",IF(IFERROR(VLOOKUP($F107,'维度字典'!$I$2:$J$50,2,0),"求和")="最新值",IFERROR(LOOKUP(9.99E+307,G107:R107),""),SUM(G107:R107))))</f>
        <v/>
      </c>
      <c r="T107" s="33" t="inlineStr">
        <is>
          <t>管道良好：新客户导入顺利，机会转化符合预期</t>
        </is>
      </c>
      <c r="U107" s="33" t="n"/>
    </row>
    <row r="108">
      <c r="A108" s="26">
        <f>IF($B108="","",ROW()-3)</f>
        <v/>
      </c>
      <c r="B108" s="27" t="inlineStr">
        <is>
          <t>李四</t>
        </is>
      </c>
      <c r="C108" s="27" t="inlineStr">
        <is>
          <t>船舶行业</t>
        </is>
      </c>
      <c r="D108" s="28" t="inlineStr">
        <is>
          <t>钎焊</t>
        </is>
      </c>
      <c r="E108" s="29" t="inlineStr">
        <is>
          <t>华南</t>
        </is>
      </c>
      <c r="F108" s="30" t="inlineStr">
        <is>
          <t>目标客户机会</t>
        </is>
      </c>
      <c r="G108" s="31" t="n">
        <v>8</v>
      </c>
      <c r="H108" s="31" t="n">
        <v>8</v>
      </c>
      <c r="I108" s="31" t="n">
        <v>8</v>
      </c>
      <c r="J108" s="31" t="n">
        <v>8</v>
      </c>
      <c r="K108" s="31" t="n">
        <v>8</v>
      </c>
      <c r="L108" s="31" t="n">
        <v>8</v>
      </c>
      <c r="M108" s="31" t="n">
        <v>9</v>
      </c>
      <c r="N108" s="31" t="n">
        <v>9</v>
      </c>
      <c r="O108" s="31" t="n">
        <v>9</v>
      </c>
      <c r="P108" s="31" t="n">
        <v>9</v>
      </c>
      <c r="Q108" s="31" t="n">
        <v>9</v>
      </c>
      <c r="R108" s="31" t="n">
        <v>10</v>
      </c>
      <c r="S108" s="32">
        <f>IF($F108="","",IF(IFERROR(VLOOKUP($F108,'维度字典'!$I$2:$J$50,2,0),"求和")="手工录入","",IF(IFERROR(VLOOKUP($F108,'维度字典'!$I$2:$J$50,2,0),"求和")="最新值",IFERROR(LOOKUP(9.99E+307,G108:R108),""),SUM(G108:R108))))</f>
        <v/>
      </c>
      <c r="T108" s="33" t="n"/>
      <c r="U108" s="33" t="n"/>
    </row>
    <row r="109">
      <c r="A109" s="26">
        <f>IF($B109="","",ROW()-3)</f>
        <v/>
      </c>
      <c r="B109" s="27" t="inlineStr">
        <is>
          <t>李四</t>
        </is>
      </c>
      <c r="C109" s="27" t="inlineStr">
        <is>
          <t>船舶行业</t>
        </is>
      </c>
      <c r="D109" s="28" t="inlineStr">
        <is>
          <t>可拆</t>
        </is>
      </c>
      <c r="E109" s="29" t="inlineStr">
        <is>
          <t>华南</t>
        </is>
      </c>
      <c r="F109" s="30" t="inlineStr">
        <is>
          <t>销售目标额</t>
        </is>
      </c>
      <c r="G109" s="31" t="n">
        <v>12</v>
      </c>
      <c r="H109" s="31" t="n">
        <v>10</v>
      </c>
      <c r="I109" s="31" t="n">
        <v>13</v>
      </c>
      <c r="J109" s="31" t="n">
        <v>15</v>
      </c>
      <c r="K109" s="31" t="n">
        <v>15</v>
      </c>
      <c r="L109" s="31" t="n">
        <v>17</v>
      </c>
      <c r="M109" s="31" t="n">
        <v>17</v>
      </c>
      <c r="N109" s="31" t="n">
        <v>15</v>
      </c>
      <c r="O109" s="31" t="n">
        <v>15</v>
      </c>
      <c r="P109" s="31" t="n">
        <v>15</v>
      </c>
      <c r="Q109" s="31" t="n">
        <v>13</v>
      </c>
      <c r="R109" s="31" t="n">
        <v>10</v>
      </c>
      <c r="S109" s="32">
        <f>IF($F109="","",IF(IFERROR(VLOOKUP($F109,'维度字典'!$I$2:$J$50,2,0),"求和")="手工录入","",IF(IFERROR(VLOOKUP($F109,'维度字典'!$I$2:$J$50,2,0),"求和")="最新值",IFERROR(LOOKUP(9.99E+307,G109:R109),""),SUM(G109:R109))))</f>
        <v/>
      </c>
      <c r="T109" s="33" t="n"/>
      <c r="U109" s="33" t="n"/>
    </row>
    <row r="110">
      <c r="A110" s="26">
        <f>IF($B110="","",ROW()-3)</f>
        <v/>
      </c>
      <c r="B110" s="27" t="inlineStr">
        <is>
          <t>李四</t>
        </is>
      </c>
      <c r="C110" s="27" t="inlineStr">
        <is>
          <t>船舶行业</t>
        </is>
      </c>
      <c r="D110" s="28" t="inlineStr">
        <is>
          <t>可拆</t>
        </is>
      </c>
      <c r="E110" s="29" t="inlineStr">
        <is>
          <t>华南</t>
        </is>
      </c>
      <c r="F110" s="30" t="inlineStr">
        <is>
          <t>毛利目标</t>
        </is>
      </c>
      <c r="G110" s="31" t="n">
        <v>2.4</v>
      </c>
      <c r="H110" s="31" t="n">
        <v>2</v>
      </c>
      <c r="I110" s="31" t="n">
        <v>2.7</v>
      </c>
      <c r="J110" s="31" t="n">
        <v>3</v>
      </c>
      <c r="K110" s="31" t="n">
        <v>3</v>
      </c>
      <c r="L110" s="31" t="n">
        <v>3.4</v>
      </c>
      <c r="M110" s="31" t="n">
        <v>3.4</v>
      </c>
      <c r="N110" s="31" t="n">
        <v>3</v>
      </c>
      <c r="O110" s="31" t="n">
        <v>3</v>
      </c>
      <c r="P110" s="31" t="n">
        <v>3</v>
      </c>
      <c r="Q110" s="31" t="n">
        <v>2.7</v>
      </c>
      <c r="R110" s="31" t="n">
        <v>2</v>
      </c>
      <c r="S110" s="32">
        <f>IF($F110="","",IF(IFERROR(VLOOKUP($F110,'维度字典'!$I$2:$J$50,2,0),"求和")="手工录入","",IF(IFERROR(VLOOKUP($F110,'维度字典'!$I$2:$J$50,2,0),"求和")="最新值",IFERROR(LOOKUP(9.99E+307,G110:R110),""),SUM(G110:R110))))</f>
        <v/>
      </c>
      <c r="T110" s="33" t="n"/>
      <c r="U110" s="33" t="n"/>
    </row>
    <row r="111">
      <c r="A111" s="26">
        <f>IF($B111="","",ROW()-3)</f>
        <v/>
      </c>
      <c r="B111" s="27" t="inlineStr">
        <is>
          <t>李四</t>
        </is>
      </c>
      <c r="C111" s="27" t="inlineStr">
        <is>
          <t>船舶行业</t>
        </is>
      </c>
      <c r="D111" s="28" t="inlineStr">
        <is>
          <t>可拆</t>
        </is>
      </c>
      <c r="E111" s="29" t="inlineStr">
        <is>
          <t>华南</t>
        </is>
      </c>
      <c r="F111" s="30" t="inlineStr">
        <is>
          <t>毛利率目标</t>
        </is>
      </c>
      <c r="G111" s="62" t="n">
        <v>0.192</v>
      </c>
      <c r="H111" s="62" t="n">
        <v>0.1936</v>
      </c>
      <c r="I111" s="62" t="n">
        <v>0.1952</v>
      </c>
      <c r="J111" s="62" t="n">
        <v>0.1968</v>
      </c>
      <c r="K111" s="62" t="n">
        <v>0.1984</v>
      </c>
      <c r="L111" s="62" t="n">
        <v>0.2</v>
      </c>
      <c r="M111" s="62" t="n">
        <v>0.2016</v>
      </c>
      <c r="N111" s="62" t="n">
        <v>0.2032</v>
      </c>
      <c r="O111" s="62" t="n">
        <v>0.2048</v>
      </c>
      <c r="P111" s="62" t="n">
        <v>0.2064</v>
      </c>
      <c r="Q111" s="62" t="n">
        <v>0.208</v>
      </c>
      <c r="R111" s="62" t="n">
        <v>0.2096</v>
      </c>
      <c r="S111" s="63" t="n">
        <v>0.2</v>
      </c>
      <c r="T111" s="33" t="n"/>
      <c r="U111" s="33" t="n"/>
    </row>
    <row r="112">
      <c r="A112" s="26">
        <f>IF($B112="","",ROW()-3)</f>
        <v/>
      </c>
      <c r="B112" s="27" t="inlineStr">
        <is>
          <t>李四</t>
        </is>
      </c>
      <c r="C112" s="27" t="inlineStr">
        <is>
          <t>船舶行业</t>
        </is>
      </c>
      <c r="D112" s="28" t="inlineStr">
        <is>
          <t>可拆</t>
        </is>
      </c>
      <c r="E112" s="29" t="inlineStr">
        <is>
          <t>华南</t>
        </is>
      </c>
      <c r="F112" s="30" t="inlineStr">
        <is>
          <t>在手订单目标</t>
        </is>
      </c>
      <c r="G112" s="31" t="n">
        <v>20</v>
      </c>
      <c r="H112" s="31" t="n">
        <v>20</v>
      </c>
      <c r="I112" s="31" t="n">
        <v>20</v>
      </c>
      <c r="J112" s="31" t="n">
        <v>21</v>
      </c>
      <c r="K112" s="31" t="n">
        <v>21</v>
      </c>
      <c r="L112" s="31" t="n">
        <v>21</v>
      </c>
      <c r="M112" s="31" t="n">
        <v>22</v>
      </c>
      <c r="N112" s="31" t="n">
        <v>22</v>
      </c>
      <c r="O112" s="31" t="n">
        <v>22</v>
      </c>
      <c r="P112" s="31" t="n">
        <v>22</v>
      </c>
      <c r="Q112" s="31" t="n">
        <v>23</v>
      </c>
      <c r="R112" s="31" t="n">
        <v>23</v>
      </c>
      <c r="S112" s="32">
        <f>IF($F112="","",IF(IFERROR(VLOOKUP($F112,'维度字典'!$I$2:$J$50,2,0),"求和")="手工录入","",IF(IFERROR(VLOOKUP($F112,'维度字典'!$I$2:$J$50,2,0),"求和")="最新值",IFERROR(LOOKUP(9.99E+307,G112:R112),""),SUM(G112:R112))))</f>
        <v/>
      </c>
      <c r="T112" s="33" t="n"/>
      <c r="U112" s="33" t="n"/>
    </row>
    <row r="113">
      <c r="A113" s="26">
        <f>IF($B113="","",ROW()-3)</f>
        <v/>
      </c>
      <c r="B113" s="27" t="inlineStr">
        <is>
          <t>李四</t>
        </is>
      </c>
      <c r="C113" s="27" t="inlineStr">
        <is>
          <t>船舶行业</t>
        </is>
      </c>
      <c r="D113" s="28" t="inlineStr">
        <is>
          <t>可拆</t>
        </is>
      </c>
      <c r="E113" s="29" t="inlineStr">
        <is>
          <t>华南</t>
        </is>
      </c>
      <c r="F113" s="30" t="inlineStr">
        <is>
          <t>目标客户机会目标</t>
        </is>
      </c>
      <c r="G113" s="31" t="n">
        <v>14</v>
      </c>
      <c r="H113" s="31" t="n">
        <v>15</v>
      </c>
      <c r="I113" s="31" t="n">
        <v>15</v>
      </c>
      <c r="J113" s="31" t="n">
        <v>15</v>
      </c>
      <c r="K113" s="31" t="n">
        <v>15</v>
      </c>
      <c r="L113" s="31" t="n">
        <v>16</v>
      </c>
      <c r="M113" s="31" t="n">
        <v>16</v>
      </c>
      <c r="N113" s="31" t="n">
        <v>16</v>
      </c>
      <c r="O113" s="31" t="n">
        <v>17</v>
      </c>
      <c r="P113" s="31" t="n">
        <v>17</v>
      </c>
      <c r="Q113" s="31" t="n">
        <v>17</v>
      </c>
      <c r="R113" s="31" t="n">
        <v>17</v>
      </c>
      <c r="S113" s="32">
        <f>IF($F113="","",IF(IFERROR(VLOOKUP($F113,'维度字典'!$I$2:$J$50,2,0),"求和")="手工录入","",IF(IFERROR(VLOOKUP($F113,'维度字典'!$I$2:$J$50,2,0),"求和")="最新值",IFERROR(LOOKUP(9.99E+307,G113:R113),""),SUM(G113:R113))))</f>
        <v/>
      </c>
      <c r="T113" s="33" t="n"/>
      <c r="U113" s="33" t="n"/>
    </row>
    <row r="114">
      <c r="A114" s="26">
        <f>IF($B114="","",ROW()-3)</f>
        <v/>
      </c>
      <c r="B114" s="27" t="inlineStr">
        <is>
          <t>李四</t>
        </is>
      </c>
      <c r="C114" s="27" t="inlineStr">
        <is>
          <t>船舶行业</t>
        </is>
      </c>
      <c r="D114" s="28" t="inlineStr">
        <is>
          <t>可拆</t>
        </is>
      </c>
      <c r="E114" s="29" t="inlineStr">
        <is>
          <t>华南</t>
        </is>
      </c>
      <c r="F114" s="30" t="inlineStr">
        <is>
          <t>在手订单</t>
        </is>
      </c>
      <c r="G114" s="31" t="n">
        <v>19</v>
      </c>
      <c r="H114" s="31" t="n">
        <v>19</v>
      </c>
      <c r="I114" s="31" t="n">
        <v>19</v>
      </c>
      <c r="J114" s="31" t="n">
        <v>20</v>
      </c>
      <c r="K114" s="31" t="n">
        <v>20</v>
      </c>
      <c r="L114" s="31" t="n">
        <v>20</v>
      </c>
      <c r="M114" s="31" t="n">
        <v>21</v>
      </c>
      <c r="N114" s="31" t="n">
        <v>21</v>
      </c>
      <c r="O114" s="31" t="n">
        <v>21</v>
      </c>
      <c r="P114" s="31" t="n">
        <v>21</v>
      </c>
      <c r="Q114" s="31" t="n">
        <v>22</v>
      </c>
      <c r="R114" s="31" t="n">
        <v>22</v>
      </c>
      <c r="S114" s="32">
        <f>IF($F114="","",IF(IFERROR(VLOOKUP($F114,'维度字典'!$I$2:$J$50,2,0),"求和")="手工录入","",IF(IFERROR(VLOOKUP($F114,'维度字典'!$I$2:$J$50,2,0),"求和")="最新值",IFERROR(LOOKUP(9.99E+307,G114:R114),""),SUM(G114:R114))))</f>
        <v/>
      </c>
      <c r="T114" s="33" t="inlineStr">
        <is>
          <t>管道偏紧：个别客户观望，需加快报价与签约节奏</t>
        </is>
      </c>
      <c r="U114" s="33" t="n"/>
    </row>
    <row r="115">
      <c r="A115" s="26">
        <f>IF($B115="","",ROW()-3)</f>
        <v/>
      </c>
      <c r="B115" s="27" t="inlineStr">
        <is>
          <t>李四</t>
        </is>
      </c>
      <c r="C115" s="27" t="inlineStr">
        <is>
          <t>船舶行业</t>
        </is>
      </c>
      <c r="D115" s="28" t="inlineStr">
        <is>
          <t>可拆</t>
        </is>
      </c>
      <c r="E115" s="29" t="inlineStr">
        <is>
          <t>华南</t>
        </is>
      </c>
      <c r="F115" s="30" t="inlineStr">
        <is>
          <t>目标客户机会</t>
        </is>
      </c>
      <c r="G115" s="31" t="n">
        <v>11</v>
      </c>
      <c r="H115" s="31" t="n">
        <v>12</v>
      </c>
      <c r="I115" s="31" t="n">
        <v>12</v>
      </c>
      <c r="J115" s="31" t="n">
        <v>12</v>
      </c>
      <c r="K115" s="31" t="n">
        <v>12</v>
      </c>
      <c r="L115" s="31" t="n">
        <v>13</v>
      </c>
      <c r="M115" s="31" t="n">
        <v>13</v>
      </c>
      <c r="N115" s="31" t="n">
        <v>13</v>
      </c>
      <c r="O115" s="31" t="n">
        <v>14</v>
      </c>
      <c r="P115" s="31" t="n">
        <v>14</v>
      </c>
      <c r="Q115" s="31" t="n">
        <v>14</v>
      </c>
      <c r="R115" s="31" t="n">
        <v>14</v>
      </c>
      <c r="S115" s="32">
        <f>IF($F115="","",IF(IFERROR(VLOOKUP($F115,'维度字典'!$I$2:$J$50,2,0),"求和")="手工录入","",IF(IFERROR(VLOOKUP($F115,'维度字典'!$I$2:$J$50,2,0),"求和")="最新值",IFERROR(LOOKUP(9.99E+307,G115:R115),""),SUM(G115:R115))))</f>
        <v/>
      </c>
      <c r="T115" s="33" t="n"/>
      <c r="U115" s="33" t="n"/>
    </row>
    <row r="116">
      <c r="A116" s="26">
        <f>IF($B116="","",ROW()-3)</f>
        <v/>
      </c>
      <c r="B116" s="27" t="inlineStr">
        <is>
          <t>李四</t>
        </is>
      </c>
      <c r="C116" s="27" t="inlineStr">
        <is>
          <t>储能行业</t>
        </is>
      </c>
      <c r="D116" s="28" t="inlineStr">
        <is>
          <t>钎焊</t>
        </is>
      </c>
      <c r="E116" s="29" t="inlineStr">
        <is>
          <t>华南</t>
        </is>
      </c>
      <c r="F116" s="30" t="inlineStr">
        <is>
          <t>销售目标额</t>
        </is>
      </c>
      <c r="G116" s="31" t="n">
        <v>4</v>
      </c>
      <c r="H116" s="31" t="n">
        <v>4</v>
      </c>
      <c r="I116" s="31" t="n">
        <v>5</v>
      </c>
      <c r="J116" s="31" t="n">
        <v>6</v>
      </c>
      <c r="K116" s="31" t="n">
        <v>6</v>
      </c>
      <c r="L116" s="31" t="n">
        <v>6</v>
      </c>
      <c r="M116" s="31" t="n">
        <v>6</v>
      </c>
      <c r="N116" s="31" t="n">
        <v>6</v>
      </c>
      <c r="O116" s="31" t="n">
        <v>6</v>
      </c>
      <c r="P116" s="31" t="n">
        <v>6</v>
      </c>
      <c r="Q116" s="31" t="n">
        <v>5</v>
      </c>
      <c r="R116" s="31" t="n">
        <v>4</v>
      </c>
      <c r="S116" s="32">
        <f>IF($F116="","",IF(IFERROR(VLOOKUP($F116,'维度字典'!$I$2:$J$50,2,0),"求和")="手工录入","",IF(IFERROR(VLOOKUP($F116,'维度字典'!$I$2:$J$50,2,0),"求和")="最新值",IFERROR(LOOKUP(9.99E+307,G116:R116),""),SUM(G116:R116))))</f>
        <v/>
      </c>
      <c r="T116" s="33" t="n"/>
      <c r="U116" s="33" t="n"/>
    </row>
    <row r="117">
      <c r="A117" s="26">
        <f>IF($B117="","",ROW()-3)</f>
        <v/>
      </c>
      <c r="B117" s="27" t="inlineStr">
        <is>
          <t>李四</t>
        </is>
      </c>
      <c r="C117" s="27" t="inlineStr">
        <is>
          <t>储能行业</t>
        </is>
      </c>
      <c r="D117" s="28" t="inlineStr">
        <is>
          <t>钎焊</t>
        </is>
      </c>
      <c r="E117" s="29" t="inlineStr">
        <is>
          <t>华南</t>
        </is>
      </c>
      <c r="F117" s="30" t="inlineStr">
        <is>
          <t>毛利目标</t>
        </is>
      </c>
      <c r="G117" s="31" t="n">
        <v>0.9</v>
      </c>
      <c r="H117" s="31" t="n">
        <v>0.8</v>
      </c>
      <c r="I117" s="31" t="n">
        <v>1</v>
      </c>
      <c r="J117" s="31" t="n">
        <v>1.1</v>
      </c>
      <c r="K117" s="31" t="n">
        <v>1.1</v>
      </c>
      <c r="L117" s="31" t="n">
        <v>1.3</v>
      </c>
      <c r="M117" s="31" t="n">
        <v>1.3</v>
      </c>
      <c r="N117" s="31" t="n">
        <v>1.1</v>
      </c>
      <c r="O117" s="31" t="n">
        <v>1.1</v>
      </c>
      <c r="P117" s="31" t="n">
        <v>1.1</v>
      </c>
      <c r="Q117" s="31" t="n">
        <v>1</v>
      </c>
      <c r="R117" s="31" t="n">
        <v>0.8</v>
      </c>
      <c r="S117" s="32">
        <f>IF($F117="","",IF(IFERROR(VLOOKUP($F117,'维度字典'!$I$2:$J$50,2,0),"求和")="手工录入","",IF(IFERROR(VLOOKUP($F117,'维度字典'!$I$2:$J$50,2,0),"求和")="最新值",IFERROR(LOOKUP(9.99E+307,G117:R117),""),SUM(G117:R117))))</f>
        <v/>
      </c>
      <c r="T117" s="33" t="n"/>
      <c r="U117" s="33" t="n"/>
    </row>
    <row r="118">
      <c r="A118" s="26">
        <f>IF($B118="","",ROW()-3)</f>
        <v/>
      </c>
      <c r="B118" s="27" t="inlineStr">
        <is>
          <t>李四</t>
        </is>
      </c>
      <c r="C118" s="27" t="inlineStr">
        <is>
          <t>储能行业</t>
        </is>
      </c>
      <c r="D118" s="28" t="inlineStr">
        <is>
          <t>钎焊</t>
        </is>
      </c>
      <c r="E118" s="29" t="inlineStr">
        <is>
          <t>华南</t>
        </is>
      </c>
      <c r="F118" s="30" t="inlineStr">
        <is>
          <t>毛利率目标</t>
        </is>
      </c>
      <c r="G118" s="62" t="n">
        <v>0.192</v>
      </c>
      <c r="H118" s="62" t="n">
        <v>0.1936</v>
      </c>
      <c r="I118" s="62" t="n">
        <v>0.1952</v>
      </c>
      <c r="J118" s="62" t="n">
        <v>0.1968</v>
      </c>
      <c r="K118" s="62" t="n">
        <v>0.1984</v>
      </c>
      <c r="L118" s="62" t="n">
        <v>0.2</v>
      </c>
      <c r="M118" s="62" t="n">
        <v>0.2016</v>
      </c>
      <c r="N118" s="62" t="n">
        <v>0.2032</v>
      </c>
      <c r="O118" s="62" t="n">
        <v>0.2048</v>
      </c>
      <c r="P118" s="62" t="n">
        <v>0.2064</v>
      </c>
      <c r="Q118" s="62" t="n">
        <v>0.208</v>
      </c>
      <c r="R118" s="62" t="n">
        <v>0.2096</v>
      </c>
      <c r="S118" s="63" t="n">
        <v>0.2</v>
      </c>
      <c r="T118" s="33" t="n"/>
      <c r="U118" s="33" t="n"/>
    </row>
    <row r="119">
      <c r="A119" s="26">
        <f>IF($B119="","",ROW()-3)</f>
        <v/>
      </c>
      <c r="B119" s="27" t="inlineStr">
        <is>
          <t>李四</t>
        </is>
      </c>
      <c r="C119" s="27" t="inlineStr">
        <is>
          <t>储能行业</t>
        </is>
      </c>
      <c r="D119" s="28" t="inlineStr">
        <is>
          <t>钎焊</t>
        </is>
      </c>
      <c r="E119" s="29" t="inlineStr">
        <is>
          <t>华南</t>
        </is>
      </c>
      <c r="F119" s="30" t="inlineStr">
        <is>
          <t>在手订单目标</t>
        </is>
      </c>
      <c r="G119" s="31" t="n">
        <v>7</v>
      </c>
      <c r="H119" s="31" t="n">
        <v>8</v>
      </c>
      <c r="I119" s="31" t="n">
        <v>8</v>
      </c>
      <c r="J119" s="31" t="n">
        <v>8</v>
      </c>
      <c r="K119" s="31" t="n">
        <v>8</v>
      </c>
      <c r="L119" s="31" t="n">
        <v>8</v>
      </c>
      <c r="M119" s="31" t="n">
        <v>8</v>
      </c>
      <c r="N119" s="31" t="n">
        <v>8</v>
      </c>
      <c r="O119" s="31" t="n">
        <v>8</v>
      </c>
      <c r="P119" s="31" t="n">
        <v>8</v>
      </c>
      <c r="Q119" s="31" t="n">
        <v>9</v>
      </c>
      <c r="R119" s="31" t="n">
        <v>9</v>
      </c>
      <c r="S119" s="32">
        <f>IF($F119="","",IF(IFERROR(VLOOKUP($F119,'维度字典'!$I$2:$J$50,2,0),"求和")="手工录入","",IF(IFERROR(VLOOKUP($F119,'维度字典'!$I$2:$J$50,2,0),"求和")="最新值",IFERROR(LOOKUP(9.99E+307,G119:R119),""),SUM(G119:R119))))</f>
        <v/>
      </c>
      <c r="T119" s="33" t="n"/>
      <c r="U119" s="33" t="n"/>
    </row>
    <row r="120">
      <c r="A120" s="26">
        <f>IF($B120="","",ROW()-3)</f>
        <v/>
      </c>
      <c r="B120" s="27" t="inlineStr">
        <is>
          <t>李四</t>
        </is>
      </c>
      <c r="C120" s="27" t="inlineStr">
        <is>
          <t>储能行业</t>
        </is>
      </c>
      <c r="D120" s="28" t="inlineStr">
        <is>
          <t>钎焊</t>
        </is>
      </c>
      <c r="E120" s="29" t="inlineStr">
        <is>
          <t>华南</t>
        </is>
      </c>
      <c r="F120" s="30" t="inlineStr">
        <is>
          <t>目标客户机会目标</t>
        </is>
      </c>
      <c r="G120" s="31" t="n">
        <v>5</v>
      </c>
      <c r="H120" s="31" t="n">
        <v>5</v>
      </c>
      <c r="I120" s="31" t="n">
        <v>6</v>
      </c>
      <c r="J120" s="31" t="n">
        <v>6</v>
      </c>
      <c r="K120" s="31" t="n">
        <v>6</v>
      </c>
      <c r="L120" s="31" t="n">
        <v>6</v>
      </c>
      <c r="M120" s="31" t="n">
        <v>6</v>
      </c>
      <c r="N120" s="31" t="n">
        <v>6</v>
      </c>
      <c r="O120" s="31" t="n">
        <v>6</v>
      </c>
      <c r="P120" s="31" t="n">
        <v>6</v>
      </c>
      <c r="Q120" s="31" t="n">
        <v>6</v>
      </c>
      <c r="R120" s="31" t="n">
        <v>7</v>
      </c>
      <c r="S120" s="32">
        <f>IF($F120="","",IF(IFERROR(VLOOKUP($F120,'维度字典'!$I$2:$J$50,2,0),"求和")="手工录入","",IF(IFERROR(VLOOKUP($F120,'维度字典'!$I$2:$J$50,2,0),"求和")="最新值",IFERROR(LOOKUP(9.99E+307,G120:R120),""),SUM(G120:R120))))</f>
        <v/>
      </c>
      <c r="T120" s="33" t="n"/>
      <c r="U120" s="33" t="n"/>
    </row>
    <row r="121">
      <c r="A121" s="26">
        <f>IF($B121="","",ROW()-3)</f>
        <v/>
      </c>
      <c r="B121" s="27" t="inlineStr">
        <is>
          <t>李四</t>
        </is>
      </c>
      <c r="C121" s="27" t="inlineStr">
        <is>
          <t>储能行业</t>
        </is>
      </c>
      <c r="D121" s="28" t="inlineStr">
        <is>
          <t>钎焊</t>
        </is>
      </c>
      <c r="E121" s="29" t="inlineStr">
        <is>
          <t>华南</t>
        </is>
      </c>
      <c r="F121" s="30" t="inlineStr">
        <is>
          <t>在手订单</t>
        </is>
      </c>
      <c r="G121" s="31" t="n">
        <v>7</v>
      </c>
      <c r="H121" s="31" t="n">
        <v>8</v>
      </c>
      <c r="I121" s="31" t="n">
        <v>8</v>
      </c>
      <c r="J121" s="31" t="n">
        <v>8</v>
      </c>
      <c r="K121" s="31" t="n">
        <v>8</v>
      </c>
      <c r="L121" s="31" t="n">
        <v>8</v>
      </c>
      <c r="M121" s="31" t="n">
        <v>8</v>
      </c>
      <c r="N121" s="31" t="n">
        <v>8</v>
      </c>
      <c r="O121" s="31" t="n">
        <v>8</v>
      </c>
      <c r="P121" s="31" t="n">
        <v>8</v>
      </c>
      <c r="Q121" s="31" t="n">
        <v>9</v>
      </c>
      <c r="R121" s="31" t="n">
        <v>9</v>
      </c>
      <c r="S121" s="32">
        <f>IF($F121="","",IF(IFERROR(VLOOKUP($F121,'维度字典'!$I$2:$J$50,2,0),"求和")="手工录入","",IF(IFERROR(VLOOKUP($F121,'维度字典'!$I$2:$J$50,2,0),"求和")="最新值",IFERROR(LOOKUP(9.99E+307,G121:R121),""),SUM(G121:R121))))</f>
        <v/>
      </c>
      <c r="T121" s="33" t="inlineStr">
        <is>
          <t>管道偏紧：个别客户观望，需加快报价与签约节奏</t>
        </is>
      </c>
      <c r="U121" s="33" t="n"/>
    </row>
    <row r="122">
      <c r="A122" s="26">
        <f>IF($B122="","",ROW()-3)</f>
        <v/>
      </c>
      <c r="B122" s="27" t="inlineStr">
        <is>
          <t>李四</t>
        </is>
      </c>
      <c r="C122" s="27" t="inlineStr">
        <is>
          <t>储能行业</t>
        </is>
      </c>
      <c r="D122" s="28" t="inlineStr">
        <is>
          <t>钎焊</t>
        </is>
      </c>
      <c r="E122" s="29" t="inlineStr">
        <is>
          <t>华南</t>
        </is>
      </c>
      <c r="F122" s="30" t="inlineStr">
        <is>
          <t>目标客户机会</t>
        </is>
      </c>
      <c r="G122" s="31" t="n">
        <v>4</v>
      </c>
      <c r="H122" s="31" t="n">
        <v>4</v>
      </c>
      <c r="I122" s="31" t="n">
        <v>5</v>
      </c>
      <c r="J122" s="31" t="n">
        <v>5</v>
      </c>
      <c r="K122" s="31" t="n">
        <v>5</v>
      </c>
      <c r="L122" s="31" t="n">
        <v>5</v>
      </c>
      <c r="M122" s="31" t="n">
        <v>5</v>
      </c>
      <c r="N122" s="31" t="n">
        <v>5</v>
      </c>
      <c r="O122" s="31" t="n">
        <v>5</v>
      </c>
      <c r="P122" s="31" t="n">
        <v>5</v>
      </c>
      <c r="Q122" s="31" t="n">
        <v>5</v>
      </c>
      <c r="R122" s="31" t="n">
        <v>6</v>
      </c>
      <c r="S122" s="32">
        <f>IF($F122="","",IF(IFERROR(VLOOKUP($F122,'维度字典'!$I$2:$J$50,2,0),"求和")="手工录入","",IF(IFERROR(VLOOKUP($F122,'维度字典'!$I$2:$J$50,2,0),"求和")="最新值",IFERROR(LOOKUP(9.99E+307,G122:R122),""),SUM(G122:R122))))</f>
        <v/>
      </c>
      <c r="T122" s="33" t="n"/>
      <c r="U122" s="33" t="n"/>
    </row>
    <row r="123">
      <c r="A123" s="26">
        <f>IF($B123="","",ROW()-3)</f>
        <v/>
      </c>
      <c r="B123" s="27" t="inlineStr">
        <is>
          <t>李四</t>
        </is>
      </c>
      <c r="C123" s="27" t="inlineStr">
        <is>
          <t>储能行业</t>
        </is>
      </c>
      <c r="D123" s="28" t="inlineStr">
        <is>
          <t>可拆</t>
        </is>
      </c>
      <c r="E123" s="29" t="inlineStr">
        <is>
          <t>华南</t>
        </is>
      </c>
      <c r="F123" s="30" t="inlineStr">
        <is>
          <t>销售目标额</t>
        </is>
      </c>
      <c r="G123" s="31" t="n">
        <v>10</v>
      </c>
      <c r="H123" s="31" t="n">
        <v>9</v>
      </c>
      <c r="I123" s="31" t="n">
        <v>12</v>
      </c>
      <c r="J123" s="31" t="n">
        <v>13</v>
      </c>
      <c r="K123" s="31" t="n">
        <v>13</v>
      </c>
      <c r="L123" s="31" t="n">
        <v>15</v>
      </c>
      <c r="M123" s="31" t="n">
        <v>15</v>
      </c>
      <c r="N123" s="31" t="n">
        <v>13</v>
      </c>
      <c r="O123" s="31" t="n">
        <v>13</v>
      </c>
      <c r="P123" s="31" t="n">
        <v>13</v>
      </c>
      <c r="Q123" s="31" t="n">
        <v>12</v>
      </c>
      <c r="R123" s="31" t="n">
        <v>9</v>
      </c>
      <c r="S123" s="32">
        <f>IF($F123="","",IF(IFERROR(VLOOKUP($F123,'维度字典'!$I$2:$J$50,2,0),"求和")="手工录入","",IF(IFERROR(VLOOKUP($F123,'维度字典'!$I$2:$J$50,2,0),"求和")="最新值",IFERROR(LOOKUP(9.99E+307,G123:R123),""),SUM(G123:R123))))</f>
        <v/>
      </c>
      <c r="T123" s="33" t="n"/>
      <c r="U123" s="33" t="n"/>
    </row>
    <row r="124">
      <c r="A124" s="26">
        <f>IF($B124="","",ROW()-3)</f>
        <v/>
      </c>
      <c r="B124" s="27" t="inlineStr">
        <is>
          <t>李四</t>
        </is>
      </c>
      <c r="C124" s="27" t="inlineStr">
        <is>
          <t>储能行业</t>
        </is>
      </c>
      <c r="D124" s="28" t="inlineStr">
        <is>
          <t>可拆</t>
        </is>
      </c>
      <c r="E124" s="29" t="inlineStr">
        <is>
          <t>华南</t>
        </is>
      </c>
      <c r="F124" s="30" t="inlineStr">
        <is>
          <t>毛利目标</t>
        </is>
      </c>
      <c r="G124" s="31" t="n">
        <v>2.1</v>
      </c>
      <c r="H124" s="31" t="n">
        <v>1.8</v>
      </c>
      <c r="I124" s="31" t="n">
        <v>2.4</v>
      </c>
      <c r="J124" s="31" t="n">
        <v>2.6</v>
      </c>
      <c r="K124" s="31" t="n">
        <v>2.6</v>
      </c>
      <c r="L124" s="31" t="n">
        <v>2.9</v>
      </c>
      <c r="M124" s="31" t="n">
        <v>2.9</v>
      </c>
      <c r="N124" s="31" t="n">
        <v>2.6</v>
      </c>
      <c r="O124" s="31" t="n">
        <v>2.6</v>
      </c>
      <c r="P124" s="31" t="n">
        <v>2.6</v>
      </c>
      <c r="Q124" s="31" t="n">
        <v>2.4</v>
      </c>
      <c r="R124" s="31" t="n">
        <v>1.8</v>
      </c>
      <c r="S124" s="32">
        <f>IF($F124="","",IF(IFERROR(VLOOKUP($F124,'维度字典'!$I$2:$J$50,2,0),"求和")="手工录入","",IF(IFERROR(VLOOKUP($F124,'维度字典'!$I$2:$J$50,2,0),"求和")="最新值",IFERROR(LOOKUP(9.99E+307,G124:R124),""),SUM(G124:R124))))</f>
        <v/>
      </c>
      <c r="T124" s="33" t="n"/>
      <c r="U124" s="33" t="n"/>
    </row>
    <row r="125">
      <c r="A125" s="26">
        <f>IF($B125="","",ROW()-3)</f>
        <v/>
      </c>
      <c r="B125" s="27" t="inlineStr">
        <is>
          <t>李四</t>
        </is>
      </c>
      <c r="C125" s="27" t="inlineStr">
        <is>
          <t>储能行业</t>
        </is>
      </c>
      <c r="D125" s="28" t="inlineStr">
        <is>
          <t>可拆</t>
        </is>
      </c>
      <c r="E125" s="29" t="inlineStr">
        <is>
          <t>华南</t>
        </is>
      </c>
      <c r="F125" s="30" t="inlineStr">
        <is>
          <t>毛利率目标</t>
        </is>
      </c>
      <c r="G125" s="62" t="n">
        <v>0.192</v>
      </c>
      <c r="H125" s="62" t="n">
        <v>0.1936</v>
      </c>
      <c r="I125" s="62" t="n">
        <v>0.1952</v>
      </c>
      <c r="J125" s="62" t="n">
        <v>0.1968</v>
      </c>
      <c r="K125" s="62" t="n">
        <v>0.1984</v>
      </c>
      <c r="L125" s="62" t="n">
        <v>0.2</v>
      </c>
      <c r="M125" s="62" t="n">
        <v>0.2016</v>
      </c>
      <c r="N125" s="62" t="n">
        <v>0.2032</v>
      </c>
      <c r="O125" s="62" t="n">
        <v>0.2048</v>
      </c>
      <c r="P125" s="62" t="n">
        <v>0.2064</v>
      </c>
      <c r="Q125" s="62" t="n">
        <v>0.208</v>
      </c>
      <c r="R125" s="62" t="n">
        <v>0.2096</v>
      </c>
      <c r="S125" s="63" t="n">
        <v>0.2</v>
      </c>
      <c r="T125" s="33" t="n"/>
      <c r="U125" s="33" t="n"/>
    </row>
    <row r="126">
      <c r="A126" s="26">
        <f>IF($B126="","",ROW()-3)</f>
        <v/>
      </c>
      <c r="B126" s="27" t="inlineStr">
        <is>
          <t>李四</t>
        </is>
      </c>
      <c r="C126" s="27" t="inlineStr">
        <is>
          <t>储能行业</t>
        </is>
      </c>
      <c r="D126" s="28" t="inlineStr">
        <is>
          <t>可拆</t>
        </is>
      </c>
      <c r="E126" s="29" t="inlineStr">
        <is>
          <t>华南</t>
        </is>
      </c>
      <c r="F126" s="30" t="inlineStr">
        <is>
          <t>在手订单目标</t>
        </is>
      </c>
      <c r="G126" s="31" t="n">
        <v>17</v>
      </c>
      <c r="H126" s="31" t="n">
        <v>18</v>
      </c>
      <c r="I126" s="31" t="n">
        <v>18</v>
      </c>
      <c r="J126" s="31" t="n">
        <v>18</v>
      </c>
      <c r="K126" s="31" t="n">
        <v>18</v>
      </c>
      <c r="L126" s="31" t="n">
        <v>19</v>
      </c>
      <c r="M126" s="31" t="n">
        <v>19</v>
      </c>
      <c r="N126" s="31" t="n">
        <v>19</v>
      </c>
      <c r="O126" s="31" t="n">
        <v>19</v>
      </c>
      <c r="P126" s="31" t="n">
        <v>20</v>
      </c>
      <c r="Q126" s="31" t="n">
        <v>20</v>
      </c>
      <c r="R126" s="31" t="n">
        <v>20</v>
      </c>
      <c r="S126" s="32">
        <f>IF($F126="","",IF(IFERROR(VLOOKUP($F126,'维度字典'!$I$2:$J$50,2,0),"求和")="手工录入","",IF(IFERROR(VLOOKUP($F126,'维度字典'!$I$2:$J$50,2,0),"求和")="最新值",IFERROR(LOOKUP(9.99E+307,G126:R126),""),SUM(G126:R126))))</f>
        <v/>
      </c>
      <c r="T126" s="33" t="n"/>
      <c r="U126" s="33" t="n"/>
    </row>
    <row r="127">
      <c r="A127" s="26">
        <f>IF($B127="","",ROW()-3)</f>
        <v/>
      </c>
      <c r="B127" s="27" t="inlineStr">
        <is>
          <t>李四</t>
        </is>
      </c>
      <c r="C127" s="27" t="inlineStr">
        <is>
          <t>储能行业</t>
        </is>
      </c>
      <c r="D127" s="28" t="inlineStr">
        <is>
          <t>可拆</t>
        </is>
      </c>
      <c r="E127" s="29" t="inlineStr">
        <is>
          <t>华南</t>
        </is>
      </c>
      <c r="F127" s="30" t="inlineStr">
        <is>
          <t>目标客户机会目标</t>
        </is>
      </c>
      <c r="G127" s="31" t="n">
        <v>12</v>
      </c>
      <c r="H127" s="31" t="n">
        <v>13</v>
      </c>
      <c r="I127" s="31" t="n">
        <v>13</v>
      </c>
      <c r="J127" s="31" t="n">
        <v>13</v>
      </c>
      <c r="K127" s="31" t="n">
        <v>13</v>
      </c>
      <c r="L127" s="31" t="n">
        <v>14</v>
      </c>
      <c r="M127" s="31" t="n">
        <v>14</v>
      </c>
      <c r="N127" s="31" t="n">
        <v>14</v>
      </c>
      <c r="O127" s="31" t="n">
        <v>14</v>
      </c>
      <c r="P127" s="31" t="n">
        <v>15</v>
      </c>
      <c r="Q127" s="31" t="n">
        <v>15</v>
      </c>
      <c r="R127" s="31" t="n">
        <v>15</v>
      </c>
      <c r="S127" s="32">
        <f>IF($F127="","",IF(IFERROR(VLOOKUP($F127,'维度字典'!$I$2:$J$50,2,0),"求和")="手工录入","",IF(IFERROR(VLOOKUP($F127,'维度字典'!$I$2:$J$50,2,0),"求和")="最新值",IFERROR(LOOKUP(9.99E+307,G127:R127),""),SUM(G127:R127))))</f>
        <v/>
      </c>
      <c r="T127" s="33" t="n"/>
      <c r="U127" s="33" t="n"/>
    </row>
    <row r="128">
      <c r="A128" s="26">
        <f>IF($B128="","",ROW()-3)</f>
        <v/>
      </c>
      <c r="B128" s="27" t="inlineStr">
        <is>
          <t>李四</t>
        </is>
      </c>
      <c r="C128" s="27" t="inlineStr">
        <is>
          <t>储能行业</t>
        </is>
      </c>
      <c r="D128" s="28" t="inlineStr">
        <is>
          <t>可拆</t>
        </is>
      </c>
      <c r="E128" s="29" t="inlineStr">
        <is>
          <t>华南</t>
        </is>
      </c>
      <c r="F128" s="30" t="inlineStr">
        <is>
          <t>在手订单</t>
        </is>
      </c>
      <c r="G128" s="31" t="n">
        <v>16</v>
      </c>
      <c r="H128" s="31" t="n">
        <v>17</v>
      </c>
      <c r="I128" s="31" t="n">
        <v>17</v>
      </c>
      <c r="J128" s="31" t="n">
        <v>17</v>
      </c>
      <c r="K128" s="31" t="n">
        <v>17</v>
      </c>
      <c r="L128" s="31" t="n">
        <v>18</v>
      </c>
      <c r="M128" s="31" t="n">
        <v>18</v>
      </c>
      <c r="N128" s="31" t="n">
        <v>18</v>
      </c>
      <c r="O128" s="31" t="n">
        <v>18</v>
      </c>
      <c r="P128" s="31" t="n">
        <v>19</v>
      </c>
      <c r="Q128" s="31" t="n">
        <v>19</v>
      </c>
      <c r="R128" s="31" t="n">
        <v>19</v>
      </c>
      <c r="S128" s="32">
        <f>IF($F128="","",IF(IFERROR(VLOOKUP($F128,'维度字典'!$I$2:$J$50,2,0),"求和")="手工录入","",IF(IFERROR(VLOOKUP($F128,'维度字典'!$I$2:$J$50,2,0),"求和")="最新值",IFERROR(LOOKUP(9.99E+307,G128:R128),""),SUM(G128:R128))))</f>
        <v/>
      </c>
      <c r="T128" s="33" t="inlineStr">
        <is>
          <t>管道偏紧：个别客户观望，需加快报价与签约节奏</t>
        </is>
      </c>
      <c r="U128" s="33" t="n"/>
    </row>
    <row r="129">
      <c r="A129" s="26">
        <f>IF($B129="","",ROW()-3)</f>
        <v/>
      </c>
      <c r="B129" s="27" t="inlineStr">
        <is>
          <t>李四</t>
        </is>
      </c>
      <c r="C129" s="27" t="inlineStr">
        <is>
          <t>储能行业</t>
        </is>
      </c>
      <c r="D129" s="28" t="inlineStr">
        <is>
          <t>可拆</t>
        </is>
      </c>
      <c r="E129" s="29" t="inlineStr">
        <is>
          <t>华南</t>
        </is>
      </c>
      <c r="F129" s="30" t="inlineStr">
        <is>
          <t>目标客户机会</t>
        </is>
      </c>
      <c r="G129" s="31" t="n">
        <v>9</v>
      </c>
      <c r="H129" s="31" t="n">
        <v>10</v>
      </c>
      <c r="I129" s="31" t="n">
        <v>10</v>
      </c>
      <c r="J129" s="31" t="n">
        <v>10</v>
      </c>
      <c r="K129" s="31" t="n">
        <v>10</v>
      </c>
      <c r="L129" s="31" t="n">
        <v>11</v>
      </c>
      <c r="M129" s="31" t="n">
        <v>11</v>
      </c>
      <c r="N129" s="31" t="n">
        <v>11</v>
      </c>
      <c r="O129" s="31" t="n">
        <v>11</v>
      </c>
      <c r="P129" s="31" t="n">
        <v>12</v>
      </c>
      <c r="Q129" s="31" t="n">
        <v>12</v>
      </c>
      <c r="R129" s="31" t="n">
        <v>12</v>
      </c>
      <c r="S129" s="32">
        <f>IF($F129="","",IF(IFERROR(VLOOKUP($F129,'维度字典'!$I$2:$J$50,2,0),"求和")="手工录入","",IF(IFERROR(VLOOKUP($F129,'维度字典'!$I$2:$J$50,2,0),"求和")="最新值",IFERROR(LOOKUP(9.99E+307,G129:R129),""),SUM(G129:R129))))</f>
        <v/>
      </c>
      <c r="T129" s="33" t="n"/>
      <c r="U129" s="33" t="n"/>
    </row>
    <row r="130">
      <c r="A130" s="26">
        <f>IF($B130="","",ROW()-3)</f>
        <v/>
      </c>
      <c r="B130" s="27" t="inlineStr">
        <is>
          <t>李四</t>
        </is>
      </c>
      <c r="C130" s="27" t="inlineStr">
        <is>
          <t>数据中心</t>
        </is>
      </c>
      <c r="D130" s="28" t="inlineStr">
        <is>
          <t>钎焊</t>
        </is>
      </c>
      <c r="E130" s="29" t="inlineStr">
        <is>
          <t>华南</t>
        </is>
      </c>
      <c r="F130" s="30" t="inlineStr">
        <is>
          <t>销售目标额</t>
        </is>
      </c>
      <c r="G130" s="31" t="n">
        <v>22</v>
      </c>
      <c r="H130" s="31" t="n">
        <v>19</v>
      </c>
      <c r="I130" s="31" t="n">
        <v>25</v>
      </c>
      <c r="J130" s="31" t="n">
        <v>28</v>
      </c>
      <c r="K130" s="31" t="n">
        <v>28</v>
      </c>
      <c r="L130" s="31" t="n">
        <v>32</v>
      </c>
      <c r="M130" s="31" t="n">
        <v>32</v>
      </c>
      <c r="N130" s="31" t="n">
        <v>28</v>
      </c>
      <c r="O130" s="31" t="n">
        <v>28</v>
      </c>
      <c r="P130" s="31" t="n">
        <v>28</v>
      </c>
      <c r="Q130" s="31" t="n">
        <v>25</v>
      </c>
      <c r="R130" s="31" t="n">
        <v>19</v>
      </c>
      <c r="S130" s="32">
        <f>IF($F130="","",IF(IFERROR(VLOOKUP($F130,'维度字典'!$I$2:$J$50,2,0),"求和")="手工录入","",IF(IFERROR(VLOOKUP($F130,'维度字典'!$I$2:$J$50,2,0),"求和")="最新值",IFERROR(LOOKUP(9.99E+307,G130:R130),""),SUM(G130:R130))))</f>
        <v/>
      </c>
      <c r="T130" s="33" t="n"/>
      <c r="U130" s="33" t="n"/>
    </row>
    <row r="131">
      <c r="A131" s="26">
        <f>IF($B131="","",ROW()-3)</f>
        <v/>
      </c>
      <c r="B131" s="27" t="inlineStr">
        <is>
          <t>李四</t>
        </is>
      </c>
      <c r="C131" s="27" t="inlineStr">
        <is>
          <t>数据中心</t>
        </is>
      </c>
      <c r="D131" s="28" t="inlineStr">
        <is>
          <t>钎焊</t>
        </is>
      </c>
      <c r="E131" s="29" t="inlineStr">
        <is>
          <t>华南</t>
        </is>
      </c>
      <c r="F131" s="30" t="inlineStr">
        <is>
          <t>毛利目标</t>
        </is>
      </c>
      <c r="G131" s="31" t="n">
        <v>4.9</v>
      </c>
      <c r="H131" s="31" t="n">
        <v>4.2</v>
      </c>
      <c r="I131" s="31" t="n">
        <v>5.5</v>
      </c>
      <c r="J131" s="31" t="n">
        <v>6.2</v>
      </c>
      <c r="K131" s="31" t="n">
        <v>6.2</v>
      </c>
      <c r="L131" s="31" t="n">
        <v>6.9</v>
      </c>
      <c r="M131" s="31" t="n">
        <v>6.9</v>
      </c>
      <c r="N131" s="31" t="n">
        <v>6.2</v>
      </c>
      <c r="O131" s="31" t="n">
        <v>6.2</v>
      </c>
      <c r="P131" s="31" t="n">
        <v>6.2</v>
      </c>
      <c r="Q131" s="31" t="n">
        <v>5.5</v>
      </c>
      <c r="R131" s="31" t="n">
        <v>4.2</v>
      </c>
      <c r="S131" s="32">
        <f>IF($F131="","",IF(IFERROR(VLOOKUP($F131,'维度字典'!$I$2:$J$50,2,0),"求和")="手工录入","",IF(IFERROR(VLOOKUP($F131,'维度字典'!$I$2:$J$50,2,0),"求和")="最新值",IFERROR(LOOKUP(9.99E+307,G131:R131),""),SUM(G131:R131))))</f>
        <v/>
      </c>
      <c r="T131" s="33" t="n"/>
      <c r="U131" s="33" t="n"/>
    </row>
    <row r="132">
      <c r="A132" s="26">
        <f>IF($B132="","",ROW()-3)</f>
        <v/>
      </c>
      <c r="B132" s="27" t="inlineStr">
        <is>
          <t>李四</t>
        </is>
      </c>
      <c r="C132" s="27" t="inlineStr">
        <is>
          <t>数据中心</t>
        </is>
      </c>
      <c r="D132" s="28" t="inlineStr">
        <is>
          <t>钎焊</t>
        </is>
      </c>
      <c r="E132" s="29" t="inlineStr">
        <is>
          <t>华南</t>
        </is>
      </c>
      <c r="F132" s="30" t="inlineStr">
        <is>
          <t>毛利率目标</t>
        </is>
      </c>
      <c r="G132" s="62" t="n">
        <v>0.2112</v>
      </c>
      <c r="H132" s="62" t="n">
        <v>0.213</v>
      </c>
      <c r="I132" s="62" t="n">
        <v>0.2147</v>
      </c>
      <c r="J132" s="62" t="n">
        <v>0.2165</v>
      </c>
      <c r="K132" s="62" t="n">
        <v>0.2182</v>
      </c>
      <c r="L132" s="62" t="n">
        <v>0.22</v>
      </c>
      <c r="M132" s="62" t="n">
        <v>0.2218</v>
      </c>
      <c r="N132" s="62" t="n">
        <v>0.2235</v>
      </c>
      <c r="O132" s="62" t="n">
        <v>0.2253</v>
      </c>
      <c r="P132" s="62" t="n">
        <v>0.227</v>
      </c>
      <c r="Q132" s="62" t="n">
        <v>0.2288</v>
      </c>
      <c r="R132" s="62" t="n">
        <v>0.2306</v>
      </c>
      <c r="S132" s="63" t="n">
        <v>0.22</v>
      </c>
      <c r="T132" s="33" t="n"/>
      <c r="U132" s="33" t="n"/>
    </row>
    <row r="133">
      <c r="A133" s="26">
        <f>IF($B133="","",ROW()-3)</f>
        <v/>
      </c>
      <c r="B133" s="27" t="inlineStr">
        <is>
          <t>李四</t>
        </is>
      </c>
      <c r="C133" s="27" t="inlineStr">
        <is>
          <t>数据中心</t>
        </is>
      </c>
      <c r="D133" s="28" t="inlineStr">
        <is>
          <t>钎焊</t>
        </is>
      </c>
      <c r="E133" s="29" t="inlineStr">
        <is>
          <t>华南</t>
        </is>
      </c>
      <c r="F133" s="30" t="inlineStr">
        <is>
          <t>在手订单目标</t>
        </is>
      </c>
      <c r="G133" s="31" t="n">
        <v>37</v>
      </c>
      <c r="H133" s="31" t="n">
        <v>38</v>
      </c>
      <c r="I133" s="31" t="n">
        <v>38</v>
      </c>
      <c r="J133" s="31" t="n">
        <v>39</v>
      </c>
      <c r="K133" s="31" t="n">
        <v>39</v>
      </c>
      <c r="L133" s="31" t="n">
        <v>40</v>
      </c>
      <c r="M133" s="31" t="n">
        <v>40</v>
      </c>
      <c r="N133" s="31" t="n">
        <v>41</v>
      </c>
      <c r="O133" s="31" t="n">
        <v>41</v>
      </c>
      <c r="P133" s="31" t="n">
        <v>42</v>
      </c>
      <c r="Q133" s="31" t="n">
        <v>43</v>
      </c>
      <c r="R133" s="31" t="n">
        <v>43</v>
      </c>
      <c r="S133" s="32">
        <f>IF($F133="","",IF(IFERROR(VLOOKUP($F133,'维度字典'!$I$2:$J$50,2,0),"求和")="手工录入","",IF(IFERROR(VLOOKUP($F133,'维度字典'!$I$2:$J$50,2,0),"求和")="最新值",IFERROR(LOOKUP(9.99E+307,G133:R133),""),SUM(G133:R133))))</f>
        <v/>
      </c>
      <c r="T133" s="33" t="n"/>
      <c r="U133" s="33" t="n"/>
    </row>
    <row r="134">
      <c r="A134" s="26">
        <f>IF($B134="","",ROW()-3)</f>
        <v/>
      </c>
      <c r="B134" s="27" t="inlineStr">
        <is>
          <t>李四</t>
        </is>
      </c>
      <c r="C134" s="27" t="inlineStr">
        <is>
          <t>数据中心</t>
        </is>
      </c>
      <c r="D134" s="28" t="inlineStr">
        <is>
          <t>钎焊</t>
        </is>
      </c>
      <c r="E134" s="29" t="inlineStr">
        <is>
          <t>华南</t>
        </is>
      </c>
      <c r="F134" s="30" t="inlineStr">
        <is>
          <t>目标客户机会目标</t>
        </is>
      </c>
      <c r="G134" s="31" t="n">
        <v>27</v>
      </c>
      <c r="H134" s="31" t="n">
        <v>27</v>
      </c>
      <c r="I134" s="31" t="n">
        <v>28</v>
      </c>
      <c r="J134" s="31" t="n">
        <v>28</v>
      </c>
      <c r="K134" s="31" t="n">
        <v>29</v>
      </c>
      <c r="L134" s="31" t="n">
        <v>29</v>
      </c>
      <c r="M134" s="31" t="n">
        <v>30</v>
      </c>
      <c r="N134" s="31" t="n">
        <v>30</v>
      </c>
      <c r="O134" s="31" t="n">
        <v>31</v>
      </c>
      <c r="P134" s="31" t="n">
        <v>32</v>
      </c>
      <c r="Q134" s="31" t="n">
        <v>32</v>
      </c>
      <c r="R134" s="31" t="n">
        <v>33</v>
      </c>
      <c r="S134" s="32">
        <f>IF($F134="","",IF(IFERROR(VLOOKUP($F134,'维度字典'!$I$2:$J$50,2,0),"求和")="手工录入","",IF(IFERROR(VLOOKUP($F134,'维度字典'!$I$2:$J$50,2,0),"求和")="最新值",IFERROR(LOOKUP(9.99E+307,G134:R134),""),SUM(G134:R134))))</f>
        <v/>
      </c>
      <c r="T134" s="33" t="n"/>
      <c r="U134" s="33" t="n"/>
    </row>
    <row r="135">
      <c r="A135" s="26">
        <f>IF($B135="","",ROW()-3)</f>
        <v/>
      </c>
      <c r="B135" s="27" t="inlineStr">
        <is>
          <t>李四</t>
        </is>
      </c>
      <c r="C135" s="27" t="inlineStr">
        <is>
          <t>数据中心</t>
        </is>
      </c>
      <c r="D135" s="28" t="inlineStr">
        <is>
          <t>钎焊</t>
        </is>
      </c>
      <c r="E135" s="29" t="inlineStr">
        <is>
          <t>华南</t>
        </is>
      </c>
      <c r="F135" s="30" t="inlineStr">
        <is>
          <t>在手订单</t>
        </is>
      </c>
      <c r="G135" s="31" t="n">
        <v>37</v>
      </c>
      <c r="H135" s="31" t="n">
        <v>38</v>
      </c>
      <c r="I135" s="31" t="n">
        <v>38</v>
      </c>
      <c r="J135" s="31" t="n">
        <v>39</v>
      </c>
      <c r="K135" s="31" t="n">
        <v>39</v>
      </c>
      <c r="L135" s="31" t="n">
        <v>40</v>
      </c>
      <c r="M135" s="31" t="n">
        <v>40</v>
      </c>
      <c r="N135" s="31" t="n">
        <v>41</v>
      </c>
      <c r="O135" s="31" t="n">
        <v>41</v>
      </c>
      <c r="P135" s="31" t="n">
        <v>42</v>
      </c>
      <c r="Q135" s="31" t="n">
        <v>43</v>
      </c>
      <c r="R135" s="31" t="n">
        <v>43</v>
      </c>
      <c r="S135" s="32">
        <f>IF($F135="","",IF(IFERROR(VLOOKUP($F135,'维度字典'!$I$2:$J$50,2,0),"求和")="手工录入","",IF(IFERROR(VLOOKUP($F135,'维度字典'!$I$2:$J$50,2,0),"求和")="最新值",IFERROR(LOOKUP(9.99E+307,G135:R135),""),SUM(G135:R135))))</f>
        <v/>
      </c>
      <c r="T135" s="33" t="inlineStr">
        <is>
          <t>管道充足：大客户在手订单集中，交付节奏稳定</t>
        </is>
      </c>
      <c r="U135" s="33" t="n"/>
    </row>
    <row r="136">
      <c r="A136" s="26">
        <f>IF($B136="","",ROW()-3)</f>
        <v/>
      </c>
      <c r="B136" s="27" t="inlineStr">
        <is>
          <t>李四</t>
        </is>
      </c>
      <c r="C136" s="27" t="inlineStr">
        <is>
          <t>数据中心</t>
        </is>
      </c>
      <c r="D136" s="28" t="inlineStr">
        <is>
          <t>钎焊</t>
        </is>
      </c>
      <c r="E136" s="29" t="inlineStr">
        <is>
          <t>华南</t>
        </is>
      </c>
      <c r="F136" s="30" t="inlineStr">
        <is>
          <t>目标客户机会</t>
        </is>
      </c>
      <c r="G136" s="31" t="n">
        <v>23</v>
      </c>
      <c r="H136" s="31" t="n">
        <v>23</v>
      </c>
      <c r="I136" s="31" t="n">
        <v>24</v>
      </c>
      <c r="J136" s="31" t="n">
        <v>24</v>
      </c>
      <c r="K136" s="31" t="n">
        <v>25</v>
      </c>
      <c r="L136" s="31" t="n">
        <v>25</v>
      </c>
      <c r="M136" s="31" t="n">
        <v>26</v>
      </c>
      <c r="N136" s="31" t="n">
        <v>26</v>
      </c>
      <c r="O136" s="31" t="n">
        <v>26</v>
      </c>
      <c r="P136" s="31" t="n">
        <v>27</v>
      </c>
      <c r="Q136" s="31" t="n">
        <v>27</v>
      </c>
      <c r="R136" s="31" t="n">
        <v>28</v>
      </c>
      <c r="S136" s="32">
        <f>IF($F136="","",IF(IFERROR(VLOOKUP($F136,'维度字典'!$I$2:$J$50,2,0),"求和")="手工录入","",IF(IFERROR(VLOOKUP($F136,'维度字典'!$I$2:$J$50,2,0),"求和")="最新值",IFERROR(LOOKUP(9.99E+307,G136:R136),""),SUM(G136:R136))))</f>
        <v/>
      </c>
      <c r="T136" s="33" t="n"/>
      <c r="U136" s="33" t="n"/>
    </row>
    <row r="137">
      <c r="A137" s="26">
        <f>IF($B137="","",ROW()-3)</f>
        <v/>
      </c>
      <c r="B137" s="27" t="inlineStr">
        <is>
          <t>李四</t>
        </is>
      </c>
      <c r="C137" s="27" t="inlineStr">
        <is>
          <t>数据中心</t>
        </is>
      </c>
      <c r="D137" s="28" t="inlineStr">
        <is>
          <t>可拆</t>
        </is>
      </c>
      <c r="E137" s="29" t="inlineStr">
        <is>
          <t>华南</t>
        </is>
      </c>
      <c r="F137" s="30" t="inlineStr">
        <is>
          <t>销售目标额</t>
        </is>
      </c>
      <c r="G137" s="31" t="n">
        <v>15</v>
      </c>
      <c r="H137" s="31" t="n">
        <v>13</v>
      </c>
      <c r="I137" s="31" t="n">
        <v>17</v>
      </c>
      <c r="J137" s="31" t="n">
        <v>19</v>
      </c>
      <c r="K137" s="31" t="n">
        <v>19</v>
      </c>
      <c r="L137" s="31" t="n">
        <v>21</v>
      </c>
      <c r="M137" s="31" t="n">
        <v>21</v>
      </c>
      <c r="N137" s="31" t="n">
        <v>19</v>
      </c>
      <c r="O137" s="31" t="n">
        <v>19</v>
      </c>
      <c r="P137" s="31" t="n">
        <v>19</v>
      </c>
      <c r="Q137" s="31" t="n">
        <v>17</v>
      </c>
      <c r="R137" s="31" t="n">
        <v>13</v>
      </c>
      <c r="S137" s="32">
        <f>IF($F137="","",IF(IFERROR(VLOOKUP($F137,'维度字典'!$I$2:$J$50,2,0),"求和")="手工录入","",IF(IFERROR(VLOOKUP($F137,'维度字典'!$I$2:$J$50,2,0),"求和")="最新值",IFERROR(LOOKUP(9.99E+307,G137:R137),""),SUM(G137:R137))))</f>
        <v/>
      </c>
      <c r="T137" s="33" t="n"/>
      <c r="U137" s="33" t="n"/>
    </row>
    <row r="138">
      <c r="A138" s="26">
        <f>IF($B138="","",ROW()-3)</f>
        <v/>
      </c>
      <c r="B138" s="27" t="inlineStr">
        <is>
          <t>李四</t>
        </is>
      </c>
      <c r="C138" s="27" t="inlineStr">
        <is>
          <t>数据中心</t>
        </is>
      </c>
      <c r="D138" s="28" t="inlineStr">
        <is>
          <t>可拆</t>
        </is>
      </c>
      <c r="E138" s="29" t="inlineStr">
        <is>
          <t>华南</t>
        </is>
      </c>
      <c r="F138" s="30" t="inlineStr">
        <is>
          <t>毛利目标</t>
        </is>
      </c>
      <c r="G138" s="31" t="n">
        <v>3.2</v>
      </c>
      <c r="H138" s="31" t="n">
        <v>2.8</v>
      </c>
      <c r="I138" s="31" t="n">
        <v>3.7</v>
      </c>
      <c r="J138" s="31" t="n">
        <v>4.2</v>
      </c>
      <c r="K138" s="31" t="n">
        <v>4.2</v>
      </c>
      <c r="L138" s="31" t="n">
        <v>4.6</v>
      </c>
      <c r="M138" s="31" t="n">
        <v>4.6</v>
      </c>
      <c r="N138" s="31" t="n">
        <v>4.2</v>
      </c>
      <c r="O138" s="31" t="n">
        <v>4.2</v>
      </c>
      <c r="P138" s="31" t="n">
        <v>4.2</v>
      </c>
      <c r="Q138" s="31" t="n">
        <v>3.7</v>
      </c>
      <c r="R138" s="31" t="n">
        <v>2.8</v>
      </c>
      <c r="S138" s="32">
        <f>IF($F138="","",IF(IFERROR(VLOOKUP($F138,'维度字典'!$I$2:$J$50,2,0),"求和")="手工录入","",IF(IFERROR(VLOOKUP($F138,'维度字典'!$I$2:$J$50,2,0),"求和")="最新值",IFERROR(LOOKUP(9.99E+307,G138:R138),""),SUM(G138:R138))))</f>
        <v/>
      </c>
      <c r="T138" s="33" t="n"/>
      <c r="U138" s="33" t="n"/>
    </row>
    <row r="139">
      <c r="A139" s="26">
        <f>IF($B139="","",ROW()-3)</f>
        <v/>
      </c>
      <c r="B139" s="27" t="inlineStr">
        <is>
          <t>李四</t>
        </is>
      </c>
      <c r="C139" s="27" t="inlineStr">
        <is>
          <t>数据中心</t>
        </is>
      </c>
      <c r="D139" s="28" t="inlineStr">
        <is>
          <t>可拆</t>
        </is>
      </c>
      <c r="E139" s="29" t="inlineStr">
        <is>
          <t>华南</t>
        </is>
      </c>
      <c r="F139" s="30" t="inlineStr">
        <is>
          <t>毛利率目标</t>
        </is>
      </c>
      <c r="G139" s="62" t="n">
        <v>0.2112</v>
      </c>
      <c r="H139" s="62" t="n">
        <v>0.213</v>
      </c>
      <c r="I139" s="62" t="n">
        <v>0.2147</v>
      </c>
      <c r="J139" s="62" t="n">
        <v>0.2165</v>
      </c>
      <c r="K139" s="62" t="n">
        <v>0.2182</v>
      </c>
      <c r="L139" s="62" t="n">
        <v>0.22</v>
      </c>
      <c r="M139" s="62" t="n">
        <v>0.2218</v>
      </c>
      <c r="N139" s="62" t="n">
        <v>0.2235</v>
      </c>
      <c r="O139" s="62" t="n">
        <v>0.2253</v>
      </c>
      <c r="P139" s="62" t="n">
        <v>0.227</v>
      </c>
      <c r="Q139" s="62" t="n">
        <v>0.2288</v>
      </c>
      <c r="R139" s="62" t="n">
        <v>0.2306</v>
      </c>
      <c r="S139" s="63" t="n">
        <v>0.22</v>
      </c>
      <c r="T139" s="33" t="n"/>
      <c r="U139" s="33" t="n"/>
    </row>
    <row r="140">
      <c r="A140" s="26">
        <f>IF($B140="","",ROW()-3)</f>
        <v/>
      </c>
      <c r="B140" s="27" t="inlineStr">
        <is>
          <t>李四</t>
        </is>
      </c>
      <c r="C140" s="27" t="inlineStr">
        <is>
          <t>数据中心</t>
        </is>
      </c>
      <c r="D140" s="28" t="inlineStr">
        <is>
          <t>可拆</t>
        </is>
      </c>
      <c r="E140" s="29" t="inlineStr">
        <is>
          <t>华南</t>
        </is>
      </c>
      <c r="F140" s="30" t="inlineStr">
        <is>
          <t>在手订单目标</t>
        </is>
      </c>
      <c r="G140" s="31" t="n">
        <v>25</v>
      </c>
      <c r="H140" s="31" t="n">
        <v>25</v>
      </c>
      <c r="I140" s="31" t="n">
        <v>26</v>
      </c>
      <c r="J140" s="31" t="n">
        <v>26</v>
      </c>
      <c r="K140" s="31" t="n">
        <v>26</v>
      </c>
      <c r="L140" s="31" t="n">
        <v>27</v>
      </c>
      <c r="M140" s="31" t="n">
        <v>27</v>
      </c>
      <c r="N140" s="31" t="n">
        <v>27</v>
      </c>
      <c r="O140" s="31" t="n">
        <v>28</v>
      </c>
      <c r="P140" s="31" t="n">
        <v>28</v>
      </c>
      <c r="Q140" s="31" t="n">
        <v>28</v>
      </c>
      <c r="R140" s="31" t="n">
        <v>29</v>
      </c>
      <c r="S140" s="32">
        <f>IF($F140="","",IF(IFERROR(VLOOKUP($F140,'维度字典'!$I$2:$J$50,2,0),"求和")="手工录入","",IF(IFERROR(VLOOKUP($F140,'维度字典'!$I$2:$J$50,2,0),"求和")="最新值",IFERROR(LOOKUP(9.99E+307,G140:R140),""),SUM(G140:R140))))</f>
        <v/>
      </c>
      <c r="T140" s="33" t="n"/>
      <c r="U140" s="33" t="n"/>
    </row>
    <row r="141">
      <c r="A141" s="26">
        <f>IF($B141="","",ROW()-3)</f>
        <v/>
      </c>
      <c r="B141" s="27" t="inlineStr">
        <is>
          <t>李四</t>
        </is>
      </c>
      <c r="C141" s="27" t="inlineStr">
        <is>
          <t>数据中心</t>
        </is>
      </c>
      <c r="D141" s="28" t="inlineStr">
        <is>
          <t>可拆</t>
        </is>
      </c>
      <c r="E141" s="29" t="inlineStr">
        <is>
          <t>华南</t>
        </is>
      </c>
      <c r="F141" s="30" t="inlineStr">
        <is>
          <t>目标客户机会目标</t>
        </is>
      </c>
      <c r="G141" s="31" t="n">
        <v>18</v>
      </c>
      <c r="H141" s="31" t="n">
        <v>18</v>
      </c>
      <c r="I141" s="31" t="n">
        <v>19</v>
      </c>
      <c r="J141" s="31" t="n">
        <v>19</v>
      </c>
      <c r="K141" s="31" t="n">
        <v>19</v>
      </c>
      <c r="L141" s="31" t="n">
        <v>20</v>
      </c>
      <c r="M141" s="31" t="n">
        <v>20</v>
      </c>
      <c r="N141" s="31" t="n">
        <v>20</v>
      </c>
      <c r="O141" s="31" t="n">
        <v>21</v>
      </c>
      <c r="P141" s="31" t="n">
        <v>21</v>
      </c>
      <c r="Q141" s="31" t="n">
        <v>21</v>
      </c>
      <c r="R141" s="31" t="n">
        <v>22</v>
      </c>
      <c r="S141" s="32">
        <f>IF($F141="","",IF(IFERROR(VLOOKUP($F141,'维度字典'!$I$2:$J$50,2,0),"求和")="手工录入","",IF(IFERROR(VLOOKUP($F141,'维度字典'!$I$2:$J$50,2,0),"求和")="最新值",IFERROR(LOOKUP(9.99E+307,G141:R141),""),SUM(G141:R141))))</f>
        <v/>
      </c>
      <c r="T141" s="33" t="n"/>
      <c r="U141" s="33" t="n"/>
    </row>
    <row r="142">
      <c r="A142" s="26">
        <f>IF($B142="","",ROW()-3)</f>
        <v/>
      </c>
      <c r="B142" s="27" t="inlineStr">
        <is>
          <t>李四</t>
        </is>
      </c>
      <c r="C142" s="27" t="inlineStr">
        <is>
          <t>数据中心</t>
        </is>
      </c>
      <c r="D142" s="28" t="inlineStr">
        <is>
          <t>可拆</t>
        </is>
      </c>
      <c r="E142" s="29" t="inlineStr">
        <is>
          <t>华南</t>
        </is>
      </c>
      <c r="F142" s="30" t="inlineStr">
        <is>
          <t>在手订单</t>
        </is>
      </c>
      <c r="G142" s="31" t="n">
        <v>25</v>
      </c>
      <c r="H142" s="31" t="n">
        <v>25</v>
      </c>
      <c r="I142" s="31" t="n">
        <v>26</v>
      </c>
      <c r="J142" s="31" t="n">
        <v>26</v>
      </c>
      <c r="K142" s="31" t="n">
        <v>26</v>
      </c>
      <c r="L142" s="31" t="n">
        <v>27</v>
      </c>
      <c r="M142" s="31" t="n">
        <v>27</v>
      </c>
      <c r="N142" s="31" t="n">
        <v>27</v>
      </c>
      <c r="O142" s="31" t="n">
        <v>28</v>
      </c>
      <c r="P142" s="31" t="n">
        <v>28</v>
      </c>
      <c r="Q142" s="31" t="n">
        <v>28</v>
      </c>
      <c r="R142" s="31" t="n">
        <v>29</v>
      </c>
      <c r="S142" s="32">
        <f>IF($F142="","",IF(IFERROR(VLOOKUP($F142,'维度字典'!$I$2:$J$50,2,0),"求和")="手工录入","",IF(IFERROR(VLOOKUP($F142,'维度字典'!$I$2:$J$50,2,0),"求和")="最新值",IFERROR(LOOKUP(9.99E+307,G142:R142),""),SUM(G142:R142))))</f>
        <v/>
      </c>
      <c r="T142" s="33" t="inlineStr">
        <is>
          <t>管道充足：大客户在手订单集中，交付节奏稳定</t>
        </is>
      </c>
      <c r="U142" s="33" t="n"/>
    </row>
    <row r="143">
      <c r="A143" s="26">
        <f>IF($B143="","",ROW()-3)</f>
        <v/>
      </c>
      <c r="B143" s="27" t="inlineStr">
        <is>
          <t>李四</t>
        </is>
      </c>
      <c r="C143" s="27" t="inlineStr">
        <is>
          <t>数据中心</t>
        </is>
      </c>
      <c r="D143" s="28" t="inlineStr">
        <is>
          <t>可拆</t>
        </is>
      </c>
      <c r="E143" s="29" t="inlineStr">
        <is>
          <t>华南</t>
        </is>
      </c>
      <c r="F143" s="30" t="inlineStr">
        <is>
          <t>目标客户机会</t>
        </is>
      </c>
      <c r="G143" s="31" t="n">
        <v>15</v>
      </c>
      <c r="H143" s="31" t="n">
        <v>15</v>
      </c>
      <c r="I143" s="31" t="n">
        <v>16</v>
      </c>
      <c r="J143" s="31" t="n">
        <v>16</v>
      </c>
      <c r="K143" s="31" t="n">
        <v>16</v>
      </c>
      <c r="L143" s="31" t="n">
        <v>17</v>
      </c>
      <c r="M143" s="31" t="n">
        <v>17</v>
      </c>
      <c r="N143" s="31" t="n">
        <v>17</v>
      </c>
      <c r="O143" s="31" t="n">
        <v>18</v>
      </c>
      <c r="P143" s="31" t="n">
        <v>18</v>
      </c>
      <c r="Q143" s="31" t="n">
        <v>18</v>
      </c>
      <c r="R143" s="31" t="n">
        <v>19</v>
      </c>
      <c r="S143" s="32">
        <f>IF($F143="","",IF(IFERROR(VLOOKUP($F143,'维度字典'!$I$2:$J$50,2,0),"求和")="手工录入","",IF(IFERROR(VLOOKUP($F143,'维度字典'!$I$2:$J$50,2,0),"求和")="最新值",IFERROR(LOOKUP(9.99E+307,G143:R143),""),SUM(G143:R143))))</f>
        <v/>
      </c>
      <c r="T143" s="33" t="n"/>
      <c r="U143" s="33" t="n"/>
    </row>
    <row r="144">
      <c r="A144" s="26">
        <f>IF($B144="","",ROW()-3)</f>
        <v/>
      </c>
      <c r="B144" s="27" t="inlineStr">
        <is>
          <t>王五</t>
        </is>
      </c>
      <c r="C144" s="27" t="inlineStr">
        <is>
          <t>空调制冷</t>
        </is>
      </c>
      <c r="D144" s="28" t="inlineStr">
        <is>
          <t>钎焊</t>
        </is>
      </c>
      <c r="E144" s="29" t="inlineStr">
        <is>
          <t>华北</t>
        </is>
      </c>
      <c r="F144" s="30" t="inlineStr">
        <is>
          <t>销售目标额</t>
        </is>
      </c>
      <c r="G144" s="31" t="n">
        <v>34</v>
      </c>
      <c r="H144" s="31" t="n">
        <v>29</v>
      </c>
      <c r="I144" s="31" t="n">
        <v>39</v>
      </c>
      <c r="J144" s="31" t="n">
        <v>43</v>
      </c>
      <c r="K144" s="31" t="n">
        <v>43</v>
      </c>
      <c r="L144" s="31" t="n">
        <v>48</v>
      </c>
      <c r="M144" s="31" t="n">
        <v>48</v>
      </c>
      <c r="N144" s="31" t="n">
        <v>43</v>
      </c>
      <c r="O144" s="31" t="n">
        <v>43</v>
      </c>
      <c r="P144" s="31" t="n">
        <v>43</v>
      </c>
      <c r="Q144" s="31" t="n">
        <v>39</v>
      </c>
      <c r="R144" s="31" t="n">
        <v>29</v>
      </c>
      <c r="S144" s="32">
        <f>IF($F144="","",IF(IFERROR(VLOOKUP($F144,'维度字典'!$I$2:$J$50,2,0),"求和")="手工录入","",IF(IFERROR(VLOOKUP($F144,'维度字典'!$I$2:$J$50,2,0),"求和")="最新值",IFERROR(LOOKUP(9.99E+307,G144:R144),""),SUM(G144:R144))))</f>
        <v/>
      </c>
      <c r="T144" s="33" t="n"/>
      <c r="U144" s="33" t="n"/>
    </row>
    <row r="145">
      <c r="A145" s="26">
        <f>IF($B145="","",ROW()-3)</f>
        <v/>
      </c>
      <c r="B145" s="27" t="inlineStr">
        <is>
          <t>王五</t>
        </is>
      </c>
      <c r="C145" s="27" t="inlineStr">
        <is>
          <t>空调制冷</t>
        </is>
      </c>
      <c r="D145" s="28" t="inlineStr">
        <is>
          <t>钎焊</t>
        </is>
      </c>
      <c r="E145" s="29" t="inlineStr">
        <is>
          <t>华北</t>
        </is>
      </c>
      <c r="F145" s="30" t="inlineStr">
        <is>
          <t>毛利目标</t>
        </is>
      </c>
      <c r="G145" s="31" t="n">
        <v>5.1</v>
      </c>
      <c r="H145" s="31" t="n">
        <v>4.3</v>
      </c>
      <c r="I145" s="31" t="n">
        <v>5.8</v>
      </c>
      <c r="J145" s="31" t="n">
        <v>6.5</v>
      </c>
      <c r="K145" s="31" t="n">
        <v>6.5</v>
      </c>
      <c r="L145" s="31" t="n">
        <v>7.2</v>
      </c>
      <c r="M145" s="31" t="n">
        <v>7.2</v>
      </c>
      <c r="N145" s="31" t="n">
        <v>6.5</v>
      </c>
      <c r="O145" s="31" t="n">
        <v>6.5</v>
      </c>
      <c r="P145" s="31" t="n">
        <v>6.5</v>
      </c>
      <c r="Q145" s="31" t="n">
        <v>5.8</v>
      </c>
      <c r="R145" s="31" t="n">
        <v>4.3</v>
      </c>
      <c r="S145" s="32">
        <f>IF($F145="","",IF(IFERROR(VLOOKUP($F145,'维度字典'!$I$2:$J$50,2,0),"求和")="手工录入","",IF(IFERROR(VLOOKUP($F145,'维度字典'!$I$2:$J$50,2,0),"求和")="最新值",IFERROR(LOOKUP(9.99E+307,G145:R145),""),SUM(G145:R145))))</f>
        <v/>
      </c>
      <c r="T145" s="33" t="n"/>
      <c r="U145" s="33" t="n"/>
    </row>
    <row r="146">
      <c r="A146" s="26">
        <f>IF($B146="","",ROW()-3)</f>
        <v/>
      </c>
      <c r="B146" s="27" t="inlineStr">
        <is>
          <t>王五</t>
        </is>
      </c>
      <c r="C146" s="27" t="inlineStr">
        <is>
          <t>空调制冷</t>
        </is>
      </c>
      <c r="D146" s="28" t="inlineStr">
        <is>
          <t>钎焊</t>
        </is>
      </c>
      <c r="E146" s="29" t="inlineStr">
        <is>
          <t>华北</t>
        </is>
      </c>
      <c r="F146" s="30" t="inlineStr">
        <is>
          <t>毛利率目标</t>
        </is>
      </c>
      <c r="G146" s="62" t="n">
        <v>0.144</v>
      </c>
      <c r="H146" s="62" t="n">
        <v>0.1452</v>
      </c>
      <c r="I146" s="62" t="n">
        <v>0.1464</v>
      </c>
      <c r="J146" s="62" t="n">
        <v>0.1476</v>
      </c>
      <c r="K146" s="62" t="n">
        <v>0.1488</v>
      </c>
      <c r="L146" s="62" t="n">
        <v>0.15</v>
      </c>
      <c r="M146" s="62" t="n">
        <v>0.1512</v>
      </c>
      <c r="N146" s="62" t="n">
        <v>0.1524</v>
      </c>
      <c r="O146" s="62" t="n">
        <v>0.1536</v>
      </c>
      <c r="P146" s="62" t="n">
        <v>0.1548</v>
      </c>
      <c r="Q146" s="62" t="n">
        <v>0.156</v>
      </c>
      <c r="R146" s="62" t="n">
        <v>0.1572</v>
      </c>
      <c r="S146" s="63" t="n">
        <v>0.15</v>
      </c>
      <c r="T146" s="33" t="n"/>
      <c r="U146" s="33" t="n"/>
    </row>
    <row r="147">
      <c r="A147" s="26">
        <f>IF($B147="","",ROW()-3)</f>
        <v/>
      </c>
      <c r="B147" s="27" t="inlineStr">
        <is>
          <t>王五</t>
        </is>
      </c>
      <c r="C147" s="27" t="inlineStr">
        <is>
          <t>空调制冷</t>
        </is>
      </c>
      <c r="D147" s="28" t="inlineStr">
        <is>
          <t>钎焊</t>
        </is>
      </c>
      <c r="E147" s="29" t="inlineStr">
        <is>
          <t>华北</t>
        </is>
      </c>
      <c r="F147" s="30" t="inlineStr">
        <is>
          <t>在手订单目标</t>
        </is>
      </c>
      <c r="G147" s="31" t="n">
        <v>57</v>
      </c>
      <c r="H147" s="31" t="n">
        <v>58</v>
      </c>
      <c r="I147" s="31" t="n">
        <v>59</v>
      </c>
      <c r="J147" s="31" t="n">
        <v>60</v>
      </c>
      <c r="K147" s="31" t="n">
        <v>60</v>
      </c>
      <c r="L147" s="31" t="n">
        <v>61</v>
      </c>
      <c r="M147" s="31" t="n">
        <v>62</v>
      </c>
      <c r="N147" s="31" t="n">
        <v>63</v>
      </c>
      <c r="O147" s="31" t="n">
        <v>64</v>
      </c>
      <c r="P147" s="31" t="n">
        <v>64</v>
      </c>
      <c r="Q147" s="31" t="n">
        <v>65</v>
      </c>
      <c r="R147" s="31" t="n">
        <v>66</v>
      </c>
      <c r="S147" s="32">
        <f>IF($F147="","",IF(IFERROR(VLOOKUP($F147,'维度字典'!$I$2:$J$50,2,0),"求和")="手工录入","",IF(IFERROR(VLOOKUP($F147,'维度字典'!$I$2:$J$50,2,0),"求和")="最新值",IFERROR(LOOKUP(9.99E+307,G147:R147),""),SUM(G147:R147))))</f>
        <v/>
      </c>
      <c r="T147" s="33" t="n"/>
      <c r="U147" s="33" t="n"/>
    </row>
    <row r="148">
      <c r="A148" s="26">
        <f>IF($B148="","",ROW()-3)</f>
        <v/>
      </c>
      <c r="B148" s="27" t="inlineStr">
        <is>
          <t>王五</t>
        </is>
      </c>
      <c r="C148" s="27" t="inlineStr">
        <is>
          <t>空调制冷</t>
        </is>
      </c>
      <c r="D148" s="28" t="inlineStr">
        <is>
          <t>钎焊</t>
        </is>
      </c>
      <c r="E148" s="29" t="inlineStr">
        <is>
          <t>华北</t>
        </is>
      </c>
      <c r="F148" s="30" t="inlineStr">
        <is>
          <t>目标客户机会目标</t>
        </is>
      </c>
      <c r="G148" s="31" t="n">
        <v>41</v>
      </c>
      <c r="H148" s="31" t="n">
        <v>42</v>
      </c>
      <c r="I148" s="31" t="n">
        <v>43</v>
      </c>
      <c r="J148" s="31" t="n">
        <v>43</v>
      </c>
      <c r="K148" s="31" t="n">
        <v>44</v>
      </c>
      <c r="L148" s="31" t="n">
        <v>45</v>
      </c>
      <c r="M148" s="31" t="n">
        <v>46</v>
      </c>
      <c r="N148" s="31" t="n">
        <v>47</v>
      </c>
      <c r="O148" s="31" t="n">
        <v>47</v>
      </c>
      <c r="P148" s="31" t="n">
        <v>48</v>
      </c>
      <c r="Q148" s="31" t="n">
        <v>49</v>
      </c>
      <c r="R148" s="31" t="n">
        <v>50</v>
      </c>
      <c r="S148" s="32">
        <f>IF($F148="","",IF(IFERROR(VLOOKUP($F148,'维度字典'!$I$2:$J$50,2,0),"求和")="手工录入","",IF(IFERROR(VLOOKUP($F148,'维度字典'!$I$2:$J$50,2,0),"求和")="最新值",IFERROR(LOOKUP(9.99E+307,G148:R148),""),SUM(G148:R148))))</f>
        <v/>
      </c>
      <c r="T148" s="33" t="n"/>
      <c r="U148" s="33" t="n"/>
    </row>
    <row r="149">
      <c r="A149" s="26">
        <f>IF($B149="","",ROW()-3)</f>
        <v/>
      </c>
      <c r="B149" s="27" t="inlineStr">
        <is>
          <t>王五</t>
        </is>
      </c>
      <c r="C149" s="27" t="inlineStr">
        <is>
          <t>空调制冷</t>
        </is>
      </c>
      <c r="D149" s="28" t="inlineStr">
        <is>
          <t>钎焊</t>
        </is>
      </c>
      <c r="E149" s="29" t="inlineStr">
        <is>
          <t>华北</t>
        </is>
      </c>
      <c r="F149" s="30" t="inlineStr">
        <is>
          <t>在手订单</t>
        </is>
      </c>
      <c r="G149" s="31" t="n">
        <v>53</v>
      </c>
      <c r="H149" s="31" t="n">
        <v>54</v>
      </c>
      <c r="I149" s="31" t="n">
        <v>55</v>
      </c>
      <c r="J149" s="31" t="n">
        <v>56</v>
      </c>
      <c r="K149" s="31" t="n">
        <v>56</v>
      </c>
      <c r="L149" s="31" t="n">
        <v>57</v>
      </c>
      <c r="M149" s="31" t="n">
        <v>58</v>
      </c>
      <c r="N149" s="31" t="n">
        <v>59</v>
      </c>
      <c r="O149" s="31" t="n">
        <v>60</v>
      </c>
      <c r="P149" s="31" t="n">
        <v>60</v>
      </c>
      <c r="Q149" s="31" t="n">
        <v>61</v>
      </c>
      <c r="R149" s="31" t="n">
        <v>62</v>
      </c>
      <c r="S149" s="32">
        <f>IF($F149="","",IF(IFERROR(VLOOKUP($F149,'维度字典'!$I$2:$J$50,2,0),"求和")="手工录入","",IF(IFERROR(VLOOKUP($F149,'维度字典'!$I$2:$J$50,2,0),"求和")="最新值",IFERROR(LOOKUP(9.99E+307,G149:R149),""),SUM(G149:R149))))</f>
        <v/>
      </c>
      <c r="T149" s="33" t="inlineStr">
        <is>
          <t>管道偏紧：个别客户观望，需加快报价与签约节奏</t>
        </is>
      </c>
      <c r="U149" s="33" t="n"/>
    </row>
    <row r="150">
      <c r="A150" s="26">
        <f>IF($B150="","",ROW()-3)</f>
        <v/>
      </c>
      <c r="B150" s="27" t="inlineStr">
        <is>
          <t>王五</t>
        </is>
      </c>
      <c r="C150" s="27" t="inlineStr">
        <is>
          <t>空调制冷</t>
        </is>
      </c>
      <c r="D150" s="28" t="inlineStr">
        <is>
          <t>钎焊</t>
        </is>
      </c>
      <c r="E150" s="29" t="inlineStr">
        <is>
          <t>华北</t>
        </is>
      </c>
      <c r="F150" s="30" t="inlineStr">
        <is>
          <t>目标客户机会</t>
        </is>
      </c>
      <c r="G150" s="31" t="n">
        <v>32</v>
      </c>
      <c r="H150" s="31" t="n">
        <v>33</v>
      </c>
      <c r="I150" s="31" t="n">
        <v>34</v>
      </c>
      <c r="J150" s="31" t="n">
        <v>34</v>
      </c>
      <c r="K150" s="31" t="n">
        <v>35</v>
      </c>
      <c r="L150" s="31" t="n">
        <v>35</v>
      </c>
      <c r="M150" s="31" t="n">
        <v>36</v>
      </c>
      <c r="N150" s="31" t="n">
        <v>37</v>
      </c>
      <c r="O150" s="31" t="n">
        <v>37</v>
      </c>
      <c r="P150" s="31" t="n">
        <v>38</v>
      </c>
      <c r="Q150" s="31" t="n">
        <v>39</v>
      </c>
      <c r="R150" s="31" t="n">
        <v>39</v>
      </c>
      <c r="S150" s="32">
        <f>IF($F150="","",IF(IFERROR(VLOOKUP($F150,'维度字典'!$I$2:$J$50,2,0),"求和")="手工录入","",IF(IFERROR(VLOOKUP($F150,'维度字典'!$I$2:$J$50,2,0),"求和")="最新值",IFERROR(LOOKUP(9.99E+307,G150:R150),""),SUM(G150:R150))))</f>
        <v/>
      </c>
      <c r="T150" s="33" t="n"/>
      <c r="U150" s="33" t="n"/>
    </row>
    <row r="151">
      <c r="A151" s="26">
        <f>IF($B151="","",ROW()-3)</f>
        <v/>
      </c>
      <c r="B151" s="27" t="inlineStr">
        <is>
          <t>王五</t>
        </is>
      </c>
      <c r="C151" s="27" t="inlineStr">
        <is>
          <t>空调制冷</t>
        </is>
      </c>
      <c r="D151" s="28" t="inlineStr">
        <is>
          <t>可拆</t>
        </is>
      </c>
      <c r="E151" s="29" t="inlineStr">
        <is>
          <t>华北</t>
        </is>
      </c>
      <c r="F151" s="30" t="inlineStr">
        <is>
          <t>销售目标额</t>
        </is>
      </c>
      <c r="G151" s="31" t="n">
        <v>14</v>
      </c>
      <c r="H151" s="31" t="n">
        <v>12</v>
      </c>
      <c r="I151" s="31" t="n">
        <v>17</v>
      </c>
      <c r="J151" s="31" t="n">
        <v>19</v>
      </c>
      <c r="K151" s="31" t="n">
        <v>19</v>
      </c>
      <c r="L151" s="31" t="n">
        <v>21</v>
      </c>
      <c r="M151" s="31" t="n">
        <v>21</v>
      </c>
      <c r="N151" s="31" t="n">
        <v>19</v>
      </c>
      <c r="O151" s="31" t="n">
        <v>19</v>
      </c>
      <c r="P151" s="31" t="n">
        <v>19</v>
      </c>
      <c r="Q151" s="31" t="n">
        <v>17</v>
      </c>
      <c r="R151" s="31" t="n">
        <v>12</v>
      </c>
      <c r="S151" s="32">
        <f>IF($F151="","",IF(IFERROR(VLOOKUP($F151,'维度字典'!$I$2:$J$50,2,0),"求和")="手工录入","",IF(IFERROR(VLOOKUP($F151,'维度字典'!$I$2:$J$50,2,0),"求和")="最新值",IFERROR(LOOKUP(9.99E+307,G151:R151),""),SUM(G151:R151))))</f>
        <v/>
      </c>
      <c r="T151" s="33" t="n"/>
      <c r="U151" s="33" t="n"/>
    </row>
    <row r="152">
      <c r="A152" s="26">
        <f>IF($B152="","",ROW()-3)</f>
        <v/>
      </c>
      <c r="B152" s="27" t="inlineStr">
        <is>
          <t>王五</t>
        </is>
      </c>
      <c r="C152" s="27" t="inlineStr">
        <is>
          <t>空调制冷</t>
        </is>
      </c>
      <c r="D152" s="28" t="inlineStr">
        <is>
          <t>可拆</t>
        </is>
      </c>
      <c r="E152" s="29" t="inlineStr">
        <is>
          <t>华北</t>
        </is>
      </c>
      <c r="F152" s="30" t="inlineStr">
        <is>
          <t>毛利目标</t>
        </is>
      </c>
      <c r="G152" s="31" t="n">
        <v>2.2</v>
      </c>
      <c r="H152" s="31" t="n">
        <v>1.9</v>
      </c>
      <c r="I152" s="31" t="n">
        <v>2.5</v>
      </c>
      <c r="J152" s="31" t="n">
        <v>2.8</v>
      </c>
      <c r="K152" s="31" t="n">
        <v>2.8</v>
      </c>
      <c r="L152" s="31" t="n">
        <v>3.1</v>
      </c>
      <c r="M152" s="31" t="n">
        <v>3.1</v>
      </c>
      <c r="N152" s="31" t="n">
        <v>2.8</v>
      </c>
      <c r="O152" s="31" t="n">
        <v>2.8</v>
      </c>
      <c r="P152" s="31" t="n">
        <v>2.8</v>
      </c>
      <c r="Q152" s="31" t="n">
        <v>2.5</v>
      </c>
      <c r="R152" s="31" t="n">
        <v>1.9</v>
      </c>
      <c r="S152" s="32">
        <f>IF($F152="","",IF(IFERROR(VLOOKUP($F152,'维度字典'!$I$2:$J$50,2,0),"求和")="手工录入","",IF(IFERROR(VLOOKUP($F152,'维度字典'!$I$2:$J$50,2,0),"求和")="最新值",IFERROR(LOOKUP(9.99E+307,G152:R152),""),SUM(G152:R152))))</f>
        <v/>
      </c>
      <c r="T152" s="33" t="n"/>
      <c r="U152" s="33" t="n"/>
    </row>
    <row r="153">
      <c r="A153" s="26">
        <f>IF($B153="","",ROW()-3)</f>
        <v/>
      </c>
      <c r="B153" s="27" t="inlineStr">
        <is>
          <t>王五</t>
        </is>
      </c>
      <c r="C153" s="27" t="inlineStr">
        <is>
          <t>空调制冷</t>
        </is>
      </c>
      <c r="D153" s="28" t="inlineStr">
        <is>
          <t>可拆</t>
        </is>
      </c>
      <c r="E153" s="29" t="inlineStr">
        <is>
          <t>华北</t>
        </is>
      </c>
      <c r="F153" s="30" t="inlineStr">
        <is>
          <t>毛利率目标</t>
        </is>
      </c>
      <c r="G153" s="62" t="n">
        <v>0.144</v>
      </c>
      <c r="H153" s="62" t="n">
        <v>0.1452</v>
      </c>
      <c r="I153" s="62" t="n">
        <v>0.1464</v>
      </c>
      <c r="J153" s="62" t="n">
        <v>0.1476</v>
      </c>
      <c r="K153" s="62" t="n">
        <v>0.1488</v>
      </c>
      <c r="L153" s="62" t="n">
        <v>0.15</v>
      </c>
      <c r="M153" s="62" t="n">
        <v>0.1512</v>
      </c>
      <c r="N153" s="62" t="n">
        <v>0.1524</v>
      </c>
      <c r="O153" s="62" t="n">
        <v>0.1536</v>
      </c>
      <c r="P153" s="62" t="n">
        <v>0.1548</v>
      </c>
      <c r="Q153" s="62" t="n">
        <v>0.156</v>
      </c>
      <c r="R153" s="62" t="n">
        <v>0.1572</v>
      </c>
      <c r="S153" s="63" t="n">
        <v>0.15</v>
      </c>
      <c r="T153" s="33" t="n"/>
      <c r="U153" s="33" t="n"/>
    </row>
    <row r="154">
      <c r="A154" s="26">
        <f>IF($B154="","",ROW()-3)</f>
        <v/>
      </c>
      <c r="B154" s="27" t="inlineStr">
        <is>
          <t>王五</t>
        </is>
      </c>
      <c r="C154" s="27" t="inlineStr">
        <is>
          <t>空调制冷</t>
        </is>
      </c>
      <c r="D154" s="28" t="inlineStr">
        <is>
          <t>可拆</t>
        </is>
      </c>
      <c r="E154" s="29" t="inlineStr">
        <is>
          <t>华北</t>
        </is>
      </c>
      <c r="F154" s="30" t="inlineStr">
        <is>
          <t>在手订单目标</t>
        </is>
      </c>
      <c r="G154" s="31" t="n">
        <v>24</v>
      </c>
      <c r="H154" s="31" t="n">
        <v>25</v>
      </c>
      <c r="I154" s="31" t="n">
        <v>25</v>
      </c>
      <c r="J154" s="31" t="n">
        <v>26</v>
      </c>
      <c r="K154" s="31" t="n">
        <v>26</v>
      </c>
      <c r="L154" s="31" t="n">
        <v>26</v>
      </c>
      <c r="M154" s="31" t="n">
        <v>27</v>
      </c>
      <c r="N154" s="31" t="n">
        <v>27</v>
      </c>
      <c r="O154" s="31" t="n">
        <v>27</v>
      </c>
      <c r="P154" s="31" t="n">
        <v>28</v>
      </c>
      <c r="Q154" s="31" t="n">
        <v>28</v>
      </c>
      <c r="R154" s="31" t="n">
        <v>28</v>
      </c>
      <c r="S154" s="32">
        <f>IF($F154="","",IF(IFERROR(VLOOKUP($F154,'维度字典'!$I$2:$J$50,2,0),"求和")="手工录入","",IF(IFERROR(VLOOKUP($F154,'维度字典'!$I$2:$J$50,2,0),"求和")="最新值",IFERROR(LOOKUP(9.99E+307,G154:R154),""),SUM(G154:R154))))</f>
        <v/>
      </c>
      <c r="T154" s="33" t="n"/>
      <c r="U154" s="33" t="n"/>
    </row>
    <row r="155">
      <c r="A155" s="26">
        <f>IF($B155="","",ROW()-3)</f>
        <v/>
      </c>
      <c r="B155" s="27" t="inlineStr">
        <is>
          <t>王五</t>
        </is>
      </c>
      <c r="C155" s="27" t="inlineStr">
        <is>
          <t>空调制冷</t>
        </is>
      </c>
      <c r="D155" s="28" t="inlineStr">
        <is>
          <t>可拆</t>
        </is>
      </c>
      <c r="E155" s="29" t="inlineStr">
        <is>
          <t>华北</t>
        </is>
      </c>
      <c r="F155" s="30" t="inlineStr">
        <is>
          <t>目标客户机会目标</t>
        </is>
      </c>
      <c r="G155" s="31" t="n">
        <v>18</v>
      </c>
      <c r="H155" s="31" t="n">
        <v>18</v>
      </c>
      <c r="I155" s="31" t="n">
        <v>18</v>
      </c>
      <c r="J155" s="31" t="n">
        <v>19</v>
      </c>
      <c r="K155" s="31" t="n">
        <v>19</v>
      </c>
      <c r="L155" s="31" t="n">
        <v>19</v>
      </c>
      <c r="M155" s="31" t="n">
        <v>20</v>
      </c>
      <c r="N155" s="31" t="n">
        <v>20</v>
      </c>
      <c r="O155" s="31" t="n">
        <v>20</v>
      </c>
      <c r="P155" s="31" t="n">
        <v>21</v>
      </c>
      <c r="Q155" s="31" t="n">
        <v>21</v>
      </c>
      <c r="R155" s="31" t="n">
        <v>21</v>
      </c>
      <c r="S155" s="32">
        <f>IF($F155="","",IF(IFERROR(VLOOKUP($F155,'维度字典'!$I$2:$J$50,2,0),"求和")="手工录入","",IF(IFERROR(VLOOKUP($F155,'维度字典'!$I$2:$J$50,2,0),"求和")="最新值",IFERROR(LOOKUP(9.99E+307,G155:R155),""),SUM(G155:R155))))</f>
        <v/>
      </c>
      <c r="T155" s="33" t="n"/>
      <c r="U155" s="33" t="n"/>
    </row>
    <row r="156">
      <c r="A156" s="26">
        <f>IF($B156="","",ROW()-3)</f>
        <v/>
      </c>
      <c r="B156" s="27" t="inlineStr">
        <is>
          <t>王五</t>
        </is>
      </c>
      <c r="C156" s="27" t="inlineStr">
        <is>
          <t>空调制冷</t>
        </is>
      </c>
      <c r="D156" s="28" t="inlineStr">
        <is>
          <t>可拆</t>
        </is>
      </c>
      <c r="E156" s="29" t="inlineStr">
        <is>
          <t>华北</t>
        </is>
      </c>
      <c r="F156" s="30" t="inlineStr">
        <is>
          <t>在手订单</t>
        </is>
      </c>
      <c r="G156" s="31" t="n">
        <v>22</v>
      </c>
      <c r="H156" s="31" t="n">
        <v>23</v>
      </c>
      <c r="I156" s="31" t="n">
        <v>23</v>
      </c>
      <c r="J156" s="31" t="n">
        <v>24</v>
      </c>
      <c r="K156" s="31" t="n">
        <v>24</v>
      </c>
      <c r="L156" s="31" t="n">
        <v>24</v>
      </c>
      <c r="M156" s="31" t="n">
        <v>25</v>
      </c>
      <c r="N156" s="31" t="n">
        <v>25</v>
      </c>
      <c r="O156" s="31" t="n">
        <v>25</v>
      </c>
      <c r="P156" s="31" t="n">
        <v>26</v>
      </c>
      <c r="Q156" s="31" t="n">
        <v>26</v>
      </c>
      <c r="R156" s="31" t="n">
        <v>26</v>
      </c>
      <c r="S156" s="32">
        <f>IF($F156="","",IF(IFERROR(VLOOKUP($F156,'维度字典'!$I$2:$J$50,2,0),"求和")="手工录入","",IF(IFERROR(VLOOKUP($F156,'维度字典'!$I$2:$J$50,2,0),"求和")="最新值",IFERROR(LOOKUP(9.99E+307,G156:R156),""),SUM(G156:R156))))</f>
        <v/>
      </c>
      <c r="T156" s="33" t="inlineStr">
        <is>
          <t>管道偏紧：个别客户观望，需加快报价与签约节奏</t>
        </is>
      </c>
      <c r="U156" s="33" t="n"/>
    </row>
    <row r="157">
      <c r="A157" s="26">
        <f>IF($B157="","",ROW()-3)</f>
        <v/>
      </c>
      <c r="B157" s="27" t="inlineStr">
        <is>
          <t>王五</t>
        </is>
      </c>
      <c r="C157" s="27" t="inlineStr">
        <is>
          <t>空调制冷</t>
        </is>
      </c>
      <c r="D157" s="28" t="inlineStr">
        <is>
          <t>可拆</t>
        </is>
      </c>
      <c r="E157" s="29" t="inlineStr">
        <is>
          <t>华北</t>
        </is>
      </c>
      <c r="F157" s="30" t="inlineStr">
        <is>
          <t>目标客户机会</t>
        </is>
      </c>
      <c r="G157" s="31" t="n">
        <v>14</v>
      </c>
      <c r="H157" s="31" t="n">
        <v>14</v>
      </c>
      <c r="I157" s="31" t="n">
        <v>14</v>
      </c>
      <c r="J157" s="31" t="n">
        <v>15</v>
      </c>
      <c r="K157" s="31" t="n">
        <v>15</v>
      </c>
      <c r="L157" s="31" t="n">
        <v>15</v>
      </c>
      <c r="M157" s="31" t="n">
        <v>16</v>
      </c>
      <c r="N157" s="31" t="n">
        <v>16</v>
      </c>
      <c r="O157" s="31" t="n">
        <v>16</v>
      </c>
      <c r="P157" s="31" t="n">
        <v>16</v>
      </c>
      <c r="Q157" s="31" t="n">
        <v>16</v>
      </c>
      <c r="R157" s="31" t="n">
        <v>16</v>
      </c>
      <c r="S157" s="32">
        <f>IF($F157="","",IF(IFERROR(VLOOKUP($F157,'维度字典'!$I$2:$J$50,2,0),"求和")="手工录入","",IF(IFERROR(VLOOKUP($F157,'维度字典'!$I$2:$J$50,2,0),"求和")="最新值",IFERROR(LOOKUP(9.99E+307,G157:R157),""),SUM(G157:R157))))</f>
        <v/>
      </c>
      <c r="T157" s="33" t="n"/>
      <c r="U157" s="33" t="n"/>
    </row>
    <row r="158">
      <c r="A158" s="26">
        <f>IF($B158="","",ROW()-3)</f>
        <v/>
      </c>
      <c r="B158" s="27" t="inlineStr">
        <is>
          <t>王五</t>
        </is>
      </c>
      <c r="C158" s="27" t="inlineStr">
        <is>
          <t>工业制冷</t>
        </is>
      </c>
      <c r="D158" s="28" t="inlineStr">
        <is>
          <t>钎焊</t>
        </is>
      </c>
      <c r="E158" s="29" t="inlineStr">
        <is>
          <t>华北</t>
        </is>
      </c>
      <c r="F158" s="30" t="inlineStr">
        <is>
          <t>销售目标额</t>
        </is>
      </c>
      <c r="G158" s="31" t="n">
        <v>20</v>
      </c>
      <c r="H158" s="31" t="n">
        <v>17</v>
      </c>
      <c r="I158" s="31" t="n">
        <v>23</v>
      </c>
      <c r="J158" s="31" t="n">
        <v>26</v>
      </c>
      <c r="K158" s="31" t="n">
        <v>26</v>
      </c>
      <c r="L158" s="31" t="n">
        <v>29</v>
      </c>
      <c r="M158" s="31" t="n">
        <v>29</v>
      </c>
      <c r="N158" s="31" t="n">
        <v>26</v>
      </c>
      <c r="O158" s="31" t="n">
        <v>26</v>
      </c>
      <c r="P158" s="31" t="n">
        <v>26</v>
      </c>
      <c r="Q158" s="31" t="n">
        <v>23</v>
      </c>
      <c r="R158" s="31" t="n">
        <v>17</v>
      </c>
      <c r="S158" s="32">
        <f>IF($F158="","",IF(IFERROR(VLOOKUP($F158,'维度字典'!$I$2:$J$50,2,0),"求和")="手工录入","",IF(IFERROR(VLOOKUP($F158,'维度字典'!$I$2:$J$50,2,0),"求和")="最新值",IFERROR(LOOKUP(9.99E+307,G158:R158),""),SUM(G158:R158))))</f>
        <v/>
      </c>
      <c r="T158" s="33" t="n"/>
      <c r="U158" s="33" t="n"/>
    </row>
    <row r="159">
      <c r="A159" s="26">
        <f>IF($B159="","",ROW()-3)</f>
        <v/>
      </c>
      <c r="B159" s="27" t="inlineStr">
        <is>
          <t>王五</t>
        </is>
      </c>
      <c r="C159" s="27" t="inlineStr">
        <is>
          <t>工业制冷</t>
        </is>
      </c>
      <c r="D159" s="28" t="inlineStr">
        <is>
          <t>钎焊</t>
        </is>
      </c>
      <c r="E159" s="29" t="inlineStr">
        <is>
          <t>华北</t>
        </is>
      </c>
      <c r="F159" s="30" t="inlineStr">
        <is>
          <t>毛利目标</t>
        </is>
      </c>
      <c r="G159" s="31" t="n">
        <v>3.2</v>
      </c>
      <c r="H159" s="31" t="n">
        <v>2.8</v>
      </c>
      <c r="I159" s="31" t="n">
        <v>3.7</v>
      </c>
      <c r="J159" s="31" t="n">
        <v>4.1</v>
      </c>
      <c r="K159" s="31" t="n">
        <v>4.1</v>
      </c>
      <c r="L159" s="31" t="n">
        <v>4.6</v>
      </c>
      <c r="M159" s="31" t="n">
        <v>4.6</v>
      </c>
      <c r="N159" s="31" t="n">
        <v>4.1</v>
      </c>
      <c r="O159" s="31" t="n">
        <v>4.1</v>
      </c>
      <c r="P159" s="31" t="n">
        <v>4.1</v>
      </c>
      <c r="Q159" s="31" t="n">
        <v>3.7</v>
      </c>
      <c r="R159" s="31" t="n">
        <v>2.8</v>
      </c>
      <c r="S159" s="32">
        <f>IF($F159="","",IF(IFERROR(VLOOKUP($F159,'维度字典'!$I$2:$J$50,2,0),"求和")="手工录入","",IF(IFERROR(VLOOKUP($F159,'维度字典'!$I$2:$J$50,2,0),"求和")="最新值",IFERROR(LOOKUP(9.99E+307,G159:R159),""),SUM(G159:R159))))</f>
        <v/>
      </c>
      <c r="T159" s="33" t="n"/>
      <c r="U159" s="33" t="n"/>
    </row>
    <row r="160">
      <c r="A160" s="26">
        <f>IF($B160="","",ROW()-3)</f>
        <v/>
      </c>
      <c r="B160" s="27" t="inlineStr">
        <is>
          <t>王五</t>
        </is>
      </c>
      <c r="C160" s="27" t="inlineStr">
        <is>
          <t>工业制冷</t>
        </is>
      </c>
      <c r="D160" s="28" t="inlineStr">
        <is>
          <t>钎焊</t>
        </is>
      </c>
      <c r="E160" s="29" t="inlineStr">
        <is>
          <t>华北</t>
        </is>
      </c>
      <c r="F160" s="30" t="inlineStr">
        <is>
          <t>毛利率目标</t>
        </is>
      </c>
      <c r="G160" s="62" t="n">
        <v>0.1536</v>
      </c>
      <c r="H160" s="62" t="n">
        <v>0.1549</v>
      </c>
      <c r="I160" s="62" t="n">
        <v>0.1562</v>
      </c>
      <c r="J160" s="62" t="n">
        <v>0.1574</v>
      </c>
      <c r="K160" s="62" t="n">
        <v>0.1587</v>
      </c>
      <c r="L160" s="62" t="n">
        <v>0.16</v>
      </c>
      <c r="M160" s="62" t="n">
        <v>0.1613</v>
      </c>
      <c r="N160" s="62" t="n">
        <v>0.1626</v>
      </c>
      <c r="O160" s="62" t="n">
        <v>0.1638</v>
      </c>
      <c r="P160" s="62" t="n">
        <v>0.1651</v>
      </c>
      <c r="Q160" s="62" t="n">
        <v>0.1664</v>
      </c>
      <c r="R160" s="62" t="n">
        <v>0.1677</v>
      </c>
      <c r="S160" s="63" t="n">
        <v>0.16</v>
      </c>
      <c r="T160" s="33" t="n"/>
      <c r="U160" s="33" t="n"/>
    </row>
    <row r="161">
      <c r="A161" s="26">
        <f>IF($B161="","",ROW()-3)</f>
        <v/>
      </c>
      <c r="B161" s="27" t="inlineStr">
        <is>
          <t>王五</t>
        </is>
      </c>
      <c r="C161" s="27" t="inlineStr">
        <is>
          <t>工业制冷</t>
        </is>
      </c>
      <c r="D161" s="28" t="inlineStr">
        <is>
          <t>钎焊</t>
        </is>
      </c>
      <c r="E161" s="29" t="inlineStr">
        <is>
          <t>华北</t>
        </is>
      </c>
      <c r="F161" s="30" t="inlineStr">
        <is>
          <t>在手订单目标</t>
        </is>
      </c>
      <c r="G161" s="31" t="n">
        <v>34</v>
      </c>
      <c r="H161" s="31" t="n">
        <v>35</v>
      </c>
      <c r="I161" s="31" t="n">
        <v>35</v>
      </c>
      <c r="J161" s="31" t="n">
        <v>36</v>
      </c>
      <c r="K161" s="31" t="n">
        <v>36</v>
      </c>
      <c r="L161" s="31" t="n">
        <v>36</v>
      </c>
      <c r="M161" s="31" t="n">
        <v>37</v>
      </c>
      <c r="N161" s="31" t="n">
        <v>37</v>
      </c>
      <c r="O161" s="31" t="n">
        <v>38</v>
      </c>
      <c r="P161" s="31" t="n">
        <v>38</v>
      </c>
      <c r="Q161" s="31" t="n">
        <v>39</v>
      </c>
      <c r="R161" s="31" t="n">
        <v>39</v>
      </c>
      <c r="S161" s="32">
        <f>IF($F161="","",IF(IFERROR(VLOOKUP($F161,'维度字典'!$I$2:$J$50,2,0),"求和")="手工录入","",IF(IFERROR(VLOOKUP($F161,'维度字典'!$I$2:$J$50,2,0),"求和")="最新值",IFERROR(LOOKUP(9.99E+307,G161:R161),""),SUM(G161:R161))))</f>
        <v/>
      </c>
      <c r="T161" s="33" t="n"/>
      <c r="U161" s="33" t="n"/>
    </row>
    <row r="162">
      <c r="A162" s="26">
        <f>IF($B162="","",ROW()-3)</f>
        <v/>
      </c>
      <c r="B162" s="27" t="inlineStr">
        <is>
          <t>王五</t>
        </is>
      </c>
      <c r="C162" s="27" t="inlineStr">
        <is>
          <t>工业制冷</t>
        </is>
      </c>
      <c r="D162" s="28" t="inlineStr">
        <is>
          <t>钎焊</t>
        </is>
      </c>
      <c r="E162" s="29" t="inlineStr">
        <is>
          <t>华北</t>
        </is>
      </c>
      <c r="F162" s="30" t="inlineStr">
        <is>
          <t>目标客户机会目标</t>
        </is>
      </c>
      <c r="G162" s="31" t="n">
        <v>24</v>
      </c>
      <c r="H162" s="31" t="n">
        <v>25</v>
      </c>
      <c r="I162" s="31" t="n">
        <v>25</v>
      </c>
      <c r="J162" s="31" t="n">
        <v>26</v>
      </c>
      <c r="K162" s="31" t="n">
        <v>26</v>
      </c>
      <c r="L162" s="31" t="n">
        <v>27</v>
      </c>
      <c r="M162" s="31" t="n">
        <v>27</v>
      </c>
      <c r="N162" s="31" t="n">
        <v>28</v>
      </c>
      <c r="O162" s="31" t="n">
        <v>28</v>
      </c>
      <c r="P162" s="31" t="n">
        <v>29</v>
      </c>
      <c r="Q162" s="31" t="n">
        <v>29</v>
      </c>
      <c r="R162" s="31" t="n">
        <v>30</v>
      </c>
      <c r="S162" s="32">
        <f>IF($F162="","",IF(IFERROR(VLOOKUP($F162,'维度字典'!$I$2:$J$50,2,0),"求和")="手工录入","",IF(IFERROR(VLOOKUP($F162,'维度字典'!$I$2:$J$50,2,0),"求和")="最新值",IFERROR(LOOKUP(9.99E+307,G162:R162),""),SUM(G162:R162))))</f>
        <v/>
      </c>
      <c r="T162" s="33" t="n"/>
      <c r="U162" s="33" t="n"/>
    </row>
    <row r="163">
      <c r="A163" s="26">
        <f>IF($B163="","",ROW()-3)</f>
        <v/>
      </c>
      <c r="B163" s="27" t="inlineStr">
        <is>
          <t>王五</t>
        </is>
      </c>
      <c r="C163" s="27" t="inlineStr">
        <is>
          <t>工业制冷</t>
        </is>
      </c>
      <c r="D163" s="28" t="inlineStr">
        <is>
          <t>钎焊</t>
        </is>
      </c>
      <c r="E163" s="29" t="inlineStr">
        <is>
          <t>华北</t>
        </is>
      </c>
      <c r="F163" s="30" t="inlineStr">
        <is>
          <t>在手订单</t>
        </is>
      </c>
      <c r="G163" s="31" t="n">
        <v>32</v>
      </c>
      <c r="H163" s="31" t="n">
        <v>33</v>
      </c>
      <c r="I163" s="31" t="n">
        <v>33</v>
      </c>
      <c r="J163" s="31" t="n">
        <v>34</v>
      </c>
      <c r="K163" s="31" t="n">
        <v>34</v>
      </c>
      <c r="L163" s="31" t="n">
        <v>34</v>
      </c>
      <c r="M163" s="31" t="n">
        <v>35</v>
      </c>
      <c r="N163" s="31" t="n">
        <v>35</v>
      </c>
      <c r="O163" s="31" t="n">
        <v>36</v>
      </c>
      <c r="P163" s="31" t="n">
        <v>36</v>
      </c>
      <c r="Q163" s="31" t="n">
        <v>37</v>
      </c>
      <c r="R163" s="31" t="n">
        <v>37</v>
      </c>
      <c r="S163" s="32">
        <f>IF($F163="","",IF(IFERROR(VLOOKUP($F163,'维度字典'!$I$2:$J$50,2,0),"求和")="手工录入","",IF(IFERROR(VLOOKUP($F163,'维度字典'!$I$2:$J$50,2,0),"求和")="最新值",IFERROR(LOOKUP(9.99E+307,G163:R163),""),SUM(G163:R163))))</f>
        <v/>
      </c>
      <c r="T163" s="33" t="inlineStr">
        <is>
          <t>管道偏紧：个别客户观望，需加快报价与签约节奏</t>
        </is>
      </c>
      <c r="U163" s="33" t="n"/>
    </row>
    <row r="164">
      <c r="A164" s="26">
        <f>IF($B164="","",ROW()-3)</f>
        <v/>
      </c>
      <c r="B164" s="27" t="inlineStr">
        <is>
          <t>王五</t>
        </is>
      </c>
      <c r="C164" s="27" t="inlineStr">
        <is>
          <t>工业制冷</t>
        </is>
      </c>
      <c r="D164" s="28" t="inlineStr">
        <is>
          <t>钎焊</t>
        </is>
      </c>
      <c r="E164" s="29" t="inlineStr">
        <is>
          <t>华北</t>
        </is>
      </c>
      <c r="F164" s="30" t="inlineStr">
        <is>
          <t>目标客户机会</t>
        </is>
      </c>
      <c r="G164" s="31" t="n">
        <v>19</v>
      </c>
      <c r="H164" s="31" t="n">
        <v>20</v>
      </c>
      <c r="I164" s="31" t="n">
        <v>20</v>
      </c>
      <c r="J164" s="31" t="n">
        <v>21</v>
      </c>
      <c r="K164" s="31" t="n">
        <v>21</v>
      </c>
      <c r="L164" s="31" t="n">
        <v>21</v>
      </c>
      <c r="M164" s="31" t="n">
        <v>21</v>
      </c>
      <c r="N164" s="31" t="n">
        <v>22</v>
      </c>
      <c r="O164" s="31" t="n">
        <v>22</v>
      </c>
      <c r="P164" s="31" t="n">
        <v>23</v>
      </c>
      <c r="Q164" s="31" t="n">
        <v>23</v>
      </c>
      <c r="R164" s="31" t="n">
        <v>24</v>
      </c>
      <c r="S164" s="32">
        <f>IF($F164="","",IF(IFERROR(VLOOKUP($F164,'维度字典'!$I$2:$J$50,2,0),"求和")="手工录入","",IF(IFERROR(VLOOKUP($F164,'维度字典'!$I$2:$J$50,2,0),"求和")="最新值",IFERROR(LOOKUP(9.99E+307,G164:R164),""),SUM(G164:R164))))</f>
        <v/>
      </c>
      <c r="T164" s="33" t="n"/>
      <c r="U164" s="33" t="n"/>
    </row>
    <row r="165">
      <c r="A165" s="26">
        <f>IF($B165="","",ROW()-3)</f>
        <v/>
      </c>
      <c r="B165" s="27" t="inlineStr">
        <is>
          <t>王五</t>
        </is>
      </c>
      <c r="C165" s="27" t="inlineStr">
        <is>
          <t>工业制冷</t>
        </is>
      </c>
      <c r="D165" s="28" t="inlineStr">
        <is>
          <t>可拆</t>
        </is>
      </c>
      <c r="E165" s="29" t="inlineStr">
        <is>
          <t>华北</t>
        </is>
      </c>
      <c r="F165" s="30" t="inlineStr">
        <is>
          <t>销售目标额</t>
        </is>
      </c>
      <c r="G165" s="31" t="n">
        <v>20</v>
      </c>
      <c r="H165" s="31" t="n">
        <v>17</v>
      </c>
      <c r="I165" s="31" t="n">
        <v>23</v>
      </c>
      <c r="J165" s="31" t="n">
        <v>26</v>
      </c>
      <c r="K165" s="31" t="n">
        <v>26</v>
      </c>
      <c r="L165" s="31" t="n">
        <v>29</v>
      </c>
      <c r="M165" s="31" t="n">
        <v>29</v>
      </c>
      <c r="N165" s="31" t="n">
        <v>26</v>
      </c>
      <c r="O165" s="31" t="n">
        <v>26</v>
      </c>
      <c r="P165" s="31" t="n">
        <v>26</v>
      </c>
      <c r="Q165" s="31" t="n">
        <v>23</v>
      </c>
      <c r="R165" s="31" t="n">
        <v>17</v>
      </c>
      <c r="S165" s="32">
        <f>IF($F165="","",IF(IFERROR(VLOOKUP($F165,'维度字典'!$I$2:$J$50,2,0),"求和")="手工录入","",IF(IFERROR(VLOOKUP($F165,'维度字典'!$I$2:$J$50,2,0),"求和")="最新值",IFERROR(LOOKUP(9.99E+307,G165:R165),""),SUM(G165:R165))))</f>
        <v/>
      </c>
      <c r="T165" s="33" t="n"/>
      <c r="U165" s="33" t="n"/>
    </row>
    <row r="166">
      <c r="A166" s="26">
        <f>IF($B166="","",ROW()-3)</f>
        <v/>
      </c>
      <c r="B166" s="27" t="inlineStr">
        <is>
          <t>王五</t>
        </is>
      </c>
      <c r="C166" s="27" t="inlineStr">
        <is>
          <t>工业制冷</t>
        </is>
      </c>
      <c r="D166" s="28" t="inlineStr">
        <is>
          <t>可拆</t>
        </is>
      </c>
      <c r="E166" s="29" t="inlineStr">
        <is>
          <t>华北</t>
        </is>
      </c>
      <c r="F166" s="30" t="inlineStr">
        <is>
          <t>毛利目标</t>
        </is>
      </c>
      <c r="G166" s="31" t="n">
        <v>3.2</v>
      </c>
      <c r="H166" s="31" t="n">
        <v>2.8</v>
      </c>
      <c r="I166" s="31" t="n">
        <v>3.7</v>
      </c>
      <c r="J166" s="31" t="n">
        <v>4.1</v>
      </c>
      <c r="K166" s="31" t="n">
        <v>4.1</v>
      </c>
      <c r="L166" s="31" t="n">
        <v>4.6</v>
      </c>
      <c r="M166" s="31" t="n">
        <v>4.6</v>
      </c>
      <c r="N166" s="31" t="n">
        <v>4.1</v>
      </c>
      <c r="O166" s="31" t="n">
        <v>4.1</v>
      </c>
      <c r="P166" s="31" t="n">
        <v>4.1</v>
      </c>
      <c r="Q166" s="31" t="n">
        <v>3.7</v>
      </c>
      <c r="R166" s="31" t="n">
        <v>2.8</v>
      </c>
      <c r="S166" s="32">
        <f>IF($F166="","",IF(IFERROR(VLOOKUP($F166,'维度字典'!$I$2:$J$50,2,0),"求和")="手工录入","",IF(IFERROR(VLOOKUP($F166,'维度字典'!$I$2:$J$50,2,0),"求和")="最新值",IFERROR(LOOKUP(9.99E+307,G166:R166),""),SUM(G166:R166))))</f>
        <v/>
      </c>
      <c r="T166" s="33" t="n"/>
      <c r="U166" s="33" t="n"/>
    </row>
    <row r="167">
      <c r="A167" s="26">
        <f>IF($B167="","",ROW()-3)</f>
        <v/>
      </c>
      <c r="B167" s="27" t="inlineStr">
        <is>
          <t>王五</t>
        </is>
      </c>
      <c r="C167" s="27" t="inlineStr">
        <is>
          <t>工业制冷</t>
        </is>
      </c>
      <c r="D167" s="28" t="inlineStr">
        <is>
          <t>可拆</t>
        </is>
      </c>
      <c r="E167" s="29" t="inlineStr">
        <is>
          <t>华北</t>
        </is>
      </c>
      <c r="F167" s="30" t="inlineStr">
        <is>
          <t>毛利率目标</t>
        </is>
      </c>
      <c r="G167" s="62" t="n">
        <v>0.1536</v>
      </c>
      <c r="H167" s="62" t="n">
        <v>0.1549</v>
      </c>
      <c r="I167" s="62" t="n">
        <v>0.1562</v>
      </c>
      <c r="J167" s="62" t="n">
        <v>0.1574</v>
      </c>
      <c r="K167" s="62" t="n">
        <v>0.1587</v>
      </c>
      <c r="L167" s="62" t="n">
        <v>0.16</v>
      </c>
      <c r="M167" s="62" t="n">
        <v>0.1613</v>
      </c>
      <c r="N167" s="62" t="n">
        <v>0.1626</v>
      </c>
      <c r="O167" s="62" t="n">
        <v>0.1638</v>
      </c>
      <c r="P167" s="62" t="n">
        <v>0.1651</v>
      </c>
      <c r="Q167" s="62" t="n">
        <v>0.1664</v>
      </c>
      <c r="R167" s="62" t="n">
        <v>0.1677</v>
      </c>
      <c r="S167" s="63" t="n">
        <v>0.16</v>
      </c>
      <c r="T167" s="33" t="n"/>
      <c r="U167" s="33" t="n"/>
    </row>
    <row r="168">
      <c r="A168" s="26">
        <f>IF($B168="","",ROW()-3)</f>
        <v/>
      </c>
      <c r="B168" s="27" t="inlineStr">
        <is>
          <t>王五</t>
        </is>
      </c>
      <c r="C168" s="27" t="inlineStr">
        <is>
          <t>工业制冷</t>
        </is>
      </c>
      <c r="D168" s="28" t="inlineStr">
        <is>
          <t>可拆</t>
        </is>
      </c>
      <c r="E168" s="29" t="inlineStr">
        <is>
          <t>华北</t>
        </is>
      </c>
      <c r="F168" s="30" t="inlineStr">
        <is>
          <t>在手订单目标</t>
        </is>
      </c>
      <c r="G168" s="31" t="n">
        <v>34</v>
      </c>
      <c r="H168" s="31" t="n">
        <v>34</v>
      </c>
      <c r="I168" s="31" t="n">
        <v>35</v>
      </c>
      <c r="J168" s="31" t="n">
        <v>35</v>
      </c>
      <c r="K168" s="31" t="n">
        <v>36</v>
      </c>
      <c r="L168" s="31" t="n">
        <v>36</v>
      </c>
      <c r="M168" s="31" t="n">
        <v>37</v>
      </c>
      <c r="N168" s="31" t="n">
        <v>37</v>
      </c>
      <c r="O168" s="31" t="n">
        <v>38</v>
      </c>
      <c r="P168" s="31" t="n">
        <v>38</v>
      </c>
      <c r="Q168" s="31" t="n">
        <v>39</v>
      </c>
      <c r="R168" s="31" t="n">
        <v>39</v>
      </c>
      <c r="S168" s="32">
        <f>IF($F168="","",IF(IFERROR(VLOOKUP($F168,'维度字典'!$I$2:$J$50,2,0),"求和")="手工录入","",IF(IFERROR(VLOOKUP($F168,'维度字典'!$I$2:$J$50,2,0),"求和")="最新值",IFERROR(LOOKUP(9.99E+307,G168:R168),""),SUM(G168:R168))))</f>
        <v/>
      </c>
      <c r="T168" s="33" t="n"/>
      <c r="U168" s="33" t="n"/>
    </row>
    <row r="169">
      <c r="A169" s="26">
        <f>IF($B169="","",ROW()-3)</f>
        <v/>
      </c>
      <c r="B169" s="27" t="inlineStr">
        <is>
          <t>王五</t>
        </is>
      </c>
      <c r="C169" s="27" t="inlineStr">
        <is>
          <t>工业制冷</t>
        </is>
      </c>
      <c r="D169" s="28" t="inlineStr">
        <is>
          <t>可拆</t>
        </is>
      </c>
      <c r="E169" s="29" t="inlineStr">
        <is>
          <t>华北</t>
        </is>
      </c>
      <c r="F169" s="30" t="inlineStr">
        <is>
          <t>目标客户机会目标</t>
        </is>
      </c>
      <c r="G169" s="31" t="n">
        <v>24</v>
      </c>
      <c r="H169" s="31" t="n">
        <v>25</v>
      </c>
      <c r="I169" s="31" t="n">
        <v>25</v>
      </c>
      <c r="J169" s="31" t="n">
        <v>26</v>
      </c>
      <c r="K169" s="31" t="n">
        <v>26</v>
      </c>
      <c r="L169" s="31" t="n">
        <v>27</v>
      </c>
      <c r="M169" s="31" t="n">
        <v>27</v>
      </c>
      <c r="N169" s="31" t="n">
        <v>28</v>
      </c>
      <c r="O169" s="31" t="n">
        <v>28</v>
      </c>
      <c r="P169" s="31" t="n">
        <v>29</v>
      </c>
      <c r="Q169" s="31" t="n">
        <v>29</v>
      </c>
      <c r="R169" s="31" t="n">
        <v>30</v>
      </c>
      <c r="S169" s="32">
        <f>IF($F169="","",IF(IFERROR(VLOOKUP($F169,'维度字典'!$I$2:$J$50,2,0),"求和")="手工录入","",IF(IFERROR(VLOOKUP($F169,'维度字典'!$I$2:$J$50,2,0),"求和")="最新值",IFERROR(LOOKUP(9.99E+307,G169:R169),""),SUM(G169:R169))))</f>
        <v/>
      </c>
      <c r="T169" s="33" t="n"/>
      <c r="U169" s="33" t="n"/>
    </row>
    <row r="170">
      <c r="A170" s="26">
        <f>IF($B170="","",ROW()-3)</f>
        <v/>
      </c>
      <c r="B170" s="27" t="inlineStr">
        <is>
          <t>王五</t>
        </is>
      </c>
      <c r="C170" s="27" t="inlineStr">
        <is>
          <t>工业制冷</t>
        </is>
      </c>
      <c r="D170" s="28" t="inlineStr">
        <is>
          <t>可拆</t>
        </is>
      </c>
      <c r="E170" s="29" t="inlineStr">
        <is>
          <t>华北</t>
        </is>
      </c>
      <c r="F170" s="30" t="inlineStr">
        <is>
          <t>在手订单</t>
        </is>
      </c>
      <c r="G170" s="31" t="n">
        <v>32</v>
      </c>
      <c r="H170" s="31" t="n">
        <v>32</v>
      </c>
      <c r="I170" s="31" t="n">
        <v>33</v>
      </c>
      <c r="J170" s="31" t="n">
        <v>33</v>
      </c>
      <c r="K170" s="31" t="n">
        <v>34</v>
      </c>
      <c r="L170" s="31" t="n">
        <v>34</v>
      </c>
      <c r="M170" s="31" t="n">
        <v>35</v>
      </c>
      <c r="N170" s="31" t="n">
        <v>35</v>
      </c>
      <c r="O170" s="31" t="n">
        <v>36</v>
      </c>
      <c r="P170" s="31" t="n">
        <v>36</v>
      </c>
      <c r="Q170" s="31" t="n">
        <v>37</v>
      </c>
      <c r="R170" s="31" t="n">
        <v>37</v>
      </c>
      <c r="S170" s="32">
        <f>IF($F170="","",IF(IFERROR(VLOOKUP($F170,'维度字典'!$I$2:$J$50,2,0),"求和")="手工录入","",IF(IFERROR(VLOOKUP($F170,'维度字典'!$I$2:$J$50,2,0),"求和")="最新值",IFERROR(LOOKUP(9.99E+307,G170:R170),""),SUM(G170:R170))))</f>
        <v/>
      </c>
      <c r="T170" s="33" t="inlineStr">
        <is>
          <t>管道偏紧：个别客户观望，需加快报价与签约节奏</t>
        </is>
      </c>
      <c r="U170" s="33" t="n"/>
    </row>
    <row r="171">
      <c r="A171" s="26">
        <f>IF($B171="","",ROW()-3)</f>
        <v/>
      </c>
      <c r="B171" s="27" t="inlineStr">
        <is>
          <t>王五</t>
        </is>
      </c>
      <c r="C171" s="27" t="inlineStr">
        <is>
          <t>工业制冷</t>
        </is>
      </c>
      <c r="D171" s="28" t="inlineStr">
        <is>
          <t>可拆</t>
        </is>
      </c>
      <c r="E171" s="29" t="inlineStr">
        <is>
          <t>华北</t>
        </is>
      </c>
      <c r="F171" s="30" t="inlineStr">
        <is>
          <t>目标客户机会</t>
        </is>
      </c>
      <c r="G171" s="31" t="n">
        <v>19</v>
      </c>
      <c r="H171" s="31" t="n">
        <v>20</v>
      </c>
      <c r="I171" s="31" t="n">
        <v>20</v>
      </c>
      <c r="J171" s="31" t="n">
        <v>20</v>
      </c>
      <c r="K171" s="31" t="n">
        <v>20</v>
      </c>
      <c r="L171" s="31" t="n">
        <v>21</v>
      </c>
      <c r="M171" s="31" t="n">
        <v>21</v>
      </c>
      <c r="N171" s="31" t="n">
        <v>22</v>
      </c>
      <c r="O171" s="31" t="n">
        <v>22</v>
      </c>
      <c r="P171" s="31" t="n">
        <v>23</v>
      </c>
      <c r="Q171" s="31" t="n">
        <v>23</v>
      </c>
      <c r="R171" s="31" t="n">
        <v>24</v>
      </c>
      <c r="S171" s="32">
        <f>IF($F171="","",IF(IFERROR(VLOOKUP($F171,'维度字典'!$I$2:$J$50,2,0),"求和")="手工录入","",IF(IFERROR(VLOOKUP($F171,'维度字典'!$I$2:$J$50,2,0),"求和")="最新值",IFERROR(LOOKUP(9.99E+307,G171:R171),""),SUM(G171:R171))))</f>
        <v/>
      </c>
      <c r="T171" s="33" t="n"/>
      <c r="U171" s="33" t="n"/>
    </row>
    <row r="172">
      <c r="A172" s="26">
        <f>IF($B172="","",ROW()-3)</f>
        <v/>
      </c>
      <c r="B172" s="27" t="inlineStr">
        <is>
          <t>王五</t>
        </is>
      </c>
      <c r="C172" s="27" t="inlineStr">
        <is>
          <t>船舶行业</t>
        </is>
      </c>
      <c r="D172" s="28" t="inlineStr">
        <is>
          <t>钎焊</t>
        </is>
      </c>
      <c r="E172" s="29" t="inlineStr">
        <is>
          <t>华北</t>
        </is>
      </c>
      <c r="F172" s="30" t="inlineStr">
        <is>
          <t>销售目标额</t>
        </is>
      </c>
      <c r="G172" s="31" t="n">
        <v>5</v>
      </c>
      <c r="H172" s="31" t="n">
        <v>4</v>
      </c>
      <c r="I172" s="31" t="n">
        <v>6</v>
      </c>
      <c r="J172" s="31" t="n">
        <v>7</v>
      </c>
      <c r="K172" s="31" t="n">
        <v>7</v>
      </c>
      <c r="L172" s="31" t="n">
        <v>7</v>
      </c>
      <c r="M172" s="31" t="n">
        <v>7</v>
      </c>
      <c r="N172" s="31" t="n">
        <v>7</v>
      </c>
      <c r="O172" s="31" t="n">
        <v>7</v>
      </c>
      <c r="P172" s="31" t="n">
        <v>7</v>
      </c>
      <c r="Q172" s="31" t="n">
        <v>6</v>
      </c>
      <c r="R172" s="31" t="n">
        <v>4</v>
      </c>
      <c r="S172" s="32">
        <f>IF($F172="","",IF(IFERROR(VLOOKUP($F172,'维度字典'!$I$2:$J$50,2,0),"求和")="手工录入","",IF(IFERROR(VLOOKUP($F172,'维度字典'!$I$2:$J$50,2,0),"求和")="最新值",IFERROR(LOOKUP(9.99E+307,G172:R172),""),SUM(G172:R172))))</f>
        <v/>
      </c>
      <c r="T172" s="33" t="n"/>
      <c r="U172" s="33" t="n"/>
    </row>
    <row r="173">
      <c r="A173" s="26">
        <f>IF($B173="","",ROW()-3)</f>
        <v/>
      </c>
      <c r="B173" s="27" t="inlineStr">
        <is>
          <t>王五</t>
        </is>
      </c>
      <c r="C173" s="27" t="inlineStr">
        <is>
          <t>船舶行业</t>
        </is>
      </c>
      <c r="D173" s="28" t="inlineStr">
        <is>
          <t>钎焊</t>
        </is>
      </c>
      <c r="E173" s="29" t="inlineStr">
        <is>
          <t>华北</t>
        </is>
      </c>
      <c r="F173" s="30" t="inlineStr">
        <is>
          <t>毛利目标</t>
        </is>
      </c>
      <c r="G173" s="31" t="n">
        <v>1</v>
      </c>
      <c r="H173" s="31" t="n">
        <v>0.9</v>
      </c>
      <c r="I173" s="31" t="n">
        <v>1.2</v>
      </c>
      <c r="J173" s="31" t="n">
        <v>1.3</v>
      </c>
      <c r="K173" s="31" t="n">
        <v>1.3</v>
      </c>
      <c r="L173" s="31" t="n">
        <v>1.5</v>
      </c>
      <c r="M173" s="31" t="n">
        <v>1.5</v>
      </c>
      <c r="N173" s="31" t="n">
        <v>1.3</v>
      </c>
      <c r="O173" s="31" t="n">
        <v>1.3</v>
      </c>
      <c r="P173" s="31" t="n">
        <v>1.3</v>
      </c>
      <c r="Q173" s="31" t="n">
        <v>1.2</v>
      </c>
      <c r="R173" s="31" t="n">
        <v>0.9</v>
      </c>
      <c r="S173" s="32">
        <f>IF($F173="","",IF(IFERROR(VLOOKUP($F173,'维度字典'!$I$2:$J$50,2,0),"求和")="手工录入","",IF(IFERROR(VLOOKUP($F173,'维度字典'!$I$2:$J$50,2,0),"求和")="最新值",IFERROR(LOOKUP(9.99E+307,G173:R173),""),SUM(G173:R173))))</f>
        <v/>
      </c>
      <c r="T173" s="33" t="n"/>
      <c r="U173" s="33" t="n"/>
    </row>
    <row r="174">
      <c r="A174" s="26">
        <f>IF($B174="","",ROW()-3)</f>
        <v/>
      </c>
      <c r="B174" s="27" t="inlineStr">
        <is>
          <t>王五</t>
        </is>
      </c>
      <c r="C174" s="27" t="inlineStr">
        <is>
          <t>船舶行业</t>
        </is>
      </c>
      <c r="D174" s="28" t="inlineStr">
        <is>
          <t>钎焊</t>
        </is>
      </c>
      <c r="E174" s="29" t="inlineStr">
        <is>
          <t>华北</t>
        </is>
      </c>
      <c r="F174" s="30" t="inlineStr">
        <is>
          <t>毛利率目标</t>
        </is>
      </c>
      <c r="G174" s="62" t="n">
        <v>0.192</v>
      </c>
      <c r="H174" s="62" t="n">
        <v>0.1936</v>
      </c>
      <c r="I174" s="62" t="n">
        <v>0.1952</v>
      </c>
      <c r="J174" s="62" t="n">
        <v>0.1968</v>
      </c>
      <c r="K174" s="62" t="n">
        <v>0.1984</v>
      </c>
      <c r="L174" s="62" t="n">
        <v>0.2</v>
      </c>
      <c r="M174" s="62" t="n">
        <v>0.2016</v>
      </c>
      <c r="N174" s="62" t="n">
        <v>0.2032</v>
      </c>
      <c r="O174" s="62" t="n">
        <v>0.2048</v>
      </c>
      <c r="P174" s="62" t="n">
        <v>0.2064</v>
      </c>
      <c r="Q174" s="62" t="n">
        <v>0.208</v>
      </c>
      <c r="R174" s="62" t="n">
        <v>0.2096</v>
      </c>
      <c r="S174" s="63" t="n">
        <v>0.2</v>
      </c>
      <c r="T174" s="33" t="n"/>
      <c r="U174" s="33" t="n"/>
    </row>
    <row r="175">
      <c r="A175" s="26">
        <f>IF($B175="","",ROW()-3)</f>
        <v/>
      </c>
      <c r="B175" s="27" t="inlineStr">
        <is>
          <t>王五</t>
        </is>
      </c>
      <c r="C175" s="27" t="inlineStr">
        <is>
          <t>船舶行业</t>
        </is>
      </c>
      <c r="D175" s="28" t="inlineStr">
        <is>
          <t>钎焊</t>
        </is>
      </c>
      <c r="E175" s="29" t="inlineStr">
        <is>
          <t>华北</t>
        </is>
      </c>
      <c r="F175" s="30" t="inlineStr">
        <is>
          <t>在手订单目标</t>
        </is>
      </c>
      <c r="G175" s="31" t="n">
        <v>9</v>
      </c>
      <c r="H175" s="31" t="n">
        <v>9</v>
      </c>
      <c r="I175" s="31" t="n">
        <v>9</v>
      </c>
      <c r="J175" s="31" t="n">
        <v>9</v>
      </c>
      <c r="K175" s="31" t="n">
        <v>9</v>
      </c>
      <c r="L175" s="31" t="n">
        <v>9</v>
      </c>
      <c r="M175" s="31" t="n">
        <v>9</v>
      </c>
      <c r="N175" s="31" t="n">
        <v>10</v>
      </c>
      <c r="O175" s="31" t="n">
        <v>10</v>
      </c>
      <c r="P175" s="31" t="n">
        <v>10</v>
      </c>
      <c r="Q175" s="31" t="n">
        <v>10</v>
      </c>
      <c r="R175" s="31" t="n">
        <v>10</v>
      </c>
      <c r="S175" s="32">
        <f>IF($F175="","",IF(IFERROR(VLOOKUP($F175,'维度字典'!$I$2:$J$50,2,0),"求和")="手工录入","",IF(IFERROR(VLOOKUP($F175,'维度字典'!$I$2:$J$50,2,0),"求和")="最新值",IFERROR(LOOKUP(9.99E+307,G175:R175),""),SUM(G175:R175))))</f>
        <v/>
      </c>
      <c r="T175" s="33" t="n"/>
      <c r="U175" s="33" t="n"/>
    </row>
    <row r="176">
      <c r="A176" s="26">
        <f>IF($B176="","",ROW()-3)</f>
        <v/>
      </c>
      <c r="B176" s="27" t="inlineStr">
        <is>
          <t>王五</t>
        </is>
      </c>
      <c r="C176" s="27" t="inlineStr">
        <is>
          <t>船舶行业</t>
        </is>
      </c>
      <c r="D176" s="28" t="inlineStr">
        <is>
          <t>钎焊</t>
        </is>
      </c>
      <c r="E176" s="29" t="inlineStr">
        <is>
          <t>华北</t>
        </is>
      </c>
      <c r="F176" s="30" t="inlineStr">
        <is>
          <t>目标客户机会目标</t>
        </is>
      </c>
      <c r="G176" s="31" t="n">
        <v>6</v>
      </c>
      <c r="H176" s="31" t="n">
        <v>6</v>
      </c>
      <c r="I176" s="31" t="n">
        <v>7</v>
      </c>
      <c r="J176" s="31" t="n">
        <v>7</v>
      </c>
      <c r="K176" s="31" t="n">
        <v>7</v>
      </c>
      <c r="L176" s="31" t="n">
        <v>7</v>
      </c>
      <c r="M176" s="31" t="n">
        <v>7</v>
      </c>
      <c r="N176" s="31" t="n">
        <v>7</v>
      </c>
      <c r="O176" s="31" t="n">
        <v>7</v>
      </c>
      <c r="P176" s="31" t="n">
        <v>7</v>
      </c>
      <c r="Q176" s="31" t="n">
        <v>8</v>
      </c>
      <c r="R176" s="31" t="n">
        <v>8</v>
      </c>
      <c r="S176" s="32">
        <f>IF($F176="","",IF(IFERROR(VLOOKUP($F176,'维度字典'!$I$2:$J$50,2,0),"求和")="手工录入","",IF(IFERROR(VLOOKUP($F176,'维度字典'!$I$2:$J$50,2,0),"求和")="最新值",IFERROR(LOOKUP(9.99E+307,G176:R176),""),SUM(G176:R176))))</f>
        <v/>
      </c>
      <c r="T176" s="33" t="n"/>
      <c r="U176" s="33" t="n"/>
    </row>
    <row r="177">
      <c r="A177" s="26">
        <f>IF($B177="","",ROW()-3)</f>
        <v/>
      </c>
      <c r="B177" s="27" t="inlineStr">
        <is>
          <t>王五</t>
        </is>
      </c>
      <c r="C177" s="27" t="inlineStr">
        <is>
          <t>船舶行业</t>
        </is>
      </c>
      <c r="D177" s="28" t="inlineStr">
        <is>
          <t>钎焊</t>
        </is>
      </c>
      <c r="E177" s="29" t="inlineStr">
        <is>
          <t>华北</t>
        </is>
      </c>
      <c r="F177" s="30" t="inlineStr">
        <is>
          <t>在手订单</t>
        </is>
      </c>
      <c r="G177" s="31" t="n">
        <v>8</v>
      </c>
      <c r="H177" s="31" t="n">
        <v>8</v>
      </c>
      <c r="I177" s="31" t="n">
        <v>8</v>
      </c>
      <c r="J177" s="31" t="n">
        <v>8</v>
      </c>
      <c r="K177" s="31" t="n">
        <v>8</v>
      </c>
      <c r="L177" s="31" t="n">
        <v>8</v>
      </c>
      <c r="M177" s="31" t="n">
        <v>8</v>
      </c>
      <c r="N177" s="31" t="n">
        <v>9</v>
      </c>
      <c r="O177" s="31" t="n">
        <v>9</v>
      </c>
      <c r="P177" s="31" t="n">
        <v>9</v>
      </c>
      <c r="Q177" s="31" t="n">
        <v>9</v>
      </c>
      <c r="R177" s="31" t="n">
        <v>9</v>
      </c>
      <c r="S177" s="32">
        <f>IF($F177="","",IF(IFERROR(VLOOKUP($F177,'维度字典'!$I$2:$J$50,2,0),"求和")="手工录入","",IF(IFERROR(VLOOKUP($F177,'维度字典'!$I$2:$J$50,2,0),"求和")="最新值",IFERROR(LOOKUP(9.99E+307,G177:R177),""),SUM(G177:R177))))</f>
        <v/>
      </c>
      <c r="T177" s="33" t="inlineStr">
        <is>
          <t>管道偏紧：个别客户观望，需加快报价与签约节奏</t>
        </is>
      </c>
      <c r="U177" s="33" t="n"/>
    </row>
    <row r="178">
      <c r="A178" s="26">
        <f>IF($B178="","",ROW()-3)</f>
        <v/>
      </c>
      <c r="B178" s="27" t="inlineStr">
        <is>
          <t>王五</t>
        </is>
      </c>
      <c r="C178" s="27" t="inlineStr">
        <is>
          <t>船舶行业</t>
        </is>
      </c>
      <c r="D178" s="28" t="inlineStr">
        <is>
          <t>钎焊</t>
        </is>
      </c>
      <c r="E178" s="29" t="inlineStr">
        <is>
          <t>华北</t>
        </is>
      </c>
      <c r="F178" s="30" t="inlineStr">
        <is>
          <t>目标客户机会</t>
        </is>
      </c>
      <c r="G178" s="31" t="n">
        <v>5</v>
      </c>
      <c r="H178" s="31" t="n">
        <v>5</v>
      </c>
      <c r="I178" s="31" t="n">
        <v>5</v>
      </c>
      <c r="J178" s="31" t="n">
        <v>5</v>
      </c>
      <c r="K178" s="31" t="n">
        <v>5</v>
      </c>
      <c r="L178" s="31" t="n">
        <v>5</v>
      </c>
      <c r="M178" s="31" t="n">
        <v>5</v>
      </c>
      <c r="N178" s="31" t="n">
        <v>5</v>
      </c>
      <c r="O178" s="31" t="n">
        <v>5</v>
      </c>
      <c r="P178" s="31" t="n">
        <v>5</v>
      </c>
      <c r="Q178" s="31" t="n">
        <v>6</v>
      </c>
      <c r="R178" s="31" t="n">
        <v>6</v>
      </c>
      <c r="S178" s="32">
        <f>IF($F178="","",IF(IFERROR(VLOOKUP($F178,'维度字典'!$I$2:$J$50,2,0),"求和")="手工录入","",IF(IFERROR(VLOOKUP($F178,'维度字典'!$I$2:$J$50,2,0),"求和")="最新值",IFERROR(LOOKUP(9.99E+307,G178:R178),""),SUM(G178:R178))))</f>
        <v/>
      </c>
      <c r="T178" s="33" t="n"/>
      <c r="U178" s="33" t="n"/>
    </row>
    <row r="179">
      <c r="A179" s="26">
        <f>IF($B179="","",ROW()-3)</f>
        <v/>
      </c>
      <c r="B179" s="27" t="inlineStr">
        <is>
          <t>王五</t>
        </is>
      </c>
      <c r="C179" s="27" t="inlineStr">
        <is>
          <t>船舶行业</t>
        </is>
      </c>
      <c r="D179" s="28" t="inlineStr">
        <is>
          <t>可拆</t>
        </is>
      </c>
      <c r="E179" s="29" t="inlineStr">
        <is>
          <t>华北</t>
        </is>
      </c>
      <c r="F179" s="30" t="inlineStr">
        <is>
          <t>销售目标额</t>
        </is>
      </c>
      <c r="G179" s="31" t="n">
        <v>8</v>
      </c>
      <c r="H179" s="31" t="n">
        <v>7</v>
      </c>
      <c r="I179" s="31" t="n">
        <v>9</v>
      </c>
      <c r="J179" s="31" t="n">
        <v>10</v>
      </c>
      <c r="K179" s="31" t="n">
        <v>10</v>
      </c>
      <c r="L179" s="31" t="n">
        <v>11</v>
      </c>
      <c r="M179" s="31" t="n">
        <v>11</v>
      </c>
      <c r="N179" s="31" t="n">
        <v>10</v>
      </c>
      <c r="O179" s="31" t="n">
        <v>10</v>
      </c>
      <c r="P179" s="31" t="n">
        <v>10</v>
      </c>
      <c r="Q179" s="31" t="n">
        <v>9</v>
      </c>
      <c r="R179" s="31" t="n">
        <v>7</v>
      </c>
      <c r="S179" s="32">
        <f>IF($F179="","",IF(IFERROR(VLOOKUP($F179,'维度字典'!$I$2:$J$50,2,0),"求和")="手工录入","",IF(IFERROR(VLOOKUP($F179,'维度字典'!$I$2:$J$50,2,0),"求和")="最新值",IFERROR(LOOKUP(9.99E+307,G179:R179),""),SUM(G179:R179))))</f>
        <v/>
      </c>
      <c r="T179" s="33" t="n"/>
      <c r="U179" s="33" t="n"/>
    </row>
    <row r="180">
      <c r="A180" s="26">
        <f>IF($B180="","",ROW()-3)</f>
        <v/>
      </c>
      <c r="B180" s="27" t="inlineStr">
        <is>
          <t>王五</t>
        </is>
      </c>
      <c r="C180" s="27" t="inlineStr">
        <is>
          <t>船舶行业</t>
        </is>
      </c>
      <c r="D180" s="28" t="inlineStr">
        <is>
          <t>可拆</t>
        </is>
      </c>
      <c r="E180" s="29" t="inlineStr">
        <is>
          <t>华北</t>
        </is>
      </c>
      <c r="F180" s="30" t="inlineStr">
        <is>
          <t>毛利目标</t>
        </is>
      </c>
      <c r="G180" s="31" t="n">
        <v>1.5</v>
      </c>
      <c r="H180" s="31" t="n">
        <v>1.3</v>
      </c>
      <c r="I180" s="31" t="n">
        <v>1.8</v>
      </c>
      <c r="J180" s="31" t="n">
        <v>2</v>
      </c>
      <c r="K180" s="31" t="n">
        <v>2</v>
      </c>
      <c r="L180" s="31" t="n">
        <v>2.2</v>
      </c>
      <c r="M180" s="31" t="n">
        <v>2.2</v>
      </c>
      <c r="N180" s="31" t="n">
        <v>2</v>
      </c>
      <c r="O180" s="31" t="n">
        <v>2</v>
      </c>
      <c r="P180" s="31" t="n">
        <v>2</v>
      </c>
      <c r="Q180" s="31" t="n">
        <v>1.8</v>
      </c>
      <c r="R180" s="31" t="n">
        <v>1.3</v>
      </c>
      <c r="S180" s="32">
        <f>IF($F180="","",IF(IFERROR(VLOOKUP($F180,'维度字典'!$I$2:$J$50,2,0),"求和")="手工录入","",IF(IFERROR(VLOOKUP($F180,'维度字典'!$I$2:$J$50,2,0),"求和")="最新值",IFERROR(LOOKUP(9.99E+307,G180:R180),""),SUM(G180:R180))))</f>
        <v/>
      </c>
      <c r="T180" s="33" t="n"/>
      <c r="U180" s="33" t="n"/>
    </row>
    <row r="181">
      <c r="A181" s="26">
        <f>IF($B181="","",ROW()-3)</f>
        <v/>
      </c>
      <c r="B181" s="27" t="inlineStr">
        <is>
          <t>王五</t>
        </is>
      </c>
      <c r="C181" s="27" t="inlineStr">
        <is>
          <t>船舶行业</t>
        </is>
      </c>
      <c r="D181" s="28" t="inlineStr">
        <is>
          <t>可拆</t>
        </is>
      </c>
      <c r="E181" s="29" t="inlineStr">
        <is>
          <t>华北</t>
        </is>
      </c>
      <c r="F181" s="30" t="inlineStr">
        <is>
          <t>毛利率目标</t>
        </is>
      </c>
      <c r="G181" s="62" t="n">
        <v>0.192</v>
      </c>
      <c r="H181" s="62" t="n">
        <v>0.1936</v>
      </c>
      <c r="I181" s="62" t="n">
        <v>0.1952</v>
      </c>
      <c r="J181" s="62" t="n">
        <v>0.1968</v>
      </c>
      <c r="K181" s="62" t="n">
        <v>0.1984</v>
      </c>
      <c r="L181" s="62" t="n">
        <v>0.2</v>
      </c>
      <c r="M181" s="62" t="n">
        <v>0.2016</v>
      </c>
      <c r="N181" s="62" t="n">
        <v>0.2032</v>
      </c>
      <c r="O181" s="62" t="n">
        <v>0.2048</v>
      </c>
      <c r="P181" s="62" t="n">
        <v>0.2064</v>
      </c>
      <c r="Q181" s="62" t="n">
        <v>0.208</v>
      </c>
      <c r="R181" s="62" t="n">
        <v>0.2096</v>
      </c>
      <c r="S181" s="63" t="n">
        <v>0.2</v>
      </c>
      <c r="T181" s="33" t="n"/>
      <c r="U181" s="33" t="n"/>
    </row>
    <row r="182">
      <c r="A182" s="26">
        <f>IF($B182="","",ROW()-3)</f>
        <v/>
      </c>
      <c r="B182" s="27" t="inlineStr">
        <is>
          <t>王五</t>
        </is>
      </c>
      <c r="C182" s="27" t="inlineStr">
        <is>
          <t>船舶行业</t>
        </is>
      </c>
      <c r="D182" s="28" t="inlineStr">
        <is>
          <t>可拆</t>
        </is>
      </c>
      <c r="E182" s="29" t="inlineStr">
        <is>
          <t>华北</t>
        </is>
      </c>
      <c r="F182" s="30" t="inlineStr">
        <is>
          <t>在手订单目标</t>
        </is>
      </c>
      <c r="G182" s="31" t="n">
        <v>13</v>
      </c>
      <c r="H182" s="31" t="n">
        <v>13</v>
      </c>
      <c r="I182" s="31" t="n">
        <v>13</v>
      </c>
      <c r="J182" s="31" t="n">
        <v>14</v>
      </c>
      <c r="K182" s="31" t="n">
        <v>14</v>
      </c>
      <c r="L182" s="31" t="n">
        <v>14</v>
      </c>
      <c r="M182" s="31" t="n">
        <v>14</v>
      </c>
      <c r="N182" s="31" t="n">
        <v>14</v>
      </c>
      <c r="O182" s="31" t="n">
        <v>14</v>
      </c>
      <c r="P182" s="31" t="n">
        <v>15</v>
      </c>
      <c r="Q182" s="31" t="n">
        <v>15</v>
      </c>
      <c r="R182" s="31" t="n">
        <v>15</v>
      </c>
      <c r="S182" s="32">
        <f>IF($F182="","",IF(IFERROR(VLOOKUP($F182,'维度字典'!$I$2:$J$50,2,0),"求和")="手工录入","",IF(IFERROR(VLOOKUP($F182,'维度字典'!$I$2:$J$50,2,0),"求和")="最新值",IFERROR(LOOKUP(9.99E+307,G182:R182),""),SUM(G182:R182))))</f>
        <v/>
      </c>
      <c r="T182" s="33" t="n"/>
      <c r="U182" s="33" t="n"/>
    </row>
    <row r="183">
      <c r="A183" s="26">
        <f>IF($B183="","",ROW()-3)</f>
        <v/>
      </c>
      <c r="B183" s="27" t="inlineStr">
        <is>
          <t>王五</t>
        </is>
      </c>
      <c r="C183" s="27" t="inlineStr">
        <is>
          <t>船舶行业</t>
        </is>
      </c>
      <c r="D183" s="28" t="inlineStr">
        <is>
          <t>可拆</t>
        </is>
      </c>
      <c r="E183" s="29" t="inlineStr">
        <is>
          <t>华北</t>
        </is>
      </c>
      <c r="F183" s="30" t="inlineStr">
        <is>
          <t>目标客户机会目标</t>
        </is>
      </c>
      <c r="G183" s="31" t="n">
        <v>9</v>
      </c>
      <c r="H183" s="31" t="n">
        <v>10</v>
      </c>
      <c r="I183" s="31" t="n">
        <v>10</v>
      </c>
      <c r="J183" s="31" t="n">
        <v>10</v>
      </c>
      <c r="K183" s="31" t="n">
        <v>10</v>
      </c>
      <c r="L183" s="31" t="n">
        <v>10</v>
      </c>
      <c r="M183" s="31" t="n">
        <v>10</v>
      </c>
      <c r="N183" s="31" t="n">
        <v>11</v>
      </c>
      <c r="O183" s="31" t="n">
        <v>11</v>
      </c>
      <c r="P183" s="31" t="n">
        <v>11</v>
      </c>
      <c r="Q183" s="31" t="n">
        <v>11</v>
      </c>
      <c r="R183" s="31" t="n">
        <v>11</v>
      </c>
      <c r="S183" s="32">
        <f>IF($F183="","",IF(IFERROR(VLOOKUP($F183,'维度字典'!$I$2:$J$50,2,0),"求和")="手工录入","",IF(IFERROR(VLOOKUP($F183,'维度字典'!$I$2:$J$50,2,0),"求和")="最新值",IFERROR(LOOKUP(9.99E+307,G183:R183),""),SUM(G183:R183))))</f>
        <v/>
      </c>
      <c r="T183" s="33" t="n"/>
      <c r="U183" s="33" t="n"/>
    </row>
    <row r="184">
      <c r="A184" s="26">
        <f>IF($B184="","",ROW()-3)</f>
        <v/>
      </c>
      <c r="B184" s="27" t="inlineStr">
        <is>
          <t>王五</t>
        </is>
      </c>
      <c r="C184" s="27" t="inlineStr">
        <is>
          <t>船舶行业</t>
        </is>
      </c>
      <c r="D184" s="28" t="inlineStr">
        <is>
          <t>可拆</t>
        </is>
      </c>
      <c r="E184" s="29" t="inlineStr">
        <is>
          <t>华北</t>
        </is>
      </c>
      <c r="F184" s="30" t="inlineStr">
        <is>
          <t>在手订单</t>
        </is>
      </c>
      <c r="G184" s="31" t="n">
        <v>12</v>
      </c>
      <c r="H184" s="31" t="n">
        <v>12</v>
      </c>
      <c r="I184" s="31" t="n">
        <v>12</v>
      </c>
      <c r="J184" s="31" t="n">
        <v>13</v>
      </c>
      <c r="K184" s="31" t="n">
        <v>13</v>
      </c>
      <c r="L184" s="31" t="n">
        <v>13</v>
      </c>
      <c r="M184" s="31" t="n">
        <v>13</v>
      </c>
      <c r="N184" s="31" t="n">
        <v>13</v>
      </c>
      <c r="O184" s="31" t="n">
        <v>13</v>
      </c>
      <c r="P184" s="31" t="n">
        <v>14</v>
      </c>
      <c r="Q184" s="31" t="n">
        <v>14</v>
      </c>
      <c r="R184" s="31" t="n">
        <v>14</v>
      </c>
      <c r="S184" s="32">
        <f>IF($F184="","",IF(IFERROR(VLOOKUP($F184,'维度字典'!$I$2:$J$50,2,0),"求和")="手工录入","",IF(IFERROR(VLOOKUP($F184,'维度字典'!$I$2:$J$50,2,0),"求和")="最新值",IFERROR(LOOKUP(9.99E+307,G184:R184),""),SUM(G184:R184))))</f>
        <v/>
      </c>
      <c r="T184" s="33" t="inlineStr">
        <is>
          <t>管道缺口：重点项目延期+竞品低价抢单，需专项跟进</t>
        </is>
      </c>
      <c r="U184" s="33" t="n"/>
    </row>
    <row r="185">
      <c r="A185" s="26">
        <f>IF($B185="","",ROW()-3)</f>
        <v/>
      </c>
      <c r="B185" s="27" t="inlineStr">
        <is>
          <t>王五</t>
        </is>
      </c>
      <c r="C185" s="27" t="inlineStr">
        <is>
          <t>船舶行业</t>
        </is>
      </c>
      <c r="D185" s="28" t="inlineStr">
        <is>
          <t>可拆</t>
        </is>
      </c>
      <c r="E185" s="29" t="inlineStr">
        <is>
          <t>华北</t>
        </is>
      </c>
      <c r="F185" s="30" t="inlineStr">
        <is>
          <t>目标客户机会</t>
        </is>
      </c>
      <c r="G185" s="31" t="n">
        <v>7</v>
      </c>
      <c r="H185" s="31" t="n">
        <v>8</v>
      </c>
      <c r="I185" s="31" t="n">
        <v>8</v>
      </c>
      <c r="J185" s="31" t="n">
        <v>8</v>
      </c>
      <c r="K185" s="31" t="n">
        <v>8</v>
      </c>
      <c r="L185" s="31" t="n">
        <v>8</v>
      </c>
      <c r="M185" s="31" t="n">
        <v>8</v>
      </c>
      <c r="N185" s="31" t="n">
        <v>8</v>
      </c>
      <c r="O185" s="31" t="n">
        <v>8</v>
      </c>
      <c r="P185" s="31" t="n">
        <v>8</v>
      </c>
      <c r="Q185" s="31" t="n">
        <v>8</v>
      </c>
      <c r="R185" s="31" t="n">
        <v>8</v>
      </c>
      <c r="S185" s="32">
        <f>IF($F185="","",IF(IFERROR(VLOOKUP($F185,'维度字典'!$I$2:$J$50,2,0),"求和")="手工录入","",IF(IFERROR(VLOOKUP($F185,'维度字典'!$I$2:$J$50,2,0),"求和")="最新值",IFERROR(LOOKUP(9.99E+307,G185:R185),""),SUM(G185:R185))))</f>
        <v/>
      </c>
      <c r="T185" s="33" t="n"/>
      <c r="U185" s="33" t="n"/>
    </row>
    <row r="186">
      <c r="A186" s="26">
        <f>IF($B186="","",ROW()-3)</f>
        <v/>
      </c>
      <c r="B186" s="27" t="inlineStr">
        <is>
          <t>王五</t>
        </is>
      </c>
      <c r="C186" s="27" t="inlineStr">
        <is>
          <t>储能行业</t>
        </is>
      </c>
      <c r="D186" s="28" t="inlineStr">
        <is>
          <t>钎焊</t>
        </is>
      </c>
      <c r="E186" s="29" t="inlineStr">
        <is>
          <t>华北</t>
        </is>
      </c>
      <c r="F186" s="30" t="inlineStr">
        <is>
          <t>销售目标额</t>
        </is>
      </c>
      <c r="G186" s="31" t="n">
        <v>3</v>
      </c>
      <c r="H186" s="31" t="n">
        <v>2</v>
      </c>
      <c r="I186" s="31" t="n">
        <v>3</v>
      </c>
      <c r="J186" s="31" t="n">
        <v>4</v>
      </c>
      <c r="K186" s="31" t="n">
        <v>4</v>
      </c>
      <c r="L186" s="31" t="n">
        <v>4</v>
      </c>
      <c r="M186" s="31" t="n">
        <v>4</v>
      </c>
      <c r="N186" s="31" t="n">
        <v>4</v>
      </c>
      <c r="O186" s="31" t="n">
        <v>4</v>
      </c>
      <c r="P186" s="31" t="n">
        <v>4</v>
      </c>
      <c r="Q186" s="31" t="n">
        <v>3</v>
      </c>
      <c r="R186" s="31" t="n">
        <v>2</v>
      </c>
      <c r="S186" s="32">
        <f>IF($F186="","",IF(IFERROR(VLOOKUP($F186,'维度字典'!$I$2:$J$50,2,0),"求和")="手工录入","",IF(IFERROR(VLOOKUP($F186,'维度字典'!$I$2:$J$50,2,0),"求和")="最新值",IFERROR(LOOKUP(9.99E+307,G186:R186),""),SUM(G186:R186))))</f>
        <v/>
      </c>
      <c r="T186" s="33" t="n"/>
      <c r="U186" s="33" t="n"/>
    </row>
    <row r="187">
      <c r="A187" s="26">
        <f>IF($B187="","",ROW()-3)</f>
        <v/>
      </c>
      <c r="B187" s="27" t="inlineStr">
        <is>
          <t>王五</t>
        </is>
      </c>
      <c r="C187" s="27" t="inlineStr">
        <is>
          <t>储能行业</t>
        </is>
      </c>
      <c r="D187" s="28" t="inlineStr">
        <is>
          <t>钎焊</t>
        </is>
      </c>
      <c r="E187" s="29" t="inlineStr">
        <is>
          <t>华北</t>
        </is>
      </c>
      <c r="F187" s="30" t="inlineStr">
        <is>
          <t>毛利目标</t>
        </is>
      </c>
      <c r="G187" s="31" t="n">
        <v>0.6</v>
      </c>
      <c r="H187" s="31" t="n">
        <v>0.5</v>
      </c>
      <c r="I187" s="31" t="n">
        <v>0.7</v>
      </c>
      <c r="J187" s="31" t="n">
        <v>0.7</v>
      </c>
      <c r="K187" s="31" t="n">
        <v>0.7</v>
      </c>
      <c r="L187" s="31" t="n">
        <v>0.8</v>
      </c>
      <c r="M187" s="31" t="n">
        <v>0.8</v>
      </c>
      <c r="N187" s="31" t="n">
        <v>0.7</v>
      </c>
      <c r="O187" s="31" t="n">
        <v>0.7</v>
      </c>
      <c r="P187" s="31" t="n">
        <v>0.7</v>
      </c>
      <c r="Q187" s="31" t="n">
        <v>0.7</v>
      </c>
      <c r="R187" s="31" t="n">
        <v>0.5</v>
      </c>
      <c r="S187" s="32">
        <f>IF($F187="","",IF(IFERROR(VLOOKUP($F187,'维度字典'!$I$2:$J$50,2,0),"求和")="手工录入","",IF(IFERROR(VLOOKUP($F187,'维度字典'!$I$2:$J$50,2,0),"求和")="最新值",IFERROR(LOOKUP(9.99E+307,G187:R187),""),SUM(G187:R187))))</f>
        <v/>
      </c>
      <c r="T187" s="33" t="n"/>
      <c r="U187" s="33" t="n"/>
    </row>
    <row r="188">
      <c r="A188" s="26">
        <f>IF($B188="","",ROW()-3)</f>
        <v/>
      </c>
      <c r="B188" s="27" t="inlineStr">
        <is>
          <t>王五</t>
        </is>
      </c>
      <c r="C188" s="27" t="inlineStr">
        <is>
          <t>储能行业</t>
        </is>
      </c>
      <c r="D188" s="28" t="inlineStr">
        <is>
          <t>钎焊</t>
        </is>
      </c>
      <c r="E188" s="29" t="inlineStr">
        <is>
          <t>华北</t>
        </is>
      </c>
      <c r="F188" s="30" t="inlineStr">
        <is>
          <t>毛利率目标</t>
        </is>
      </c>
      <c r="G188" s="62" t="n">
        <v>0.192</v>
      </c>
      <c r="H188" s="62" t="n">
        <v>0.1936</v>
      </c>
      <c r="I188" s="62" t="n">
        <v>0.1952</v>
      </c>
      <c r="J188" s="62" t="n">
        <v>0.1968</v>
      </c>
      <c r="K188" s="62" t="n">
        <v>0.1984</v>
      </c>
      <c r="L188" s="62" t="n">
        <v>0.2</v>
      </c>
      <c r="M188" s="62" t="n">
        <v>0.2016</v>
      </c>
      <c r="N188" s="62" t="n">
        <v>0.2032</v>
      </c>
      <c r="O188" s="62" t="n">
        <v>0.2048</v>
      </c>
      <c r="P188" s="62" t="n">
        <v>0.2064</v>
      </c>
      <c r="Q188" s="62" t="n">
        <v>0.208</v>
      </c>
      <c r="R188" s="62" t="n">
        <v>0.2096</v>
      </c>
      <c r="S188" s="63" t="n">
        <v>0.2</v>
      </c>
      <c r="T188" s="33" t="n"/>
      <c r="U188" s="33" t="n"/>
    </row>
    <row r="189">
      <c r="A189" s="26">
        <f>IF($B189="","",ROW()-3)</f>
        <v/>
      </c>
      <c r="B189" s="27" t="inlineStr">
        <is>
          <t>王五</t>
        </is>
      </c>
      <c r="C189" s="27" t="inlineStr">
        <is>
          <t>储能行业</t>
        </is>
      </c>
      <c r="D189" s="28" t="inlineStr">
        <is>
          <t>钎焊</t>
        </is>
      </c>
      <c r="E189" s="29" t="inlineStr">
        <is>
          <t>华北</t>
        </is>
      </c>
      <c r="F189" s="30" t="inlineStr">
        <is>
          <t>在手订单目标</t>
        </is>
      </c>
      <c r="G189" s="31" t="n">
        <v>5</v>
      </c>
      <c r="H189" s="31" t="n">
        <v>5</v>
      </c>
      <c r="I189" s="31" t="n">
        <v>5</v>
      </c>
      <c r="J189" s="31" t="n">
        <v>5</v>
      </c>
      <c r="K189" s="31" t="n">
        <v>5</v>
      </c>
      <c r="L189" s="31" t="n">
        <v>5</v>
      </c>
      <c r="M189" s="31" t="n">
        <v>5</v>
      </c>
      <c r="N189" s="31" t="n">
        <v>5</v>
      </c>
      <c r="O189" s="31" t="n">
        <v>5</v>
      </c>
      <c r="P189" s="31" t="n">
        <v>5</v>
      </c>
      <c r="Q189" s="31" t="n">
        <v>6</v>
      </c>
      <c r="R189" s="31" t="n">
        <v>6</v>
      </c>
      <c r="S189" s="32">
        <f>IF($F189="","",IF(IFERROR(VLOOKUP($F189,'维度字典'!$I$2:$J$50,2,0),"求和")="手工录入","",IF(IFERROR(VLOOKUP($F189,'维度字典'!$I$2:$J$50,2,0),"求和")="最新值",IFERROR(LOOKUP(9.99E+307,G189:R189),""),SUM(G189:R189))))</f>
        <v/>
      </c>
      <c r="T189" s="33" t="n"/>
      <c r="U189" s="33" t="n"/>
    </row>
    <row r="190">
      <c r="A190" s="26">
        <f>IF($B190="","",ROW()-3)</f>
        <v/>
      </c>
      <c r="B190" s="27" t="inlineStr">
        <is>
          <t>王五</t>
        </is>
      </c>
      <c r="C190" s="27" t="inlineStr">
        <is>
          <t>储能行业</t>
        </is>
      </c>
      <c r="D190" s="28" t="inlineStr">
        <is>
          <t>钎焊</t>
        </is>
      </c>
      <c r="E190" s="29" t="inlineStr">
        <is>
          <t>华北</t>
        </is>
      </c>
      <c r="F190" s="30" t="inlineStr">
        <is>
          <t>目标客户机会目标</t>
        </is>
      </c>
      <c r="G190" s="31" t="n">
        <v>3</v>
      </c>
      <c r="H190" s="31" t="n">
        <v>4</v>
      </c>
      <c r="I190" s="31" t="n">
        <v>4</v>
      </c>
      <c r="J190" s="31" t="n">
        <v>4</v>
      </c>
      <c r="K190" s="31" t="n">
        <v>4</v>
      </c>
      <c r="L190" s="31" t="n">
        <v>4</v>
      </c>
      <c r="M190" s="31" t="n">
        <v>4</v>
      </c>
      <c r="N190" s="31" t="n">
        <v>4</v>
      </c>
      <c r="O190" s="31" t="n">
        <v>4</v>
      </c>
      <c r="P190" s="31" t="n">
        <v>4</v>
      </c>
      <c r="Q190" s="31" t="n">
        <v>4</v>
      </c>
      <c r="R190" s="31" t="n">
        <v>4</v>
      </c>
      <c r="S190" s="32">
        <f>IF($F190="","",IF(IFERROR(VLOOKUP($F190,'维度字典'!$I$2:$J$50,2,0),"求和")="手工录入","",IF(IFERROR(VLOOKUP($F190,'维度字典'!$I$2:$J$50,2,0),"求和")="最新值",IFERROR(LOOKUP(9.99E+307,G190:R190),""),SUM(G190:R190))))</f>
        <v/>
      </c>
      <c r="T190" s="33" t="n"/>
      <c r="U190" s="33" t="n"/>
    </row>
    <row r="191">
      <c r="A191" s="26">
        <f>IF($B191="","",ROW()-3)</f>
        <v/>
      </c>
      <c r="B191" s="27" t="inlineStr">
        <is>
          <t>王五</t>
        </is>
      </c>
      <c r="C191" s="27" t="inlineStr">
        <is>
          <t>储能行业</t>
        </is>
      </c>
      <c r="D191" s="28" t="inlineStr">
        <is>
          <t>钎焊</t>
        </is>
      </c>
      <c r="E191" s="29" t="inlineStr">
        <is>
          <t>华北</t>
        </is>
      </c>
      <c r="F191" s="30" t="inlineStr">
        <is>
          <t>在手订单</t>
        </is>
      </c>
      <c r="G191" s="31" t="n">
        <v>5</v>
      </c>
      <c r="H191" s="31" t="n">
        <v>5</v>
      </c>
      <c r="I191" s="31" t="n">
        <v>5</v>
      </c>
      <c r="J191" s="31" t="n">
        <v>5</v>
      </c>
      <c r="K191" s="31" t="n">
        <v>5</v>
      </c>
      <c r="L191" s="31" t="n">
        <v>5</v>
      </c>
      <c r="M191" s="31" t="n">
        <v>5</v>
      </c>
      <c r="N191" s="31" t="n">
        <v>5</v>
      </c>
      <c r="O191" s="31" t="n">
        <v>5</v>
      </c>
      <c r="P191" s="31" t="n">
        <v>5</v>
      </c>
      <c r="Q191" s="31" t="n">
        <v>5</v>
      </c>
      <c r="R191" s="31" t="n">
        <v>5</v>
      </c>
      <c r="S191" s="32">
        <f>IF($F191="","",IF(IFERROR(VLOOKUP($F191,'维度字典'!$I$2:$J$50,2,0),"求和")="手工录入","",IF(IFERROR(VLOOKUP($F191,'维度字典'!$I$2:$J$50,2,0),"求和")="最新值",IFERROR(LOOKUP(9.99E+307,G191:R191),""),SUM(G191:R191))))</f>
        <v/>
      </c>
      <c r="T191" s="33" t="inlineStr">
        <is>
          <t>管道缺口：重点项目延期+竞品低价抢单，需专项跟进</t>
        </is>
      </c>
      <c r="U191" s="33" t="n"/>
    </row>
    <row r="192">
      <c r="A192" s="26">
        <f>IF($B192="","",ROW()-3)</f>
        <v/>
      </c>
      <c r="B192" s="27" t="inlineStr">
        <is>
          <t>王五</t>
        </is>
      </c>
      <c r="C192" s="27" t="inlineStr">
        <is>
          <t>储能行业</t>
        </is>
      </c>
      <c r="D192" s="28" t="inlineStr">
        <is>
          <t>钎焊</t>
        </is>
      </c>
      <c r="E192" s="29" t="inlineStr">
        <is>
          <t>华北</t>
        </is>
      </c>
      <c r="F192" s="30" t="inlineStr">
        <is>
          <t>目标客户机会</t>
        </is>
      </c>
      <c r="G192" s="31" t="n">
        <v>2</v>
      </c>
      <c r="H192" s="31" t="n">
        <v>3</v>
      </c>
      <c r="I192" s="31" t="n">
        <v>3</v>
      </c>
      <c r="J192" s="31" t="n">
        <v>3</v>
      </c>
      <c r="K192" s="31" t="n">
        <v>3</v>
      </c>
      <c r="L192" s="31" t="n">
        <v>3</v>
      </c>
      <c r="M192" s="31" t="n">
        <v>3</v>
      </c>
      <c r="N192" s="31" t="n">
        <v>3</v>
      </c>
      <c r="O192" s="31" t="n">
        <v>3</v>
      </c>
      <c r="P192" s="31" t="n">
        <v>3</v>
      </c>
      <c r="Q192" s="31" t="n">
        <v>3</v>
      </c>
      <c r="R192" s="31" t="n">
        <v>3</v>
      </c>
      <c r="S192" s="32">
        <f>IF($F192="","",IF(IFERROR(VLOOKUP($F192,'维度字典'!$I$2:$J$50,2,0),"求和")="手工录入","",IF(IFERROR(VLOOKUP($F192,'维度字典'!$I$2:$J$50,2,0),"求和")="最新值",IFERROR(LOOKUP(9.99E+307,G192:R192),""),SUM(G192:R192))))</f>
        <v/>
      </c>
      <c r="T192" s="33" t="n"/>
      <c r="U192" s="33" t="n"/>
    </row>
    <row r="193">
      <c r="A193" s="26">
        <f>IF($B193="","",ROW()-3)</f>
        <v/>
      </c>
      <c r="B193" s="27" t="inlineStr">
        <is>
          <t>王五</t>
        </is>
      </c>
      <c r="C193" s="27" t="inlineStr">
        <is>
          <t>储能行业</t>
        </is>
      </c>
      <c r="D193" s="28" t="inlineStr">
        <is>
          <t>可拆</t>
        </is>
      </c>
      <c r="E193" s="29" t="inlineStr">
        <is>
          <t>华北</t>
        </is>
      </c>
      <c r="F193" s="30" t="inlineStr">
        <is>
          <t>销售目标额</t>
        </is>
      </c>
      <c r="G193" s="31" t="n">
        <v>7</v>
      </c>
      <c r="H193" s="31" t="n">
        <v>6</v>
      </c>
      <c r="I193" s="31" t="n">
        <v>8</v>
      </c>
      <c r="J193" s="31" t="n">
        <v>9</v>
      </c>
      <c r="K193" s="31" t="n">
        <v>9</v>
      </c>
      <c r="L193" s="31" t="n">
        <v>10</v>
      </c>
      <c r="M193" s="31" t="n">
        <v>10</v>
      </c>
      <c r="N193" s="31" t="n">
        <v>9</v>
      </c>
      <c r="O193" s="31" t="n">
        <v>9</v>
      </c>
      <c r="P193" s="31" t="n">
        <v>9</v>
      </c>
      <c r="Q193" s="31" t="n">
        <v>8</v>
      </c>
      <c r="R193" s="31" t="n">
        <v>6</v>
      </c>
      <c r="S193" s="32">
        <f>IF($F193="","",IF(IFERROR(VLOOKUP($F193,'维度字典'!$I$2:$J$50,2,0),"求和")="手工录入","",IF(IFERROR(VLOOKUP($F193,'维度字典'!$I$2:$J$50,2,0),"求和")="最新值",IFERROR(LOOKUP(9.99E+307,G193:R193),""),SUM(G193:R193))))</f>
        <v/>
      </c>
      <c r="T193" s="33" t="n"/>
      <c r="U193" s="33" t="n"/>
    </row>
    <row r="194">
      <c r="A194" s="26">
        <f>IF($B194="","",ROW()-3)</f>
        <v/>
      </c>
      <c r="B194" s="27" t="inlineStr">
        <is>
          <t>王五</t>
        </is>
      </c>
      <c r="C194" s="27" t="inlineStr">
        <is>
          <t>储能行业</t>
        </is>
      </c>
      <c r="D194" s="28" t="inlineStr">
        <is>
          <t>可拆</t>
        </is>
      </c>
      <c r="E194" s="29" t="inlineStr">
        <is>
          <t>华北</t>
        </is>
      </c>
      <c r="F194" s="30" t="inlineStr">
        <is>
          <t>毛利目标</t>
        </is>
      </c>
      <c r="G194" s="31" t="n">
        <v>1.4</v>
      </c>
      <c r="H194" s="31" t="n">
        <v>1.2</v>
      </c>
      <c r="I194" s="31" t="n">
        <v>1.6</v>
      </c>
      <c r="J194" s="31" t="n">
        <v>1.7</v>
      </c>
      <c r="K194" s="31" t="n">
        <v>1.7</v>
      </c>
      <c r="L194" s="31" t="n">
        <v>1.9</v>
      </c>
      <c r="M194" s="31" t="n">
        <v>1.9</v>
      </c>
      <c r="N194" s="31" t="n">
        <v>1.7</v>
      </c>
      <c r="O194" s="31" t="n">
        <v>1.7</v>
      </c>
      <c r="P194" s="31" t="n">
        <v>1.7</v>
      </c>
      <c r="Q194" s="31" t="n">
        <v>1.6</v>
      </c>
      <c r="R194" s="31" t="n">
        <v>1.2</v>
      </c>
      <c r="S194" s="32">
        <f>IF($F194="","",IF(IFERROR(VLOOKUP($F194,'维度字典'!$I$2:$J$50,2,0),"求和")="手工录入","",IF(IFERROR(VLOOKUP($F194,'维度字典'!$I$2:$J$50,2,0),"求和")="最新值",IFERROR(LOOKUP(9.99E+307,G194:R194),""),SUM(G194:R194))))</f>
        <v/>
      </c>
      <c r="T194" s="33" t="n"/>
      <c r="U194" s="33" t="n"/>
    </row>
    <row r="195">
      <c r="A195" s="26">
        <f>IF($B195="","",ROW()-3)</f>
        <v/>
      </c>
      <c r="B195" s="27" t="inlineStr">
        <is>
          <t>王五</t>
        </is>
      </c>
      <c r="C195" s="27" t="inlineStr">
        <is>
          <t>储能行业</t>
        </is>
      </c>
      <c r="D195" s="28" t="inlineStr">
        <is>
          <t>可拆</t>
        </is>
      </c>
      <c r="E195" s="29" t="inlineStr">
        <is>
          <t>华北</t>
        </is>
      </c>
      <c r="F195" s="30" t="inlineStr">
        <is>
          <t>毛利率目标</t>
        </is>
      </c>
      <c r="G195" s="62" t="n">
        <v>0.192</v>
      </c>
      <c r="H195" s="62" t="n">
        <v>0.1936</v>
      </c>
      <c r="I195" s="62" t="n">
        <v>0.1952</v>
      </c>
      <c r="J195" s="62" t="n">
        <v>0.1968</v>
      </c>
      <c r="K195" s="62" t="n">
        <v>0.1984</v>
      </c>
      <c r="L195" s="62" t="n">
        <v>0.2</v>
      </c>
      <c r="M195" s="62" t="n">
        <v>0.2016</v>
      </c>
      <c r="N195" s="62" t="n">
        <v>0.2032</v>
      </c>
      <c r="O195" s="62" t="n">
        <v>0.2048</v>
      </c>
      <c r="P195" s="62" t="n">
        <v>0.2064</v>
      </c>
      <c r="Q195" s="62" t="n">
        <v>0.208</v>
      </c>
      <c r="R195" s="62" t="n">
        <v>0.2096</v>
      </c>
      <c r="S195" s="63" t="n">
        <v>0.2</v>
      </c>
      <c r="T195" s="33" t="n"/>
      <c r="U195" s="33" t="n"/>
    </row>
    <row r="196">
      <c r="A196" s="26">
        <f>IF($B196="","",ROW()-3)</f>
        <v/>
      </c>
      <c r="B196" s="27" t="inlineStr">
        <is>
          <t>王五</t>
        </is>
      </c>
      <c r="C196" s="27" t="inlineStr">
        <is>
          <t>储能行业</t>
        </is>
      </c>
      <c r="D196" s="28" t="inlineStr">
        <is>
          <t>可拆</t>
        </is>
      </c>
      <c r="E196" s="29" t="inlineStr">
        <is>
          <t>华北</t>
        </is>
      </c>
      <c r="F196" s="30" t="inlineStr">
        <is>
          <t>在手订单目标</t>
        </is>
      </c>
      <c r="G196" s="31" t="n">
        <v>11</v>
      </c>
      <c r="H196" s="31" t="n">
        <v>12</v>
      </c>
      <c r="I196" s="31" t="n">
        <v>12</v>
      </c>
      <c r="J196" s="31" t="n">
        <v>12</v>
      </c>
      <c r="K196" s="31" t="n">
        <v>12</v>
      </c>
      <c r="L196" s="31" t="n">
        <v>12</v>
      </c>
      <c r="M196" s="31" t="n">
        <v>12</v>
      </c>
      <c r="N196" s="31" t="n">
        <v>13</v>
      </c>
      <c r="O196" s="31" t="n">
        <v>13</v>
      </c>
      <c r="P196" s="31" t="n">
        <v>13</v>
      </c>
      <c r="Q196" s="31" t="n">
        <v>13</v>
      </c>
      <c r="R196" s="31" t="n">
        <v>13</v>
      </c>
      <c r="S196" s="32">
        <f>IF($F196="","",IF(IFERROR(VLOOKUP($F196,'维度字典'!$I$2:$J$50,2,0),"求和")="手工录入","",IF(IFERROR(VLOOKUP($F196,'维度字典'!$I$2:$J$50,2,0),"求和")="最新值",IFERROR(LOOKUP(9.99E+307,G196:R196),""),SUM(G196:R196))))</f>
        <v/>
      </c>
      <c r="T196" s="33" t="n"/>
      <c r="U196" s="33" t="n"/>
    </row>
    <row r="197">
      <c r="A197" s="26">
        <f>IF($B197="","",ROW()-3)</f>
        <v/>
      </c>
      <c r="B197" s="27" t="inlineStr">
        <is>
          <t>王五</t>
        </is>
      </c>
      <c r="C197" s="27" t="inlineStr">
        <is>
          <t>储能行业</t>
        </is>
      </c>
      <c r="D197" s="28" t="inlineStr">
        <is>
          <t>可拆</t>
        </is>
      </c>
      <c r="E197" s="29" t="inlineStr">
        <is>
          <t>华北</t>
        </is>
      </c>
      <c r="F197" s="30" t="inlineStr">
        <is>
          <t>目标客户机会目标</t>
        </is>
      </c>
      <c r="G197" s="31" t="n">
        <v>8</v>
      </c>
      <c r="H197" s="31" t="n">
        <v>8</v>
      </c>
      <c r="I197" s="31" t="n">
        <v>9</v>
      </c>
      <c r="J197" s="31" t="n">
        <v>9</v>
      </c>
      <c r="K197" s="31" t="n">
        <v>9</v>
      </c>
      <c r="L197" s="31" t="n">
        <v>9</v>
      </c>
      <c r="M197" s="31" t="n">
        <v>9</v>
      </c>
      <c r="N197" s="31" t="n">
        <v>9</v>
      </c>
      <c r="O197" s="31" t="n">
        <v>10</v>
      </c>
      <c r="P197" s="31" t="n">
        <v>10</v>
      </c>
      <c r="Q197" s="31" t="n">
        <v>10</v>
      </c>
      <c r="R197" s="31" t="n">
        <v>10</v>
      </c>
      <c r="S197" s="32">
        <f>IF($F197="","",IF(IFERROR(VLOOKUP($F197,'维度字典'!$I$2:$J$50,2,0),"求和")="手工录入","",IF(IFERROR(VLOOKUP($F197,'维度字典'!$I$2:$J$50,2,0),"求和")="最新值",IFERROR(LOOKUP(9.99E+307,G197:R197),""),SUM(G197:R197))))</f>
        <v/>
      </c>
      <c r="T197" s="33" t="n"/>
      <c r="U197" s="33" t="n"/>
    </row>
    <row r="198">
      <c r="A198" s="26">
        <f>IF($B198="","",ROW()-3)</f>
        <v/>
      </c>
      <c r="B198" s="27" t="inlineStr">
        <is>
          <t>王五</t>
        </is>
      </c>
      <c r="C198" s="27" t="inlineStr">
        <is>
          <t>储能行业</t>
        </is>
      </c>
      <c r="D198" s="28" t="inlineStr">
        <is>
          <t>可拆</t>
        </is>
      </c>
      <c r="E198" s="29" t="inlineStr">
        <is>
          <t>华北</t>
        </is>
      </c>
      <c r="F198" s="30" t="inlineStr">
        <is>
          <t>在手订单</t>
        </is>
      </c>
      <c r="G198" s="31" t="n">
        <v>10</v>
      </c>
      <c r="H198" s="31" t="n">
        <v>11</v>
      </c>
      <c r="I198" s="31" t="n">
        <v>11</v>
      </c>
      <c r="J198" s="31" t="n">
        <v>11</v>
      </c>
      <c r="K198" s="31" t="n">
        <v>11</v>
      </c>
      <c r="L198" s="31" t="n">
        <v>11</v>
      </c>
      <c r="M198" s="31" t="n">
        <v>11</v>
      </c>
      <c r="N198" s="31" t="n">
        <v>12</v>
      </c>
      <c r="O198" s="31" t="n">
        <v>12</v>
      </c>
      <c r="P198" s="31" t="n">
        <v>12</v>
      </c>
      <c r="Q198" s="31" t="n">
        <v>12</v>
      </c>
      <c r="R198" s="31" t="n">
        <v>12</v>
      </c>
      <c r="S198" s="32">
        <f>IF($F198="","",IF(IFERROR(VLOOKUP($F198,'维度字典'!$I$2:$J$50,2,0),"求和")="手工录入","",IF(IFERROR(VLOOKUP($F198,'维度字典'!$I$2:$J$50,2,0),"求和")="最新值",IFERROR(LOOKUP(9.99E+307,G198:R198),""),SUM(G198:R198))))</f>
        <v/>
      </c>
      <c r="T198" s="33" t="inlineStr">
        <is>
          <t>管道缺口：重点项目延期+竞品低价抢单，需专项跟进</t>
        </is>
      </c>
      <c r="U198" s="33" t="n"/>
    </row>
    <row r="199">
      <c r="A199" s="26">
        <f>IF($B199="","",ROW()-3)</f>
        <v/>
      </c>
      <c r="B199" s="27" t="inlineStr">
        <is>
          <t>王五</t>
        </is>
      </c>
      <c r="C199" s="27" t="inlineStr">
        <is>
          <t>储能行业</t>
        </is>
      </c>
      <c r="D199" s="28" t="inlineStr">
        <is>
          <t>可拆</t>
        </is>
      </c>
      <c r="E199" s="29" t="inlineStr">
        <is>
          <t>华北</t>
        </is>
      </c>
      <c r="F199" s="30" t="inlineStr">
        <is>
          <t>目标客户机会</t>
        </is>
      </c>
      <c r="G199" s="31" t="n">
        <v>6</v>
      </c>
      <c r="H199" s="31" t="n">
        <v>6</v>
      </c>
      <c r="I199" s="31" t="n">
        <v>7</v>
      </c>
      <c r="J199" s="31" t="n">
        <v>7</v>
      </c>
      <c r="K199" s="31" t="n">
        <v>7</v>
      </c>
      <c r="L199" s="31" t="n">
        <v>7</v>
      </c>
      <c r="M199" s="31" t="n">
        <v>7</v>
      </c>
      <c r="N199" s="31" t="n">
        <v>7</v>
      </c>
      <c r="O199" s="31" t="n">
        <v>8</v>
      </c>
      <c r="P199" s="31" t="n">
        <v>8</v>
      </c>
      <c r="Q199" s="31" t="n">
        <v>8</v>
      </c>
      <c r="R199" s="31" t="n">
        <v>8</v>
      </c>
      <c r="S199" s="32">
        <f>IF($F199="","",IF(IFERROR(VLOOKUP($F199,'维度字典'!$I$2:$J$50,2,0),"求和")="手工录入","",IF(IFERROR(VLOOKUP($F199,'维度字典'!$I$2:$J$50,2,0),"求和")="最新值",IFERROR(LOOKUP(9.99E+307,G199:R199),""),SUM(G199:R199))))</f>
        <v/>
      </c>
      <c r="T199" s="33" t="n"/>
      <c r="U199" s="33" t="n"/>
    </row>
    <row r="200">
      <c r="A200" s="26">
        <f>IF($B200="","",ROW()-3)</f>
        <v/>
      </c>
      <c r="B200" s="27" t="inlineStr">
        <is>
          <t>王五</t>
        </is>
      </c>
      <c r="C200" s="27" t="inlineStr">
        <is>
          <t>数据中心</t>
        </is>
      </c>
      <c r="D200" s="28" t="inlineStr">
        <is>
          <t>钎焊</t>
        </is>
      </c>
      <c r="E200" s="29" t="inlineStr">
        <is>
          <t>华北</t>
        </is>
      </c>
      <c r="F200" s="30" t="inlineStr">
        <is>
          <t>销售目标额</t>
        </is>
      </c>
      <c r="G200" s="31" t="n">
        <v>14</v>
      </c>
      <c r="H200" s="31" t="n">
        <v>12</v>
      </c>
      <c r="I200" s="31" t="n">
        <v>17</v>
      </c>
      <c r="J200" s="31" t="n">
        <v>19</v>
      </c>
      <c r="K200" s="31" t="n">
        <v>19</v>
      </c>
      <c r="L200" s="31" t="n">
        <v>21</v>
      </c>
      <c r="M200" s="31" t="n">
        <v>21</v>
      </c>
      <c r="N200" s="31" t="n">
        <v>19</v>
      </c>
      <c r="O200" s="31" t="n">
        <v>19</v>
      </c>
      <c r="P200" s="31" t="n">
        <v>19</v>
      </c>
      <c r="Q200" s="31" t="n">
        <v>17</v>
      </c>
      <c r="R200" s="31" t="n">
        <v>12</v>
      </c>
      <c r="S200" s="32">
        <f>IF($F200="","",IF(IFERROR(VLOOKUP($F200,'维度字典'!$I$2:$J$50,2,0),"求和")="手工录入","",IF(IFERROR(VLOOKUP($F200,'维度字典'!$I$2:$J$50,2,0),"求和")="最新值",IFERROR(LOOKUP(9.99E+307,G200:R200),""),SUM(G200:R200))))</f>
        <v/>
      </c>
      <c r="T200" s="33" t="n"/>
      <c r="U200" s="33" t="n"/>
    </row>
    <row r="201">
      <c r="A201" s="26">
        <f>IF($B201="","",ROW()-3)</f>
        <v/>
      </c>
      <c r="B201" s="27" t="inlineStr">
        <is>
          <t>王五</t>
        </is>
      </c>
      <c r="C201" s="27" t="inlineStr">
        <is>
          <t>数据中心</t>
        </is>
      </c>
      <c r="D201" s="28" t="inlineStr">
        <is>
          <t>钎焊</t>
        </is>
      </c>
      <c r="E201" s="29" t="inlineStr">
        <is>
          <t>华北</t>
        </is>
      </c>
      <c r="F201" s="30" t="inlineStr">
        <is>
          <t>毛利目标</t>
        </is>
      </c>
      <c r="G201" s="31" t="n">
        <v>3.2</v>
      </c>
      <c r="H201" s="31" t="n">
        <v>2.7</v>
      </c>
      <c r="I201" s="31" t="n">
        <v>3.6</v>
      </c>
      <c r="J201" s="31" t="n">
        <v>4.1</v>
      </c>
      <c r="K201" s="31" t="n">
        <v>4.1</v>
      </c>
      <c r="L201" s="31" t="n">
        <v>4.6</v>
      </c>
      <c r="M201" s="31" t="n">
        <v>4.6</v>
      </c>
      <c r="N201" s="31" t="n">
        <v>4.1</v>
      </c>
      <c r="O201" s="31" t="n">
        <v>4.1</v>
      </c>
      <c r="P201" s="31" t="n">
        <v>4.1</v>
      </c>
      <c r="Q201" s="31" t="n">
        <v>3.6</v>
      </c>
      <c r="R201" s="31" t="n">
        <v>2.7</v>
      </c>
      <c r="S201" s="32">
        <f>IF($F201="","",IF(IFERROR(VLOOKUP($F201,'维度字典'!$I$2:$J$50,2,0),"求和")="手工录入","",IF(IFERROR(VLOOKUP($F201,'维度字典'!$I$2:$J$50,2,0),"求和")="最新值",IFERROR(LOOKUP(9.99E+307,G201:R201),""),SUM(G201:R201))))</f>
        <v/>
      </c>
      <c r="T201" s="33" t="n"/>
      <c r="U201" s="33" t="n"/>
    </row>
    <row r="202">
      <c r="A202" s="26">
        <f>IF($B202="","",ROW()-3)</f>
        <v/>
      </c>
      <c r="B202" s="27" t="inlineStr">
        <is>
          <t>王五</t>
        </is>
      </c>
      <c r="C202" s="27" t="inlineStr">
        <is>
          <t>数据中心</t>
        </is>
      </c>
      <c r="D202" s="28" t="inlineStr">
        <is>
          <t>钎焊</t>
        </is>
      </c>
      <c r="E202" s="29" t="inlineStr">
        <is>
          <t>华北</t>
        </is>
      </c>
      <c r="F202" s="30" t="inlineStr">
        <is>
          <t>毛利率目标</t>
        </is>
      </c>
      <c r="G202" s="62" t="n">
        <v>0.2112</v>
      </c>
      <c r="H202" s="62" t="n">
        <v>0.213</v>
      </c>
      <c r="I202" s="62" t="n">
        <v>0.2147</v>
      </c>
      <c r="J202" s="62" t="n">
        <v>0.2165</v>
      </c>
      <c r="K202" s="62" t="n">
        <v>0.2182</v>
      </c>
      <c r="L202" s="62" t="n">
        <v>0.22</v>
      </c>
      <c r="M202" s="62" t="n">
        <v>0.2218</v>
      </c>
      <c r="N202" s="62" t="n">
        <v>0.2235</v>
      </c>
      <c r="O202" s="62" t="n">
        <v>0.2253</v>
      </c>
      <c r="P202" s="62" t="n">
        <v>0.227</v>
      </c>
      <c r="Q202" s="62" t="n">
        <v>0.2288</v>
      </c>
      <c r="R202" s="62" t="n">
        <v>0.2306</v>
      </c>
      <c r="S202" s="63" t="n">
        <v>0.22</v>
      </c>
      <c r="T202" s="33" t="n"/>
      <c r="U202" s="33" t="n"/>
    </row>
    <row r="203">
      <c r="A203" s="26">
        <f>IF($B203="","",ROW()-3)</f>
        <v/>
      </c>
      <c r="B203" s="27" t="inlineStr">
        <is>
          <t>王五</t>
        </is>
      </c>
      <c r="C203" s="27" t="inlineStr">
        <is>
          <t>数据中心</t>
        </is>
      </c>
      <c r="D203" s="28" t="inlineStr">
        <is>
          <t>钎焊</t>
        </is>
      </c>
      <c r="E203" s="29" t="inlineStr">
        <is>
          <t>华北</t>
        </is>
      </c>
      <c r="F203" s="30" t="inlineStr">
        <is>
          <t>在手订单目标</t>
        </is>
      </c>
      <c r="G203" s="31" t="n">
        <v>24</v>
      </c>
      <c r="H203" s="31" t="n">
        <v>25</v>
      </c>
      <c r="I203" s="31" t="n">
        <v>25</v>
      </c>
      <c r="J203" s="31" t="n">
        <v>26</v>
      </c>
      <c r="K203" s="31" t="n">
        <v>26</v>
      </c>
      <c r="L203" s="31" t="n">
        <v>26</v>
      </c>
      <c r="M203" s="31" t="n">
        <v>27</v>
      </c>
      <c r="N203" s="31" t="n">
        <v>27</v>
      </c>
      <c r="O203" s="31" t="n">
        <v>27</v>
      </c>
      <c r="P203" s="31" t="n">
        <v>28</v>
      </c>
      <c r="Q203" s="31" t="n">
        <v>28</v>
      </c>
      <c r="R203" s="31" t="n">
        <v>28</v>
      </c>
      <c r="S203" s="32">
        <f>IF($F203="","",IF(IFERROR(VLOOKUP($F203,'维度字典'!$I$2:$J$50,2,0),"求和")="手工录入","",IF(IFERROR(VLOOKUP($F203,'维度字典'!$I$2:$J$50,2,0),"求和")="最新值",IFERROR(LOOKUP(9.99E+307,G203:R203),""),SUM(G203:R203))))</f>
        <v/>
      </c>
      <c r="T203" s="33" t="n"/>
      <c r="U203" s="33" t="n"/>
    </row>
    <row r="204">
      <c r="A204" s="26">
        <f>IF($B204="","",ROW()-3)</f>
        <v/>
      </c>
      <c r="B204" s="27" t="inlineStr">
        <is>
          <t>王五</t>
        </is>
      </c>
      <c r="C204" s="27" t="inlineStr">
        <is>
          <t>数据中心</t>
        </is>
      </c>
      <c r="D204" s="28" t="inlineStr">
        <is>
          <t>钎焊</t>
        </is>
      </c>
      <c r="E204" s="29" t="inlineStr">
        <is>
          <t>华北</t>
        </is>
      </c>
      <c r="F204" s="30" t="inlineStr">
        <is>
          <t>目标客户机会目标</t>
        </is>
      </c>
      <c r="G204" s="31" t="n">
        <v>18</v>
      </c>
      <c r="H204" s="31" t="n">
        <v>18</v>
      </c>
      <c r="I204" s="31" t="n">
        <v>18</v>
      </c>
      <c r="J204" s="31" t="n">
        <v>19</v>
      </c>
      <c r="K204" s="31" t="n">
        <v>19</v>
      </c>
      <c r="L204" s="31" t="n">
        <v>19</v>
      </c>
      <c r="M204" s="31" t="n">
        <v>20</v>
      </c>
      <c r="N204" s="31" t="n">
        <v>20</v>
      </c>
      <c r="O204" s="31" t="n">
        <v>20</v>
      </c>
      <c r="P204" s="31" t="n">
        <v>21</v>
      </c>
      <c r="Q204" s="31" t="n">
        <v>21</v>
      </c>
      <c r="R204" s="31" t="n">
        <v>21</v>
      </c>
      <c r="S204" s="32">
        <f>IF($F204="","",IF(IFERROR(VLOOKUP($F204,'维度字典'!$I$2:$J$50,2,0),"求和")="手工录入","",IF(IFERROR(VLOOKUP($F204,'维度字典'!$I$2:$J$50,2,0),"求和")="最新值",IFERROR(LOOKUP(9.99E+307,G204:R204),""),SUM(G204:R204))))</f>
        <v/>
      </c>
      <c r="T204" s="33" t="n"/>
      <c r="U204" s="33" t="n"/>
    </row>
    <row r="205">
      <c r="A205" s="26">
        <f>IF($B205="","",ROW()-3)</f>
        <v/>
      </c>
      <c r="B205" s="27" t="inlineStr">
        <is>
          <t>王五</t>
        </is>
      </c>
      <c r="C205" s="27" t="inlineStr">
        <is>
          <t>数据中心</t>
        </is>
      </c>
      <c r="D205" s="28" t="inlineStr">
        <is>
          <t>钎焊</t>
        </is>
      </c>
      <c r="E205" s="29" t="inlineStr">
        <is>
          <t>华北</t>
        </is>
      </c>
      <c r="F205" s="30" t="inlineStr">
        <is>
          <t>在手订单</t>
        </is>
      </c>
      <c r="G205" s="31" t="n">
        <v>23</v>
      </c>
      <c r="H205" s="31" t="n">
        <v>24</v>
      </c>
      <c r="I205" s="31" t="n">
        <v>24</v>
      </c>
      <c r="J205" s="31" t="n">
        <v>25</v>
      </c>
      <c r="K205" s="31" t="n">
        <v>25</v>
      </c>
      <c r="L205" s="31" t="n">
        <v>25</v>
      </c>
      <c r="M205" s="31" t="n">
        <v>26</v>
      </c>
      <c r="N205" s="31" t="n">
        <v>26</v>
      </c>
      <c r="O205" s="31" t="n">
        <v>26</v>
      </c>
      <c r="P205" s="31" t="n">
        <v>27</v>
      </c>
      <c r="Q205" s="31" t="n">
        <v>27</v>
      </c>
      <c r="R205" s="31" t="n">
        <v>27</v>
      </c>
      <c r="S205" s="32">
        <f>IF($F205="","",IF(IFERROR(VLOOKUP($F205,'维度字典'!$I$2:$J$50,2,0),"求和")="手工录入","",IF(IFERROR(VLOOKUP($F205,'维度字典'!$I$2:$J$50,2,0),"求和")="最新值",IFERROR(LOOKUP(9.99E+307,G205:R205),""),SUM(G205:R205))))</f>
        <v/>
      </c>
      <c r="T205" s="33" t="inlineStr">
        <is>
          <t>管道良好：新客户导入顺利，机会转化符合预期</t>
        </is>
      </c>
      <c r="U205" s="33" t="n"/>
    </row>
    <row r="206">
      <c r="A206" s="26">
        <f>IF($B206="","",ROW()-3)</f>
        <v/>
      </c>
      <c r="B206" s="27" t="inlineStr">
        <is>
          <t>王五</t>
        </is>
      </c>
      <c r="C206" s="27" t="inlineStr">
        <is>
          <t>数据中心</t>
        </is>
      </c>
      <c r="D206" s="28" t="inlineStr">
        <is>
          <t>钎焊</t>
        </is>
      </c>
      <c r="E206" s="29" t="inlineStr">
        <is>
          <t>华北</t>
        </is>
      </c>
      <c r="F206" s="30" t="inlineStr">
        <is>
          <t>目标客户机会</t>
        </is>
      </c>
      <c r="G206" s="31" t="n">
        <v>15</v>
      </c>
      <c r="H206" s="31" t="n">
        <v>15</v>
      </c>
      <c r="I206" s="31" t="n">
        <v>15</v>
      </c>
      <c r="J206" s="31" t="n">
        <v>15</v>
      </c>
      <c r="K206" s="31" t="n">
        <v>15</v>
      </c>
      <c r="L206" s="31" t="n">
        <v>15</v>
      </c>
      <c r="M206" s="31" t="n">
        <v>16</v>
      </c>
      <c r="N206" s="31" t="n">
        <v>16</v>
      </c>
      <c r="O206" s="31" t="n">
        <v>16</v>
      </c>
      <c r="P206" s="31" t="n">
        <v>17</v>
      </c>
      <c r="Q206" s="31" t="n">
        <v>17</v>
      </c>
      <c r="R206" s="31" t="n">
        <v>17</v>
      </c>
      <c r="S206" s="32">
        <f>IF($F206="","",IF(IFERROR(VLOOKUP($F206,'维度字典'!$I$2:$J$50,2,0),"求和")="手工录入","",IF(IFERROR(VLOOKUP($F206,'维度字典'!$I$2:$J$50,2,0),"求和")="最新值",IFERROR(LOOKUP(9.99E+307,G206:R206),""),SUM(G206:R206))))</f>
        <v/>
      </c>
      <c r="T206" s="33" t="n"/>
      <c r="U206" s="33" t="n"/>
    </row>
    <row r="207">
      <c r="A207" s="26">
        <f>IF($B207="","",ROW()-3)</f>
        <v/>
      </c>
      <c r="B207" s="27" t="inlineStr">
        <is>
          <t>王五</t>
        </is>
      </c>
      <c r="C207" s="27" t="inlineStr">
        <is>
          <t>数据中心</t>
        </is>
      </c>
      <c r="D207" s="28" t="inlineStr">
        <is>
          <t>可拆</t>
        </is>
      </c>
      <c r="E207" s="29" t="inlineStr">
        <is>
          <t>华北</t>
        </is>
      </c>
      <c r="F207" s="30" t="inlineStr">
        <is>
          <t>销售目标额</t>
        </is>
      </c>
      <c r="G207" s="31" t="n">
        <v>10</v>
      </c>
      <c r="H207" s="31" t="n">
        <v>8</v>
      </c>
      <c r="I207" s="31" t="n">
        <v>11</v>
      </c>
      <c r="J207" s="31" t="n">
        <v>12</v>
      </c>
      <c r="K207" s="31" t="n">
        <v>12</v>
      </c>
      <c r="L207" s="31" t="n">
        <v>14</v>
      </c>
      <c r="M207" s="31" t="n">
        <v>14</v>
      </c>
      <c r="N207" s="31" t="n">
        <v>12</v>
      </c>
      <c r="O207" s="31" t="n">
        <v>12</v>
      </c>
      <c r="P207" s="31" t="n">
        <v>12</v>
      </c>
      <c r="Q207" s="31" t="n">
        <v>11</v>
      </c>
      <c r="R207" s="31" t="n">
        <v>8</v>
      </c>
      <c r="S207" s="32">
        <f>IF($F207="","",IF(IFERROR(VLOOKUP($F207,'维度字典'!$I$2:$J$50,2,0),"求和")="手工录入","",IF(IFERROR(VLOOKUP($F207,'维度字典'!$I$2:$J$50,2,0),"求和")="最新值",IFERROR(LOOKUP(9.99E+307,G207:R207),""),SUM(G207:R207))))</f>
        <v/>
      </c>
      <c r="T207" s="33" t="n"/>
      <c r="U207" s="33" t="n"/>
    </row>
    <row r="208">
      <c r="A208" s="26">
        <f>IF($B208="","",ROW()-3)</f>
        <v/>
      </c>
      <c r="B208" s="27" t="inlineStr">
        <is>
          <t>王五</t>
        </is>
      </c>
      <c r="C208" s="27" t="inlineStr">
        <is>
          <t>数据中心</t>
        </is>
      </c>
      <c r="D208" s="28" t="inlineStr">
        <is>
          <t>可拆</t>
        </is>
      </c>
      <c r="E208" s="29" t="inlineStr">
        <is>
          <t>华北</t>
        </is>
      </c>
      <c r="F208" s="30" t="inlineStr">
        <is>
          <t>毛利目标</t>
        </is>
      </c>
      <c r="G208" s="31" t="n">
        <v>2.1</v>
      </c>
      <c r="H208" s="31" t="n">
        <v>1.8</v>
      </c>
      <c r="I208" s="31" t="n">
        <v>2.4</v>
      </c>
      <c r="J208" s="31" t="n">
        <v>2.7</v>
      </c>
      <c r="K208" s="31" t="n">
        <v>2.7</v>
      </c>
      <c r="L208" s="31" t="n">
        <v>3</v>
      </c>
      <c r="M208" s="31" t="n">
        <v>3</v>
      </c>
      <c r="N208" s="31" t="n">
        <v>2.7</v>
      </c>
      <c r="O208" s="31" t="n">
        <v>2.7</v>
      </c>
      <c r="P208" s="31" t="n">
        <v>2.7</v>
      </c>
      <c r="Q208" s="31" t="n">
        <v>2.4</v>
      </c>
      <c r="R208" s="31" t="n">
        <v>1.8</v>
      </c>
      <c r="S208" s="32">
        <f>IF($F208="","",IF(IFERROR(VLOOKUP($F208,'维度字典'!$I$2:$J$50,2,0),"求和")="手工录入","",IF(IFERROR(VLOOKUP($F208,'维度字典'!$I$2:$J$50,2,0),"求和")="最新值",IFERROR(LOOKUP(9.99E+307,G208:R208),""),SUM(G208:R208))))</f>
        <v/>
      </c>
      <c r="T208" s="33" t="n"/>
      <c r="U208" s="33" t="n"/>
    </row>
    <row r="209">
      <c r="A209" s="26">
        <f>IF($B209="","",ROW()-3)</f>
        <v/>
      </c>
      <c r="B209" s="27" t="inlineStr">
        <is>
          <t>王五</t>
        </is>
      </c>
      <c r="C209" s="27" t="inlineStr">
        <is>
          <t>数据中心</t>
        </is>
      </c>
      <c r="D209" s="28" t="inlineStr">
        <is>
          <t>可拆</t>
        </is>
      </c>
      <c r="E209" s="29" t="inlineStr">
        <is>
          <t>华北</t>
        </is>
      </c>
      <c r="F209" s="30" t="inlineStr">
        <is>
          <t>毛利率目标</t>
        </is>
      </c>
      <c r="G209" s="62" t="n">
        <v>0.2112</v>
      </c>
      <c r="H209" s="62" t="n">
        <v>0.213</v>
      </c>
      <c r="I209" s="62" t="n">
        <v>0.2147</v>
      </c>
      <c r="J209" s="62" t="n">
        <v>0.2165</v>
      </c>
      <c r="K209" s="62" t="n">
        <v>0.2182</v>
      </c>
      <c r="L209" s="62" t="n">
        <v>0.22</v>
      </c>
      <c r="M209" s="62" t="n">
        <v>0.2218</v>
      </c>
      <c r="N209" s="62" t="n">
        <v>0.2235</v>
      </c>
      <c r="O209" s="62" t="n">
        <v>0.2253</v>
      </c>
      <c r="P209" s="62" t="n">
        <v>0.227</v>
      </c>
      <c r="Q209" s="62" t="n">
        <v>0.2288</v>
      </c>
      <c r="R209" s="62" t="n">
        <v>0.2306</v>
      </c>
      <c r="S209" s="63" t="n">
        <v>0.22</v>
      </c>
      <c r="T209" s="33" t="n"/>
      <c r="U209" s="33" t="n"/>
    </row>
    <row r="210">
      <c r="A210" s="26">
        <f>IF($B210="","",ROW()-3)</f>
        <v/>
      </c>
      <c r="B210" s="27" t="inlineStr">
        <is>
          <t>王五</t>
        </is>
      </c>
      <c r="C210" s="27" t="inlineStr">
        <is>
          <t>数据中心</t>
        </is>
      </c>
      <c r="D210" s="28" t="inlineStr">
        <is>
          <t>可拆</t>
        </is>
      </c>
      <c r="E210" s="29" t="inlineStr">
        <is>
          <t>华北</t>
        </is>
      </c>
      <c r="F210" s="30" t="inlineStr">
        <is>
          <t>在手订单目标</t>
        </is>
      </c>
      <c r="G210" s="31" t="n">
        <v>16</v>
      </c>
      <c r="H210" s="31" t="n">
        <v>17</v>
      </c>
      <c r="I210" s="31" t="n">
        <v>17</v>
      </c>
      <c r="J210" s="31" t="n">
        <v>17</v>
      </c>
      <c r="K210" s="31" t="n">
        <v>17</v>
      </c>
      <c r="L210" s="31" t="n">
        <v>17</v>
      </c>
      <c r="M210" s="31" t="n">
        <v>18</v>
      </c>
      <c r="N210" s="31" t="n">
        <v>18</v>
      </c>
      <c r="O210" s="31" t="n">
        <v>18</v>
      </c>
      <c r="P210" s="31" t="n">
        <v>18</v>
      </c>
      <c r="Q210" s="31" t="n">
        <v>19</v>
      </c>
      <c r="R210" s="31" t="n">
        <v>19</v>
      </c>
      <c r="S210" s="32">
        <f>IF($F210="","",IF(IFERROR(VLOOKUP($F210,'维度字典'!$I$2:$J$50,2,0),"求和")="手工录入","",IF(IFERROR(VLOOKUP($F210,'维度字典'!$I$2:$J$50,2,0),"求和")="最新值",IFERROR(LOOKUP(9.99E+307,G210:R210),""),SUM(G210:R210))))</f>
        <v/>
      </c>
      <c r="T210" s="33" t="n"/>
      <c r="U210" s="33" t="n"/>
    </row>
    <row r="211">
      <c r="A211" s="26">
        <f>IF($B211="","",ROW()-3)</f>
        <v/>
      </c>
      <c r="B211" s="27" t="inlineStr">
        <is>
          <t>王五</t>
        </is>
      </c>
      <c r="C211" s="27" t="inlineStr">
        <is>
          <t>数据中心</t>
        </is>
      </c>
      <c r="D211" s="28" t="inlineStr">
        <is>
          <t>可拆</t>
        </is>
      </c>
      <c r="E211" s="29" t="inlineStr">
        <is>
          <t>华北</t>
        </is>
      </c>
      <c r="F211" s="30" t="inlineStr">
        <is>
          <t>目标客户机会目标</t>
        </is>
      </c>
      <c r="G211" s="31" t="n">
        <v>12</v>
      </c>
      <c r="H211" s="31" t="n">
        <v>12</v>
      </c>
      <c r="I211" s="31" t="n">
        <v>12</v>
      </c>
      <c r="J211" s="31" t="n">
        <v>12</v>
      </c>
      <c r="K211" s="31" t="n">
        <v>13</v>
      </c>
      <c r="L211" s="31" t="n">
        <v>13</v>
      </c>
      <c r="M211" s="31" t="n">
        <v>13</v>
      </c>
      <c r="N211" s="31" t="n">
        <v>13</v>
      </c>
      <c r="O211" s="31" t="n">
        <v>14</v>
      </c>
      <c r="P211" s="31" t="n">
        <v>14</v>
      </c>
      <c r="Q211" s="31" t="n">
        <v>14</v>
      </c>
      <c r="R211" s="31" t="n">
        <v>14</v>
      </c>
      <c r="S211" s="32">
        <f>IF($F211="","",IF(IFERROR(VLOOKUP($F211,'维度字典'!$I$2:$J$50,2,0),"求和")="手工录入","",IF(IFERROR(VLOOKUP($F211,'维度字典'!$I$2:$J$50,2,0),"求和")="最新值",IFERROR(LOOKUP(9.99E+307,G211:R211),""),SUM(G211:R211))))</f>
        <v/>
      </c>
      <c r="T211" s="33" t="n"/>
      <c r="U211" s="33" t="n"/>
    </row>
    <row r="212">
      <c r="A212" s="26">
        <f>IF($B212="","",ROW()-3)</f>
        <v/>
      </c>
      <c r="B212" s="27" t="inlineStr">
        <is>
          <t>王五</t>
        </is>
      </c>
      <c r="C212" s="27" t="inlineStr">
        <is>
          <t>数据中心</t>
        </is>
      </c>
      <c r="D212" s="28" t="inlineStr">
        <is>
          <t>可拆</t>
        </is>
      </c>
      <c r="E212" s="29" t="inlineStr">
        <is>
          <t>华北</t>
        </is>
      </c>
      <c r="F212" s="30" t="inlineStr">
        <is>
          <t>在手订单</t>
        </is>
      </c>
      <c r="G212" s="31" t="n">
        <v>15</v>
      </c>
      <c r="H212" s="31" t="n">
        <v>16</v>
      </c>
      <c r="I212" s="31" t="n">
        <v>16</v>
      </c>
      <c r="J212" s="31" t="n">
        <v>16</v>
      </c>
      <c r="K212" s="31" t="n">
        <v>16</v>
      </c>
      <c r="L212" s="31" t="n">
        <v>16</v>
      </c>
      <c r="M212" s="31" t="n">
        <v>17</v>
      </c>
      <c r="N212" s="31" t="n">
        <v>17</v>
      </c>
      <c r="O212" s="31" t="n">
        <v>17</v>
      </c>
      <c r="P212" s="31" t="n">
        <v>17</v>
      </c>
      <c r="Q212" s="31" t="n">
        <v>18</v>
      </c>
      <c r="R212" s="31" t="n">
        <v>18</v>
      </c>
      <c r="S212" s="32">
        <f>IF($F212="","",IF(IFERROR(VLOOKUP($F212,'维度字典'!$I$2:$J$50,2,0),"求和")="手工录入","",IF(IFERROR(VLOOKUP($F212,'维度字典'!$I$2:$J$50,2,0),"求和")="最新值",IFERROR(LOOKUP(9.99E+307,G212:R212),""),SUM(G212:R212))))</f>
        <v/>
      </c>
      <c r="T212" s="33" t="inlineStr">
        <is>
          <t>管道偏紧：个别客户观望，需加快报价与签约节奏</t>
        </is>
      </c>
      <c r="U212" s="33" t="n"/>
    </row>
    <row r="213">
      <c r="A213" s="26">
        <f>IF($B213="","",ROW()-3)</f>
        <v/>
      </c>
      <c r="B213" s="27" t="inlineStr">
        <is>
          <t>王五</t>
        </is>
      </c>
      <c r="C213" s="27" t="inlineStr">
        <is>
          <t>数据中心</t>
        </is>
      </c>
      <c r="D213" s="28" t="inlineStr">
        <is>
          <t>可拆</t>
        </is>
      </c>
      <c r="E213" s="29" t="inlineStr">
        <is>
          <t>华北</t>
        </is>
      </c>
      <c r="F213" s="30" t="inlineStr">
        <is>
          <t>目标客户机会</t>
        </is>
      </c>
      <c r="G213" s="31" t="n">
        <v>10</v>
      </c>
      <c r="H213" s="31" t="n">
        <v>10</v>
      </c>
      <c r="I213" s="31" t="n">
        <v>10</v>
      </c>
      <c r="J213" s="31" t="n">
        <v>10</v>
      </c>
      <c r="K213" s="31" t="n">
        <v>10</v>
      </c>
      <c r="L213" s="31" t="n">
        <v>10</v>
      </c>
      <c r="M213" s="31" t="n">
        <v>10</v>
      </c>
      <c r="N213" s="31" t="n">
        <v>10</v>
      </c>
      <c r="O213" s="31" t="n">
        <v>11</v>
      </c>
      <c r="P213" s="31" t="n">
        <v>11</v>
      </c>
      <c r="Q213" s="31" t="n">
        <v>11</v>
      </c>
      <c r="R213" s="31" t="n">
        <v>11</v>
      </c>
      <c r="S213" s="32">
        <f>IF($F213="","",IF(IFERROR(VLOOKUP($F213,'维度字典'!$I$2:$J$50,2,0),"求和")="手工录入","",IF(IFERROR(VLOOKUP($F213,'维度字典'!$I$2:$J$50,2,0),"求和")="最新值",IFERROR(LOOKUP(9.99E+307,G213:R213),""),SUM(G213:R213))))</f>
        <v/>
      </c>
      <c r="T213" s="33" t="n"/>
      <c r="U213" s="33" t="n"/>
    </row>
    <row r="214">
      <c r="A214" s="26">
        <f>IF($B214="","",ROW()-3)</f>
        <v/>
      </c>
      <c r="B214" s="27" t="n"/>
      <c r="C214" s="27" t="n"/>
      <c r="D214" s="28" t="n"/>
      <c r="E214" s="29" t="n"/>
      <c r="F214" s="30" t="n"/>
      <c r="G214" s="31" t="n"/>
      <c r="H214" s="31" t="n"/>
      <c r="I214" s="31" t="n"/>
      <c r="J214" s="31" t="n"/>
      <c r="K214" s="31" t="n"/>
      <c r="L214" s="31" t="n"/>
      <c r="M214" s="31" t="n"/>
      <c r="N214" s="31" t="n"/>
      <c r="O214" s="31" t="n"/>
      <c r="P214" s="31" t="n"/>
      <c r="Q214" s="31" t="n"/>
      <c r="R214" s="31" t="n"/>
      <c r="S214" s="32">
        <f>IF($F214="","",IF(IFERROR(VLOOKUP($F214,'维度字典'!$I$2:$J$50,2,0),"求和")="手工录入","",IF(IFERROR(VLOOKUP($F214,'维度字典'!$I$2:$J$50,2,0),"求和")="最新值",IFERROR(LOOKUP(9.99E+307,G214:R214),""),SUM(G214:R214))))</f>
        <v/>
      </c>
      <c r="T214" s="33" t="n"/>
      <c r="U214" s="33" t="n"/>
    </row>
    <row r="215">
      <c r="A215" s="26">
        <f>IF($B215="","",ROW()-3)</f>
        <v/>
      </c>
      <c r="B215" s="27" t="n"/>
      <c r="C215" s="27" t="n"/>
      <c r="D215" s="28" t="n"/>
      <c r="E215" s="29" t="n"/>
      <c r="F215" s="30" t="n"/>
      <c r="G215" s="31" t="n"/>
      <c r="H215" s="31" t="n"/>
      <c r="I215" s="31" t="n"/>
      <c r="J215" s="31" t="n"/>
      <c r="K215" s="31" t="n"/>
      <c r="L215" s="31" t="n"/>
      <c r="M215" s="31" t="n"/>
      <c r="N215" s="31" t="n"/>
      <c r="O215" s="31" t="n"/>
      <c r="P215" s="31" t="n"/>
      <c r="Q215" s="31" t="n"/>
      <c r="R215" s="31" t="n"/>
      <c r="S215" s="32">
        <f>IF($F215="","",IF(IFERROR(VLOOKUP($F215,'维度字典'!$I$2:$J$50,2,0),"求和")="手工录入","",IF(IFERROR(VLOOKUP($F215,'维度字典'!$I$2:$J$50,2,0),"求和")="最新值",IFERROR(LOOKUP(9.99E+307,G215:R215),""),SUM(G215:R215))))</f>
        <v/>
      </c>
      <c r="T215" s="33" t="n"/>
      <c r="U215" s="33" t="n"/>
    </row>
    <row r="216">
      <c r="A216" s="26">
        <f>IF($B216="","",ROW()-3)</f>
        <v/>
      </c>
      <c r="B216" s="27" t="n"/>
      <c r="C216" s="27" t="n"/>
      <c r="D216" s="28" t="n"/>
      <c r="E216" s="29" t="n"/>
      <c r="F216" s="30" t="n"/>
      <c r="G216" s="31" t="n"/>
      <c r="H216" s="31" t="n"/>
      <c r="I216" s="31" t="n"/>
      <c r="J216" s="31" t="n"/>
      <c r="K216" s="31" t="n"/>
      <c r="L216" s="31" t="n"/>
      <c r="M216" s="31" t="n"/>
      <c r="N216" s="31" t="n"/>
      <c r="O216" s="31" t="n"/>
      <c r="P216" s="31" t="n"/>
      <c r="Q216" s="31" t="n"/>
      <c r="R216" s="31" t="n"/>
      <c r="S216" s="32">
        <f>IF($F216="","",IF(IFERROR(VLOOKUP($F216,'维度字典'!$I$2:$J$50,2,0),"求和")="手工录入","",IF(IFERROR(VLOOKUP($F216,'维度字典'!$I$2:$J$50,2,0),"求和")="最新值",IFERROR(LOOKUP(9.99E+307,G216:R216),""),SUM(G216:R216))))</f>
        <v/>
      </c>
      <c r="T216" s="33" t="n"/>
      <c r="U216" s="33" t="n"/>
    </row>
    <row r="217">
      <c r="A217" s="26">
        <f>IF($B217="","",ROW()-3)</f>
        <v/>
      </c>
      <c r="B217" s="27" t="n"/>
      <c r="C217" s="27" t="n"/>
      <c r="D217" s="28" t="n"/>
      <c r="E217" s="29" t="n"/>
      <c r="F217" s="30" t="n"/>
      <c r="G217" s="31" t="n"/>
      <c r="H217" s="31" t="n"/>
      <c r="I217" s="31" t="n"/>
      <c r="J217" s="31" t="n"/>
      <c r="K217" s="31" t="n"/>
      <c r="L217" s="31" t="n"/>
      <c r="M217" s="31" t="n"/>
      <c r="N217" s="31" t="n"/>
      <c r="O217" s="31" t="n"/>
      <c r="P217" s="31" t="n"/>
      <c r="Q217" s="31" t="n"/>
      <c r="R217" s="31" t="n"/>
      <c r="S217" s="32">
        <f>IF($F217="","",IF(IFERROR(VLOOKUP($F217,'维度字典'!$I$2:$J$50,2,0),"求和")="手工录入","",IF(IFERROR(VLOOKUP($F217,'维度字典'!$I$2:$J$50,2,0),"求和")="最新值",IFERROR(LOOKUP(9.99E+307,G217:R217),""),SUM(G217:R217))))</f>
        <v/>
      </c>
      <c r="T217" s="33" t="n"/>
      <c r="U217" s="33" t="n"/>
    </row>
    <row r="218">
      <c r="A218" s="26">
        <f>IF($B218="","",ROW()-3)</f>
        <v/>
      </c>
      <c r="B218" s="27" t="n"/>
      <c r="C218" s="27" t="n"/>
      <c r="D218" s="28" t="n"/>
      <c r="E218" s="29" t="n"/>
      <c r="F218" s="30" t="n"/>
      <c r="G218" s="31" t="n"/>
      <c r="H218" s="31" t="n"/>
      <c r="I218" s="31" t="n"/>
      <c r="J218" s="31" t="n"/>
      <c r="K218" s="31" t="n"/>
      <c r="L218" s="31" t="n"/>
      <c r="M218" s="31" t="n"/>
      <c r="N218" s="31" t="n"/>
      <c r="O218" s="31" t="n"/>
      <c r="P218" s="31" t="n"/>
      <c r="Q218" s="31" t="n"/>
      <c r="R218" s="31" t="n"/>
      <c r="S218" s="32">
        <f>IF($F218="","",IF(IFERROR(VLOOKUP($F218,'维度字典'!$I$2:$J$50,2,0),"求和")="手工录入","",IF(IFERROR(VLOOKUP($F218,'维度字典'!$I$2:$J$50,2,0),"求和")="最新值",IFERROR(LOOKUP(9.99E+307,G218:R218),""),SUM(G218:R218))))</f>
        <v/>
      </c>
      <c r="T218" s="33" t="n"/>
      <c r="U218" s="33" t="n"/>
    </row>
    <row r="219">
      <c r="A219" s="26">
        <f>IF($B219="","",ROW()-3)</f>
        <v/>
      </c>
      <c r="B219" s="27" t="n"/>
      <c r="C219" s="27" t="n"/>
      <c r="D219" s="28" t="n"/>
      <c r="E219" s="29" t="n"/>
      <c r="F219" s="30" t="n"/>
      <c r="G219" s="31" t="n"/>
      <c r="H219" s="31" t="n"/>
      <c r="I219" s="31" t="n"/>
      <c r="J219" s="31" t="n"/>
      <c r="K219" s="31" t="n"/>
      <c r="L219" s="31" t="n"/>
      <c r="M219" s="31" t="n"/>
      <c r="N219" s="31" t="n"/>
      <c r="O219" s="31" t="n"/>
      <c r="P219" s="31" t="n"/>
      <c r="Q219" s="31" t="n"/>
      <c r="R219" s="31" t="n"/>
      <c r="S219" s="32">
        <f>IF($F219="","",IF(IFERROR(VLOOKUP($F219,'维度字典'!$I$2:$J$50,2,0),"求和")="手工录入","",IF(IFERROR(VLOOKUP($F219,'维度字典'!$I$2:$J$50,2,0),"求和")="最新值",IFERROR(LOOKUP(9.99E+307,G219:R219),""),SUM(G219:R219))))</f>
        <v/>
      </c>
      <c r="T219" s="33" t="n"/>
      <c r="U219" s="33" t="n"/>
    </row>
    <row r="220">
      <c r="A220" s="26">
        <f>IF($B220="","",ROW()-3)</f>
        <v/>
      </c>
      <c r="B220" s="27" t="n"/>
      <c r="C220" s="27" t="n"/>
      <c r="D220" s="28" t="n"/>
      <c r="E220" s="29" t="n"/>
      <c r="F220" s="30" t="n"/>
      <c r="G220" s="31" t="n"/>
      <c r="H220" s="31" t="n"/>
      <c r="I220" s="31" t="n"/>
      <c r="J220" s="31" t="n"/>
      <c r="K220" s="31" t="n"/>
      <c r="L220" s="31" t="n"/>
      <c r="M220" s="31" t="n"/>
      <c r="N220" s="31" t="n"/>
      <c r="O220" s="31" t="n"/>
      <c r="P220" s="31" t="n"/>
      <c r="Q220" s="31" t="n"/>
      <c r="R220" s="31" t="n"/>
      <c r="S220" s="32">
        <f>IF($F220="","",IF(IFERROR(VLOOKUP($F220,'维度字典'!$I$2:$J$50,2,0),"求和")="手工录入","",IF(IFERROR(VLOOKUP($F220,'维度字典'!$I$2:$J$50,2,0),"求和")="最新值",IFERROR(LOOKUP(9.99E+307,G220:R220),""),SUM(G220:R220))))</f>
        <v/>
      </c>
      <c r="T220" s="33" t="n"/>
      <c r="U220" s="33" t="n"/>
    </row>
    <row r="221">
      <c r="A221" s="26">
        <f>IF($B221="","",ROW()-3)</f>
        <v/>
      </c>
      <c r="B221" s="27" t="n"/>
      <c r="C221" s="27" t="n"/>
      <c r="D221" s="28" t="n"/>
      <c r="E221" s="29" t="n"/>
      <c r="F221" s="30" t="n"/>
      <c r="G221" s="31" t="n"/>
      <c r="H221" s="31" t="n"/>
      <c r="I221" s="31" t="n"/>
      <c r="J221" s="31" t="n"/>
      <c r="K221" s="31" t="n"/>
      <c r="L221" s="31" t="n"/>
      <c r="M221" s="31" t="n"/>
      <c r="N221" s="31" t="n"/>
      <c r="O221" s="31" t="n"/>
      <c r="P221" s="31" t="n"/>
      <c r="Q221" s="31" t="n"/>
      <c r="R221" s="31" t="n"/>
      <c r="S221" s="32">
        <f>IF($F221="","",IF(IFERROR(VLOOKUP($F221,'维度字典'!$I$2:$J$50,2,0),"求和")="手工录入","",IF(IFERROR(VLOOKUP($F221,'维度字典'!$I$2:$J$50,2,0),"求和")="最新值",IFERROR(LOOKUP(9.99E+307,G221:R221),""),SUM(G221:R221))))</f>
        <v/>
      </c>
      <c r="T221" s="33" t="n"/>
      <c r="U221" s="33" t="n"/>
    </row>
    <row r="222">
      <c r="A222" s="26">
        <f>IF($B222="","",ROW()-3)</f>
        <v/>
      </c>
      <c r="B222" s="27" t="n"/>
      <c r="C222" s="27" t="n"/>
      <c r="D222" s="28" t="n"/>
      <c r="E222" s="29" t="n"/>
      <c r="F222" s="30" t="n"/>
      <c r="G222" s="31" t="n"/>
      <c r="H222" s="31" t="n"/>
      <c r="I222" s="31" t="n"/>
      <c r="J222" s="31" t="n"/>
      <c r="K222" s="31" t="n"/>
      <c r="L222" s="31" t="n"/>
      <c r="M222" s="31" t="n"/>
      <c r="N222" s="31" t="n"/>
      <c r="O222" s="31" t="n"/>
      <c r="P222" s="31" t="n"/>
      <c r="Q222" s="31" t="n"/>
      <c r="R222" s="31" t="n"/>
      <c r="S222" s="32">
        <f>IF($F222="","",IF(IFERROR(VLOOKUP($F222,'维度字典'!$I$2:$J$50,2,0),"求和")="手工录入","",IF(IFERROR(VLOOKUP($F222,'维度字典'!$I$2:$J$50,2,0),"求和")="最新值",IFERROR(LOOKUP(9.99E+307,G222:R222),""),SUM(G222:R222))))</f>
        <v/>
      </c>
      <c r="T222" s="33" t="n"/>
      <c r="U222" s="33" t="n"/>
    </row>
    <row r="223">
      <c r="A223" s="26">
        <f>IF($B223="","",ROW()-3)</f>
        <v/>
      </c>
      <c r="B223" s="27" t="n"/>
      <c r="C223" s="27" t="n"/>
      <c r="D223" s="28" t="n"/>
      <c r="E223" s="29" t="n"/>
      <c r="F223" s="30" t="n"/>
      <c r="G223" s="31" t="n"/>
      <c r="H223" s="31" t="n"/>
      <c r="I223" s="31" t="n"/>
      <c r="J223" s="31" t="n"/>
      <c r="K223" s="31" t="n"/>
      <c r="L223" s="31" t="n"/>
      <c r="M223" s="31" t="n"/>
      <c r="N223" s="31" t="n"/>
      <c r="O223" s="31" t="n"/>
      <c r="P223" s="31" t="n"/>
      <c r="Q223" s="31" t="n"/>
      <c r="R223" s="31" t="n"/>
      <c r="S223" s="32">
        <f>IF($F223="","",IF(IFERROR(VLOOKUP($F223,'维度字典'!$I$2:$J$50,2,0),"求和")="手工录入","",IF(IFERROR(VLOOKUP($F223,'维度字典'!$I$2:$J$50,2,0),"求和")="最新值",IFERROR(LOOKUP(9.99E+307,G223:R223),""),SUM(G223:R223))))</f>
        <v/>
      </c>
      <c r="T223" s="33" t="n"/>
      <c r="U223" s="33" t="n"/>
    </row>
    <row r="224">
      <c r="A224" s="26">
        <f>IF($B224="","",ROW()-3)</f>
        <v/>
      </c>
      <c r="B224" s="27" t="n"/>
      <c r="C224" s="27" t="n"/>
      <c r="D224" s="28" t="n"/>
      <c r="E224" s="29" t="n"/>
      <c r="F224" s="30" t="n"/>
      <c r="G224" s="31" t="n"/>
      <c r="H224" s="31" t="n"/>
      <c r="I224" s="31" t="n"/>
      <c r="J224" s="31" t="n"/>
      <c r="K224" s="31" t="n"/>
      <c r="L224" s="31" t="n"/>
      <c r="M224" s="31" t="n"/>
      <c r="N224" s="31" t="n"/>
      <c r="O224" s="31" t="n"/>
      <c r="P224" s="31" t="n"/>
      <c r="Q224" s="31" t="n"/>
      <c r="R224" s="31" t="n"/>
      <c r="S224" s="32">
        <f>IF($F224="","",IF(IFERROR(VLOOKUP($F224,'维度字典'!$I$2:$J$50,2,0),"求和")="手工录入","",IF(IFERROR(VLOOKUP($F224,'维度字典'!$I$2:$J$50,2,0),"求和")="最新值",IFERROR(LOOKUP(9.99E+307,G224:R224),""),SUM(G224:R224))))</f>
        <v/>
      </c>
      <c r="T224" s="33" t="n"/>
      <c r="U224" s="33" t="n"/>
    </row>
    <row r="225">
      <c r="A225" s="26">
        <f>IF($B225="","",ROW()-3)</f>
        <v/>
      </c>
      <c r="B225" s="27" t="n"/>
      <c r="C225" s="27" t="n"/>
      <c r="D225" s="28" t="n"/>
      <c r="E225" s="29" t="n"/>
      <c r="F225" s="30" t="n"/>
      <c r="G225" s="31" t="n"/>
      <c r="H225" s="31" t="n"/>
      <c r="I225" s="31" t="n"/>
      <c r="J225" s="31" t="n"/>
      <c r="K225" s="31" t="n"/>
      <c r="L225" s="31" t="n"/>
      <c r="M225" s="31" t="n"/>
      <c r="N225" s="31" t="n"/>
      <c r="O225" s="31" t="n"/>
      <c r="P225" s="31" t="n"/>
      <c r="Q225" s="31" t="n"/>
      <c r="R225" s="31" t="n"/>
      <c r="S225" s="32">
        <f>IF($F225="","",IF(IFERROR(VLOOKUP($F225,'维度字典'!$I$2:$J$50,2,0),"求和")="手工录入","",IF(IFERROR(VLOOKUP($F225,'维度字典'!$I$2:$J$50,2,0),"求和")="最新值",IFERROR(LOOKUP(9.99E+307,G225:R225),""),SUM(G225:R225))))</f>
        <v/>
      </c>
      <c r="T225" s="33" t="n"/>
      <c r="U225" s="33" t="n"/>
    </row>
    <row r="226">
      <c r="A226" s="26">
        <f>IF($B226="","",ROW()-3)</f>
        <v/>
      </c>
      <c r="B226" s="27" t="n"/>
      <c r="C226" s="27" t="n"/>
      <c r="D226" s="28" t="n"/>
      <c r="E226" s="29" t="n"/>
      <c r="F226" s="30" t="n"/>
      <c r="G226" s="31" t="n"/>
      <c r="H226" s="31" t="n"/>
      <c r="I226" s="31" t="n"/>
      <c r="J226" s="31" t="n"/>
      <c r="K226" s="31" t="n"/>
      <c r="L226" s="31" t="n"/>
      <c r="M226" s="31" t="n"/>
      <c r="N226" s="31" t="n"/>
      <c r="O226" s="31" t="n"/>
      <c r="P226" s="31" t="n"/>
      <c r="Q226" s="31" t="n"/>
      <c r="R226" s="31" t="n"/>
      <c r="S226" s="32">
        <f>IF($F226="","",IF(IFERROR(VLOOKUP($F226,'维度字典'!$I$2:$J$50,2,0),"求和")="手工录入","",IF(IFERROR(VLOOKUP($F226,'维度字典'!$I$2:$J$50,2,0),"求和")="最新值",IFERROR(LOOKUP(9.99E+307,G226:R226),""),SUM(G226:R226))))</f>
        <v/>
      </c>
      <c r="T226" s="33" t="n"/>
      <c r="U226" s="33" t="n"/>
    </row>
    <row r="227">
      <c r="A227" s="26">
        <f>IF($B227="","",ROW()-3)</f>
        <v/>
      </c>
      <c r="B227" s="27" t="n"/>
      <c r="C227" s="27" t="n"/>
      <c r="D227" s="28" t="n"/>
      <c r="E227" s="29" t="n"/>
      <c r="F227" s="30" t="n"/>
      <c r="G227" s="31" t="n"/>
      <c r="H227" s="31" t="n"/>
      <c r="I227" s="31" t="n"/>
      <c r="J227" s="31" t="n"/>
      <c r="K227" s="31" t="n"/>
      <c r="L227" s="31" t="n"/>
      <c r="M227" s="31" t="n"/>
      <c r="N227" s="31" t="n"/>
      <c r="O227" s="31" t="n"/>
      <c r="P227" s="31" t="n"/>
      <c r="Q227" s="31" t="n"/>
      <c r="R227" s="31" t="n"/>
      <c r="S227" s="32">
        <f>IF($F227="","",IF(IFERROR(VLOOKUP($F227,'维度字典'!$I$2:$J$50,2,0),"求和")="手工录入","",IF(IFERROR(VLOOKUP($F227,'维度字典'!$I$2:$J$50,2,0),"求和")="最新值",IFERROR(LOOKUP(9.99E+307,G227:R227),""),SUM(G227:R227))))</f>
        <v/>
      </c>
      <c r="T227" s="33" t="n"/>
      <c r="U227" s="33" t="n"/>
    </row>
    <row r="228">
      <c r="A228" s="26">
        <f>IF($B228="","",ROW()-3)</f>
        <v/>
      </c>
      <c r="B228" s="27" t="n"/>
      <c r="C228" s="27" t="n"/>
      <c r="D228" s="28" t="n"/>
      <c r="E228" s="29" t="n"/>
      <c r="F228" s="30" t="n"/>
      <c r="G228" s="31" t="n"/>
      <c r="H228" s="31" t="n"/>
      <c r="I228" s="31" t="n"/>
      <c r="J228" s="31" t="n"/>
      <c r="K228" s="31" t="n"/>
      <c r="L228" s="31" t="n"/>
      <c r="M228" s="31" t="n"/>
      <c r="N228" s="31" t="n"/>
      <c r="O228" s="31" t="n"/>
      <c r="P228" s="31" t="n"/>
      <c r="Q228" s="31" t="n"/>
      <c r="R228" s="31" t="n"/>
      <c r="S228" s="32">
        <f>IF($F228="","",IF(IFERROR(VLOOKUP($F228,'维度字典'!$I$2:$J$50,2,0),"求和")="手工录入","",IF(IFERROR(VLOOKUP($F228,'维度字典'!$I$2:$J$50,2,0),"求和")="最新值",IFERROR(LOOKUP(9.99E+307,G228:R228),""),SUM(G228:R228))))</f>
        <v/>
      </c>
      <c r="T228" s="33" t="n"/>
      <c r="U228" s="33" t="n"/>
    </row>
    <row r="229">
      <c r="A229" s="26">
        <f>IF($B229="","",ROW()-3)</f>
        <v/>
      </c>
      <c r="B229" s="27" t="n"/>
      <c r="C229" s="27" t="n"/>
      <c r="D229" s="28" t="n"/>
      <c r="E229" s="29" t="n"/>
      <c r="F229" s="30" t="n"/>
      <c r="G229" s="31" t="n"/>
      <c r="H229" s="31" t="n"/>
      <c r="I229" s="31" t="n"/>
      <c r="J229" s="31" t="n"/>
      <c r="K229" s="31" t="n"/>
      <c r="L229" s="31" t="n"/>
      <c r="M229" s="31" t="n"/>
      <c r="N229" s="31" t="n"/>
      <c r="O229" s="31" t="n"/>
      <c r="P229" s="31" t="n"/>
      <c r="Q229" s="31" t="n"/>
      <c r="R229" s="31" t="n"/>
      <c r="S229" s="32">
        <f>IF($F229="","",IF(IFERROR(VLOOKUP($F229,'维度字典'!$I$2:$J$50,2,0),"求和")="手工录入","",IF(IFERROR(VLOOKUP($F229,'维度字典'!$I$2:$J$50,2,0),"求和")="最新值",IFERROR(LOOKUP(9.99E+307,G229:R229),""),SUM(G229:R229))))</f>
        <v/>
      </c>
      <c r="T229" s="33" t="n"/>
      <c r="U229" s="33" t="n"/>
    </row>
    <row r="230">
      <c r="A230" s="26">
        <f>IF($B230="","",ROW()-3)</f>
        <v/>
      </c>
      <c r="B230" s="27" t="n"/>
      <c r="C230" s="27" t="n"/>
      <c r="D230" s="28" t="n"/>
      <c r="E230" s="29" t="n"/>
      <c r="F230" s="30" t="n"/>
      <c r="G230" s="31" t="n"/>
      <c r="H230" s="31" t="n"/>
      <c r="I230" s="31" t="n"/>
      <c r="J230" s="31" t="n"/>
      <c r="K230" s="31" t="n"/>
      <c r="L230" s="31" t="n"/>
      <c r="M230" s="31" t="n"/>
      <c r="N230" s="31" t="n"/>
      <c r="O230" s="31" t="n"/>
      <c r="P230" s="31" t="n"/>
      <c r="Q230" s="31" t="n"/>
      <c r="R230" s="31" t="n"/>
      <c r="S230" s="32">
        <f>IF($F230="","",IF(IFERROR(VLOOKUP($F230,'维度字典'!$I$2:$J$50,2,0),"求和")="手工录入","",IF(IFERROR(VLOOKUP($F230,'维度字典'!$I$2:$J$50,2,0),"求和")="最新值",IFERROR(LOOKUP(9.99E+307,G230:R230),""),SUM(G230:R230))))</f>
        <v/>
      </c>
      <c r="T230" s="33" t="n"/>
      <c r="U230" s="33" t="n"/>
    </row>
    <row r="231">
      <c r="A231" s="26">
        <f>IF($B231="","",ROW()-3)</f>
        <v/>
      </c>
      <c r="B231" s="27" t="n"/>
      <c r="C231" s="27" t="n"/>
      <c r="D231" s="28" t="n"/>
      <c r="E231" s="29" t="n"/>
      <c r="F231" s="30" t="n"/>
      <c r="G231" s="31" t="n"/>
      <c r="H231" s="31" t="n"/>
      <c r="I231" s="31" t="n"/>
      <c r="J231" s="31" t="n"/>
      <c r="K231" s="31" t="n"/>
      <c r="L231" s="31" t="n"/>
      <c r="M231" s="31" t="n"/>
      <c r="N231" s="31" t="n"/>
      <c r="O231" s="31" t="n"/>
      <c r="P231" s="31" t="n"/>
      <c r="Q231" s="31" t="n"/>
      <c r="R231" s="31" t="n"/>
      <c r="S231" s="32">
        <f>IF($F231="","",IF(IFERROR(VLOOKUP($F231,'维度字典'!$I$2:$J$50,2,0),"求和")="手工录入","",IF(IFERROR(VLOOKUP($F231,'维度字典'!$I$2:$J$50,2,0),"求和")="最新值",IFERROR(LOOKUP(9.99E+307,G231:R231),""),SUM(G231:R231))))</f>
        <v/>
      </c>
      <c r="T231" s="33" t="n"/>
      <c r="U231" s="33" t="n"/>
    </row>
    <row r="232">
      <c r="A232" s="26">
        <f>IF($B232="","",ROW()-3)</f>
        <v/>
      </c>
      <c r="B232" s="27" t="n"/>
      <c r="C232" s="27" t="n"/>
      <c r="D232" s="28" t="n"/>
      <c r="E232" s="29" t="n"/>
      <c r="F232" s="30" t="n"/>
      <c r="G232" s="31" t="n"/>
      <c r="H232" s="31" t="n"/>
      <c r="I232" s="31" t="n"/>
      <c r="J232" s="31" t="n"/>
      <c r="K232" s="31" t="n"/>
      <c r="L232" s="31" t="n"/>
      <c r="M232" s="31" t="n"/>
      <c r="N232" s="31" t="n"/>
      <c r="O232" s="31" t="n"/>
      <c r="P232" s="31" t="n"/>
      <c r="Q232" s="31" t="n"/>
      <c r="R232" s="31" t="n"/>
      <c r="S232" s="32">
        <f>IF($F232="","",IF(IFERROR(VLOOKUP($F232,'维度字典'!$I$2:$J$50,2,0),"求和")="手工录入","",IF(IFERROR(VLOOKUP($F232,'维度字典'!$I$2:$J$50,2,0),"求和")="最新值",IFERROR(LOOKUP(9.99E+307,G232:R232),""),SUM(G232:R232))))</f>
        <v/>
      </c>
      <c r="T232" s="33" t="n"/>
      <c r="U232" s="33" t="n"/>
    </row>
    <row r="233">
      <c r="A233" s="26">
        <f>IF($B233="","",ROW()-3)</f>
        <v/>
      </c>
      <c r="B233" s="27" t="n"/>
      <c r="C233" s="27" t="n"/>
      <c r="D233" s="28" t="n"/>
      <c r="E233" s="29" t="n"/>
      <c r="F233" s="30" t="n"/>
      <c r="G233" s="31" t="n"/>
      <c r="H233" s="31" t="n"/>
      <c r="I233" s="31" t="n"/>
      <c r="J233" s="31" t="n"/>
      <c r="K233" s="31" t="n"/>
      <c r="L233" s="31" t="n"/>
      <c r="M233" s="31" t="n"/>
      <c r="N233" s="31" t="n"/>
      <c r="O233" s="31" t="n"/>
      <c r="P233" s="31" t="n"/>
      <c r="Q233" s="31" t="n"/>
      <c r="R233" s="31" t="n"/>
      <c r="S233" s="32">
        <f>IF($F233="","",IF(IFERROR(VLOOKUP($F233,'维度字典'!$I$2:$J$50,2,0),"求和")="手工录入","",IF(IFERROR(VLOOKUP($F233,'维度字典'!$I$2:$J$50,2,0),"求和")="最新值",IFERROR(LOOKUP(9.99E+307,G233:R233),""),SUM(G233:R233))))</f>
        <v/>
      </c>
      <c r="T233" s="33" t="n"/>
      <c r="U233" s="33" t="n"/>
    </row>
    <row r="234">
      <c r="A234" s="26">
        <f>IF($B234="","",ROW()-3)</f>
        <v/>
      </c>
      <c r="B234" s="27" t="n"/>
      <c r="C234" s="27" t="n"/>
      <c r="D234" s="28" t="n"/>
      <c r="E234" s="29" t="n"/>
      <c r="F234" s="30" t="n"/>
      <c r="G234" s="31" t="n"/>
      <c r="H234" s="31" t="n"/>
      <c r="I234" s="31" t="n"/>
      <c r="J234" s="31" t="n"/>
      <c r="K234" s="31" t="n"/>
      <c r="L234" s="31" t="n"/>
      <c r="M234" s="31" t="n"/>
      <c r="N234" s="31" t="n"/>
      <c r="O234" s="31" t="n"/>
      <c r="P234" s="31" t="n"/>
      <c r="Q234" s="31" t="n"/>
      <c r="R234" s="31" t="n"/>
      <c r="S234" s="32">
        <f>IF($F234="","",IF(IFERROR(VLOOKUP($F234,'维度字典'!$I$2:$J$50,2,0),"求和")="手工录入","",IF(IFERROR(VLOOKUP($F234,'维度字典'!$I$2:$J$50,2,0),"求和")="最新值",IFERROR(LOOKUP(9.99E+307,G234:R234),""),SUM(G234:R234))))</f>
        <v/>
      </c>
      <c r="T234" s="33" t="n"/>
      <c r="U234" s="33" t="n"/>
    </row>
    <row r="235">
      <c r="A235" s="26">
        <f>IF($B235="","",ROW()-3)</f>
        <v/>
      </c>
      <c r="B235" s="27" t="n"/>
      <c r="C235" s="27" t="n"/>
      <c r="D235" s="28" t="n"/>
      <c r="E235" s="29" t="n"/>
      <c r="F235" s="30" t="n"/>
      <c r="G235" s="31" t="n"/>
      <c r="H235" s="31" t="n"/>
      <c r="I235" s="31" t="n"/>
      <c r="J235" s="31" t="n"/>
      <c r="K235" s="31" t="n"/>
      <c r="L235" s="31" t="n"/>
      <c r="M235" s="31" t="n"/>
      <c r="N235" s="31" t="n"/>
      <c r="O235" s="31" t="n"/>
      <c r="P235" s="31" t="n"/>
      <c r="Q235" s="31" t="n"/>
      <c r="R235" s="31" t="n"/>
      <c r="S235" s="32">
        <f>IF($F235="","",IF(IFERROR(VLOOKUP($F235,'维度字典'!$I$2:$J$50,2,0),"求和")="手工录入","",IF(IFERROR(VLOOKUP($F235,'维度字典'!$I$2:$J$50,2,0),"求和")="最新值",IFERROR(LOOKUP(9.99E+307,G235:R235),""),SUM(G235:R235))))</f>
        <v/>
      </c>
      <c r="T235" s="33" t="n"/>
      <c r="U235" s="33" t="n"/>
    </row>
    <row r="236">
      <c r="A236" s="26">
        <f>IF($B236="","",ROW()-3)</f>
        <v/>
      </c>
      <c r="B236" s="27" t="n"/>
      <c r="C236" s="27" t="n"/>
      <c r="D236" s="28" t="n"/>
      <c r="E236" s="29" t="n"/>
      <c r="F236" s="30" t="n"/>
      <c r="G236" s="31" t="n"/>
      <c r="H236" s="31" t="n"/>
      <c r="I236" s="31" t="n"/>
      <c r="J236" s="31" t="n"/>
      <c r="K236" s="31" t="n"/>
      <c r="L236" s="31" t="n"/>
      <c r="M236" s="31" t="n"/>
      <c r="N236" s="31" t="n"/>
      <c r="O236" s="31" t="n"/>
      <c r="P236" s="31" t="n"/>
      <c r="Q236" s="31" t="n"/>
      <c r="R236" s="31" t="n"/>
      <c r="S236" s="32">
        <f>IF($F236="","",IF(IFERROR(VLOOKUP($F236,'维度字典'!$I$2:$J$50,2,0),"求和")="手工录入","",IF(IFERROR(VLOOKUP($F236,'维度字典'!$I$2:$J$50,2,0),"求和")="最新值",IFERROR(LOOKUP(9.99E+307,G236:R236),""),SUM(G236:R236))))</f>
        <v/>
      </c>
      <c r="T236" s="33" t="n"/>
      <c r="U236" s="33" t="n"/>
    </row>
    <row r="237">
      <c r="A237" s="26">
        <f>IF($B237="","",ROW()-3)</f>
        <v/>
      </c>
      <c r="B237" s="27" t="n"/>
      <c r="C237" s="27" t="n"/>
      <c r="D237" s="28" t="n"/>
      <c r="E237" s="29" t="n"/>
      <c r="F237" s="30" t="n"/>
      <c r="G237" s="31" t="n"/>
      <c r="H237" s="31" t="n"/>
      <c r="I237" s="31" t="n"/>
      <c r="J237" s="31" t="n"/>
      <c r="K237" s="31" t="n"/>
      <c r="L237" s="31" t="n"/>
      <c r="M237" s="31" t="n"/>
      <c r="N237" s="31" t="n"/>
      <c r="O237" s="31" t="n"/>
      <c r="P237" s="31" t="n"/>
      <c r="Q237" s="31" t="n"/>
      <c r="R237" s="31" t="n"/>
      <c r="S237" s="32">
        <f>IF($F237="","",IF(IFERROR(VLOOKUP($F237,'维度字典'!$I$2:$J$50,2,0),"求和")="手工录入","",IF(IFERROR(VLOOKUP($F237,'维度字典'!$I$2:$J$50,2,0),"求和")="最新值",IFERROR(LOOKUP(9.99E+307,G237:R237),""),SUM(G237:R237))))</f>
        <v/>
      </c>
      <c r="T237" s="33" t="n"/>
      <c r="U237" s="33" t="n"/>
    </row>
    <row r="238">
      <c r="A238" s="26">
        <f>IF($B238="","",ROW()-3)</f>
        <v/>
      </c>
      <c r="B238" s="27" t="n"/>
      <c r="C238" s="27" t="n"/>
      <c r="D238" s="28" t="n"/>
      <c r="E238" s="29" t="n"/>
      <c r="F238" s="30" t="n"/>
      <c r="G238" s="31" t="n"/>
      <c r="H238" s="31" t="n"/>
      <c r="I238" s="31" t="n"/>
      <c r="J238" s="31" t="n"/>
      <c r="K238" s="31" t="n"/>
      <c r="L238" s="31" t="n"/>
      <c r="M238" s="31" t="n"/>
      <c r="N238" s="31" t="n"/>
      <c r="O238" s="31" t="n"/>
      <c r="P238" s="31" t="n"/>
      <c r="Q238" s="31" t="n"/>
      <c r="R238" s="31" t="n"/>
      <c r="S238" s="32">
        <f>IF($F238="","",IF(IFERROR(VLOOKUP($F238,'维度字典'!$I$2:$J$50,2,0),"求和")="手工录入","",IF(IFERROR(VLOOKUP($F238,'维度字典'!$I$2:$J$50,2,0),"求和")="最新值",IFERROR(LOOKUP(9.99E+307,G238:R238),""),SUM(G238:R238))))</f>
        <v/>
      </c>
      <c r="T238" s="33" t="n"/>
      <c r="U238" s="33" t="n"/>
    </row>
    <row r="239">
      <c r="A239" s="26">
        <f>IF($B239="","",ROW()-3)</f>
        <v/>
      </c>
      <c r="B239" s="27" t="n"/>
      <c r="C239" s="27" t="n"/>
      <c r="D239" s="28" t="n"/>
      <c r="E239" s="29" t="n"/>
      <c r="F239" s="30" t="n"/>
      <c r="G239" s="31" t="n"/>
      <c r="H239" s="31" t="n"/>
      <c r="I239" s="31" t="n"/>
      <c r="J239" s="31" t="n"/>
      <c r="K239" s="31" t="n"/>
      <c r="L239" s="31" t="n"/>
      <c r="M239" s="31" t="n"/>
      <c r="N239" s="31" t="n"/>
      <c r="O239" s="31" t="n"/>
      <c r="P239" s="31" t="n"/>
      <c r="Q239" s="31" t="n"/>
      <c r="R239" s="31" t="n"/>
      <c r="S239" s="32">
        <f>IF($F239="","",IF(IFERROR(VLOOKUP($F239,'维度字典'!$I$2:$J$50,2,0),"求和")="手工录入","",IF(IFERROR(VLOOKUP($F239,'维度字典'!$I$2:$J$50,2,0),"求和")="最新值",IFERROR(LOOKUP(9.99E+307,G239:R239),""),SUM(G239:R239))))</f>
        <v/>
      </c>
      <c r="T239" s="33" t="n"/>
      <c r="U239" s="33" t="n"/>
    </row>
    <row r="240">
      <c r="A240" s="26">
        <f>IF($B240="","",ROW()-3)</f>
        <v/>
      </c>
      <c r="B240" s="27" t="n"/>
      <c r="C240" s="27" t="n"/>
      <c r="D240" s="28" t="n"/>
      <c r="E240" s="29" t="n"/>
      <c r="F240" s="30" t="n"/>
      <c r="G240" s="31" t="n"/>
      <c r="H240" s="31" t="n"/>
      <c r="I240" s="31" t="n"/>
      <c r="J240" s="31" t="n"/>
      <c r="K240" s="31" t="n"/>
      <c r="L240" s="31" t="n"/>
      <c r="M240" s="31" t="n"/>
      <c r="N240" s="31" t="n"/>
      <c r="O240" s="31" t="n"/>
      <c r="P240" s="31" t="n"/>
      <c r="Q240" s="31" t="n"/>
      <c r="R240" s="31" t="n"/>
      <c r="S240" s="32">
        <f>IF($F240="","",IF(IFERROR(VLOOKUP($F240,'维度字典'!$I$2:$J$50,2,0),"求和")="手工录入","",IF(IFERROR(VLOOKUP($F240,'维度字典'!$I$2:$J$50,2,0),"求和")="最新值",IFERROR(LOOKUP(9.99E+307,G240:R240),""),SUM(G240:R240))))</f>
        <v/>
      </c>
      <c r="T240" s="33" t="n"/>
      <c r="U240" s="33" t="n"/>
    </row>
    <row r="241">
      <c r="A241" s="26">
        <f>IF($B241="","",ROW()-3)</f>
        <v/>
      </c>
      <c r="B241" s="27" t="n"/>
      <c r="C241" s="27" t="n"/>
      <c r="D241" s="28" t="n"/>
      <c r="E241" s="29" t="n"/>
      <c r="F241" s="30" t="n"/>
      <c r="G241" s="31" t="n"/>
      <c r="H241" s="31" t="n"/>
      <c r="I241" s="31" t="n"/>
      <c r="J241" s="31" t="n"/>
      <c r="K241" s="31" t="n"/>
      <c r="L241" s="31" t="n"/>
      <c r="M241" s="31" t="n"/>
      <c r="N241" s="31" t="n"/>
      <c r="O241" s="31" t="n"/>
      <c r="P241" s="31" t="n"/>
      <c r="Q241" s="31" t="n"/>
      <c r="R241" s="31" t="n"/>
      <c r="S241" s="32">
        <f>IF($F241="","",IF(IFERROR(VLOOKUP($F241,'维度字典'!$I$2:$J$50,2,0),"求和")="手工录入","",IF(IFERROR(VLOOKUP($F241,'维度字典'!$I$2:$J$50,2,0),"求和")="最新值",IFERROR(LOOKUP(9.99E+307,G241:R241),""),SUM(G241:R241))))</f>
        <v/>
      </c>
      <c r="T241" s="33" t="n"/>
      <c r="U241" s="33" t="n"/>
    </row>
    <row r="242">
      <c r="A242" s="26">
        <f>IF($B242="","",ROW()-3)</f>
        <v/>
      </c>
      <c r="B242" s="27" t="n"/>
      <c r="C242" s="27" t="n"/>
      <c r="D242" s="28" t="n"/>
      <c r="E242" s="29" t="n"/>
      <c r="F242" s="30" t="n"/>
      <c r="G242" s="31" t="n"/>
      <c r="H242" s="31" t="n"/>
      <c r="I242" s="31" t="n"/>
      <c r="J242" s="31" t="n"/>
      <c r="K242" s="31" t="n"/>
      <c r="L242" s="31" t="n"/>
      <c r="M242" s="31" t="n"/>
      <c r="N242" s="31" t="n"/>
      <c r="O242" s="31" t="n"/>
      <c r="P242" s="31" t="n"/>
      <c r="Q242" s="31" t="n"/>
      <c r="R242" s="31" t="n"/>
      <c r="S242" s="32">
        <f>IF($F242="","",IF(IFERROR(VLOOKUP($F242,'维度字典'!$I$2:$J$50,2,0),"求和")="手工录入","",IF(IFERROR(VLOOKUP($F242,'维度字典'!$I$2:$J$50,2,0),"求和")="最新值",IFERROR(LOOKUP(9.99E+307,G242:R242),""),SUM(G242:R242))))</f>
        <v/>
      </c>
      <c r="T242" s="33" t="n"/>
      <c r="U242" s="33" t="n"/>
    </row>
    <row r="243">
      <c r="A243" s="26">
        <f>IF($B243="","",ROW()-3)</f>
        <v/>
      </c>
      <c r="B243" s="27" t="n"/>
      <c r="C243" s="27" t="n"/>
      <c r="D243" s="28" t="n"/>
      <c r="E243" s="29" t="n"/>
      <c r="F243" s="30" t="n"/>
      <c r="G243" s="31" t="n"/>
      <c r="H243" s="31" t="n"/>
      <c r="I243" s="31" t="n"/>
      <c r="J243" s="31" t="n"/>
      <c r="K243" s="31" t="n"/>
      <c r="L243" s="31" t="n"/>
      <c r="M243" s="31" t="n"/>
      <c r="N243" s="31" t="n"/>
      <c r="O243" s="31" t="n"/>
      <c r="P243" s="31" t="n"/>
      <c r="Q243" s="31" t="n"/>
      <c r="R243" s="31" t="n"/>
      <c r="S243" s="32">
        <f>IF($F243="","",IF(IFERROR(VLOOKUP($F243,'维度字典'!$I$2:$J$50,2,0),"求和")="手工录入","",IF(IFERROR(VLOOKUP($F243,'维度字典'!$I$2:$J$50,2,0),"求和")="最新值",IFERROR(LOOKUP(9.99E+307,G243:R243),""),SUM(G243:R243))))</f>
        <v/>
      </c>
      <c r="T243" s="33" t="n"/>
      <c r="U243" s="33" t="n"/>
    </row>
    <row r="244">
      <c r="A244" s="26">
        <f>IF($B244="","",ROW()-3)</f>
        <v/>
      </c>
      <c r="B244" s="27" t="n"/>
      <c r="C244" s="27" t="n"/>
      <c r="D244" s="28" t="n"/>
      <c r="E244" s="29" t="n"/>
      <c r="F244" s="30" t="n"/>
      <c r="G244" s="31" t="n"/>
      <c r="H244" s="31" t="n"/>
      <c r="I244" s="31" t="n"/>
      <c r="J244" s="31" t="n"/>
      <c r="K244" s="31" t="n"/>
      <c r="L244" s="31" t="n"/>
      <c r="M244" s="31" t="n"/>
      <c r="N244" s="31" t="n"/>
      <c r="O244" s="31" t="n"/>
      <c r="P244" s="31" t="n"/>
      <c r="Q244" s="31" t="n"/>
      <c r="R244" s="31" t="n"/>
      <c r="S244" s="32">
        <f>IF($F244="","",IF(IFERROR(VLOOKUP($F244,'维度字典'!$I$2:$J$50,2,0),"求和")="手工录入","",IF(IFERROR(VLOOKUP($F244,'维度字典'!$I$2:$J$50,2,0),"求和")="最新值",IFERROR(LOOKUP(9.99E+307,G244:R244),""),SUM(G244:R244))))</f>
        <v/>
      </c>
      <c r="T244" s="33" t="n"/>
      <c r="U244" s="33" t="n"/>
    </row>
    <row r="245">
      <c r="A245" s="26">
        <f>IF($B245="","",ROW()-3)</f>
        <v/>
      </c>
      <c r="B245" s="27" t="n"/>
      <c r="C245" s="27" t="n"/>
      <c r="D245" s="28" t="n"/>
      <c r="E245" s="29" t="n"/>
      <c r="F245" s="30" t="n"/>
      <c r="G245" s="31" t="n"/>
      <c r="H245" s="31" t="n"/>
      <c r="I245" s="31" t="n"/>
      <c r="J245" s="31" t="n"/>
      <c r="K245" s="31" t="n"/>
      <c r="L245" s="31" t="n"/>
      <c r="M245" s="31" t="n"/>
      <c r="N245" s="31" t="n"/>
      <c r="O245" s="31" t="n"/>
      <c r="P245" s="31" t="n"/>
      <c r="Q245" s="31" t="n"/>
      <c r="R245" s="31" t="n"/>
      <c r="S245" s="32">
        <f>IF($F245="","",IF(IFERROR(VLOOKUP($F245,'维度字典'!$I$2:$J$50,2,0),"求和")="手工录入","",IF(IFERROR(VLOOKUP($F245,'维度字典'!$I$2:$J$50,2,0),"求和")="最新值",IFERROR(LOOKUP(9.99E+307,G245:R245),""),SUM(G245:R245))))</f>
        <v/>
      </c>
      <c r="T245" s="33" t="n"/>
      <c r="U245" s="33" t="n"/>
    </row>
    <row r="246">
      <c r="A246" s="26">
        <f>IF($B246="","",ROW()-3)</f>
        <v/>
      </c>
      <c r="B246" s="27" t="n"/>
      <c r="C246" s="27" t="n"/>
      <c r="D246" s="28" t="n"/>
      <c r="E246" s="29" t="n"/>
      <c r="F246" s="30" t="n"/>
      <c r="G246" s="31" t="n"/>
      <c r="H246" s="31" t="n"/>
      <c r="I246" s="31" t="n"/>
      <c r="J246" s="31" t="n"/>
      <c r="K246" s="31" t="n"/>
      <c r="L246" s="31" t="n"/>
      <c r="M246" s="31" t="n"/>
      <c r="N246" s="31" t="n"/>
      <c r="O246" s="31" t="n"/>
      <c r="P246" s="31" t="n"/>
      <c r="Q246" s="31" t="n"/>
      <c r="R246" s="31" t="n"/>
      <c r="S246" s="32">
        <f>IF($F246="","",IF(IFERROR(VLOOKUP($F246,'维度字典'!$I$2:$J$50,2,0),"求和")="手工录入","",IF(IFERROR(VLOOKUP($F246,'维度字典'!$I$2:$J$50,2,0),"求和")="最新值",IFERROR(LOOKUP(9.99E+307,G246:R246),""),SUM(G246:R246))))</f>
        <v/>
      </c>
      <c r="T246" s="33" t="n"/>
      <c r="U246" s="33" t="n"/>
    </row>
    <row r="247">
      <c r="A247" s="26">
        <f>IF($B247="","",ROW()-3)</f>
        <v/>
      </c>
      <c r="B247" s="27" t="n"/>
      <c r="C247" s="27" t="n"/>
      <c r="D247" s="28" t="n"/>
      <c r="E247" s="29" t="n"/>
      <c r="F247" s="30" t="n"/>
      <c r="G247" s="31" t="n"/>
      <c r="H247" s="31" t="n"/>
      <c r="I247" s="31" t="n"/>
      <c r="J247" s="31" t="n"/>
      <c r="K247" s="31" t="n"/>
      <c r="L247" s="31" t="n"/>
      <c r="M247" s="31" t="n"/>
      <c r="N247" s="31" t="n"/>
      <c r="O247" s="31" t="n"/>
      <c r="P247" s="31" t="n"/>
      <c r="Q247" s="31" t="n"/>
      <c r="R247" s="31" t="n"/>
      <c r="S247" s="32">
        <f>IF($F247="","",IF(IFERROR(VLOOKUP($F247,'维度字典'!$I$2:$J$50,2,0),"求和")="手工录入","",IF(IFERROR(VLOOKUP($F247,'维度字典'!$I$2:$J$50,2,0),"求和")="最新值",IFERROR(LOOKUP(9.99E+307,G247:R247),""),SUM(G247:R247))))</f>
        <v/>
      </c>
      <c r="T247" s="33" t="n"/>
      <c r="U247" s="33" t="n"/>
    </row>
    <row r="248">
      <c r="A248" s="26">
        <f>IF($B248="","",ROW()-3)</f>
        <v/>
      </c>
      <c r="B248" s="27" t="n"/>
      <c r="C248" s="27" t="n"/>
      <c r="D248" s="28" t="n"/>
      <c r="E248" s="29" t="n"/>
      <c r="F248" s="30" t="n"/>
      <c r="G248" s="31" t="n"/>
      <c r="H248" s="31" t="n"/>
      <c r="I248" s="31" t="n"/>
      <c r="J248" s="31" t="n"/>
      <c r="K248" s="31" t="n"/>
      <c r="L248" s="31" t="n"/>
      <c r="M248" s="31" t="n"/>
      <c r="N248" s="31" t="n"/>
      <c r="O248" s="31" t="n"/>
      <c r="P248" s="31" t="n"/>
      <c r="Q248" s="31" t="n"/>
      <c r="R248" s="31" t="n"/>
      <c r="S248" s="32">
        <f>IF($F248="","",IF(IFERROR(VLOOKUP($F248,'维度字典'!$I$2:$J$50,2,0),"求和")="手工录入","",IF(IFERROR(VLOOKUP($F248,'维度字典'!$I$2:$J$50,2,0),"求和")="最新值",IFERROR(LOOKUP(9.99E+307,G248:R248),""),SUM(G248:R248))))</f>
        <v/>
      </c>
      <c r="T248" s="33" t="n"/>
      <c r="U248" s="33" t="n"/>
    </row>
    <row r="249">
      <c r="A249" s="26">
        <f>IF($B249="","",ROW()-3)</f>
        <v/>
      </c>
      <c r="B249" s="27" t="n"/>
      <c r="C249" s="27" t="n"/>
      <c r="D249" s="28" t="n"/>
      <c r="E249" s="29" t="n"/>
      <c r="F249" s="30" t="n"/>
      <c r="G249" s="31" t="n"/>
      <c r="H249" s="31" t="n"/>
      <c r="I249" s="31" t="n"/>
      <c r="J249" s="31" t="n"/>
      <c r="K249" s="31" t="n"/>
      <c r="L249" s="31" t="n"/>
      <c r="M249" s="31" t="n"/>
      <c r="N249" s="31" t="n"/>
      <c r="O249" s="31" t="n"/>
      <c r="P249" s="31" t="n"/>
      <c r="Q249" s="31" t="n"/>
      <c r="R249" s="31" t="n"/>
      <c r="S249" s="32">
        <f>IF($F249="","",IF(IFERROR(VLOOKUP($F249,'维度字典'!$I$2:$J$50,2,0),"求和")="手工录入","",IF(IFERROR(VLOOKUP($F249,'维度字典'!$I$2:$J$50,2,0),"求和")="最新值",IFERROR(LOOKUP(9.99E+307,G249:R249),""),SUM(G249:R249))))</f>
        <v/>
      </c>
      <c r="T249" s="33" t="n"/>
      <c r="U249" s="33" t="n"/>
    </row>
    <row r="250">
      <c r="A250" s="26">
        <f>IF($B250="","",ROW()-3)</f>
        <v/>
      </c>
      <c r="B250" s="27" t="n"/>
      <c r="C250" s="27" t="n"/>
      <c r="D250" s="28" t="n"/>
      <c r="E250" s="29" t="n"/>
      <c r="F250" s="30" t="n"/>
      <c r="G250" s="31" t="n"/>
      <c r="H250" s="31" t="n"/>
      <c r="I250" s="31" t="n"/>
      <c r="J250" s="31" t="n"/>
      <c r="K250" s="31" t="n"/>
      <c r="L250" s="31" t="n"/>
      <c r="M250" s="31" t="n"/>
      <c r="N250" s="31" t="n"/>
      <c r="O250" s="31" t="n"/>
      <c r="P250" s="31" t="n"/>
      <c r="Q250" s="31" t="n"/>
      <c r="R250" s="31" t="n"/>
      <c r="S250" s="32">
        <f>IF($F250="","",IF(IFERROR(VLOOKUP($F250,'维度字典'!$I$2:$J$50,2,0),"求和")="手工录入","",IF(IFERROR(VLOOKUP($F250,'维度字典'!$I$2:$J$50,2,0),"求和")="最新值",IFERROR(LOOKUP(9.99E+307,G250:R250),""),SUM(G250:R250))))</f>
        <v/>
      </c>
      <c r="T250" s="33" t="n"/>
      <c r="U250" s="33" t="n"/>
    </row>
    <row r="251">
      <c r="A251" s="26">
        <f>IF($B251="","",ROW()-3)</f>
        <v/>
      </c>
      <c r="B251" s="27" t="n"/>
      <c r="C251" s="27" t="n"/>
      <c r="D251" s="28" t="n"/>
      <c r="E251" s="29" t="n"/>
      <c r="F251" s="30" t="n"/>
      <c r="G251" s="31" t="n"/>
      <c r="H251" s="31" t="n"/>
      <c r="I251" s="31" t="n"/>
      <c r="J251" s="31" t="n"/>
      <c r="K251" s="31" t="n"/>
      <c r="L251" s="31" t="n"/>
      <c r="M251" s="31" t="n"/>
      <c r="N251" s="31" t="n"/>
      <c r="O251" s="31" t="n"/>
      <c r="P251" s="31" t="n"/>
      <c r="Q251" s="31" t="n"/>
      <c r="R251" s="31" t="n"/>
      <c r="S251" s="32">
        <f>IF($F251="","",IF(IFERROR(VLOOKUP($F251,'维度字典'!$I$2:$J$50,2,0),"求和")="手工录入","",IF(IFERROR(VLOOKUP($F251,'维度字典'!$I$2:$J$50,2,0),"求和")="最新值",IFERROR(LOOKUP(9.99E+307,G251:R251),""),SUM(G251:R251))))</f>
        <v/>
      </c>
      <c r="T251" s="33" t="n"/>
      <c r="U251" s="33" t="n"/>
    </row>
    <row r="252">
      <c r="A252" s="26">
        <f>IF($B252="","",ROW()-3)</f>
        <v/>
      </c>
      <c r="B252" s="27" t="n"/>
      <c r="C252" s="27" t="n"/>
      <c r="D252" s="28" t="n"/>
      <c r="E252" s="29" t="n"/>
      <c r="F252" s="30" t="n"/>
      <c r="G252" s="31" t="n"/>
      <c r="H252" s="31" t="n"/>
      <c r="I252" s="31" t="n"/>
      <c r="J252" s="31" t="n"/>
      <c r="K252" s="31" t="n"/>
      <c r="L252" s="31" t="n"/>
      <c r="M252" s="31" t="n"/>
      <c r="N252" s="31" t="n"/>
      <c r="O252" s="31" t="n"/>
      <c r="P252" s="31" t="n"/>
      <c r="Q252" s="31" t="n"/>
      <c r="R252" s="31" t="n"/>
      <c r="S252" s="32">
        <f>IF($F252="","",IF(IFERROR(VLOOKUP($F252,'维度字典'!$I$2:$J$50,2,0),"求和")="手工录入","",IF(IFERROR(VLOOKUP($F252,'维度字典'!$I$2:$J$50,2,0),"求和")="最新值",IFERROR(LOOKUP(9.99E+307,G252:R252),""),SUM(G252:R252))))</f>
        <v/>
      </c>
      <c r="T252" s="33" t="n"/>
      <c r="U252" s="33" t="n"/>
    </row>
    <row r="253">
      <c r="A253" s="26">
        <f>IF($B253="","",ROW()-3)</f>
        <v/>
      </c>
      <c r="B253" s="27" t="n"/>
      <c r="C253" s="27" t="n"/>
      <c r="D253" s="28" t="n"/>
      <c r="E253" s="29" t="n"/>
      <c r="F253" s="30" t="n"/>
      <c r="G253" s="31" t="n"/>
      <c r="H253" s="31" t="n"/>
      <c r="I253" s="31" t="n"/>
      <c r="J253" s="31" t="n"/>
      <c r="K253" s="31" t="n"/>
      <c r="L253" s="31" t="n"/>
      <c r="M253" s="31" t="n"/>
      <c r="N253" s="31" t="n"/>
      <c r="O253" s="31" t="n"/>
      <c r="P253" s="31" t="n"/>
      <c r="Q253" s="31" t="n"/>
      <c r="R253" s="31" t="n"/>
      <c r="S253" s="32">
        <f>IF($F253="","",IF(IFERROR(VLOOKUP($F253,'维度字典'!$I$2:$J$50,2,0),"求和")="手工录入","",IF(IFERROR(VLOOKUP($F253,'维度字典'!$I$2:$J$50,2,0),"求和")="最新值",IFERROR(LOOKUP(9.99E+307,G253:R253),""),SUM(G253:R253))))</f>
        <v/>
      </c>
      <c r="T253" s="33" t="n"/>
      <c r="U253" s="33" t="n"/>
    </row>
    <row r="254">
      <c r="A254" s="26">
        <f>IF($B254="","",ROW()-3)</f>
        <v/>
      </c>
      <c r="B254" s="27" t="n"/>
      <c r="C254" s="27" t="n"/>
      <c r="D254" s="28" t="n"/>
      <c r="E254" s="29" t="n"/>
      <c r="F254" s="30" t="n"/>
      <c r="G254" s="31" t="n"/>
      <c r="H254" s="31" t="n"/>
      <c r="I254" s="31" t="n"/>
      <c r="J254" s="31" t="n"/>
      <c r="K254" s="31" t="n"/>
      <c r="L254" s="31" t="n"/>
      <c r="M254" s="31" t="n"/>
      <c r="N254" s="31" t="n"/>
      <c r="O254" s="31" t="n"/>
      <c r="P254" s="31" t="n"/>
      <c r="Q254" s="31" t="n"/>
      <c r="R254" s="31" t="n"/>
      <c r="S254" s="32">
        <f>IF($F254="","",IF(IFERROR(VLOOKUP($F254,'维度字典'!$I$2:$J$50,2,0),"求和")="手工录入","",IF(IFERROR(VLOOKUP($F254,'维度字典'!$I$2:$J$50,2,0),"求和")="最新值",IFERROR(LOOKUP(9.99E+307,G254:R254),""),SUM(G254:R254))))</f>
        <v/>
      </c>
      <c r="T254" s="33" t="n"/>
      <c r="U254" s="33" t="n"/>
    </row>
    <row r="255">
      <c r="A255" s="26">
        <f>IF($B255="","",ROW()-3)</f>
        <v/>
      </c>
      <c r="B255" s="27" t="n"/>
      <c r="C255" s="27" t="n"/>
      <c r="D255" s="28" t="n"/>
      <c r="E255" s="29" t="n"/>
      <c r="F255" s="30" t="n"/>
      <c r="G255" s="31" t="n"/>
      <c r="H255" s="31" t="n"/>
      <c r="I255" s="31" t="n"/>
      <c r="J255" s="31" t="n"/>
      <c r="K255" s="31" t="n"/>
      <c r="L255" s="31" t="n"/>
      <c r="M255" s="31" t="n"/>
      <c r="N255" s="31" t="n"/>
      <c r="O255" s="31" t="n"/>
      <c r="P255" s="31" t="n"/>
      <c r="Q255" s="31" t="n"/>
      <c r="R255" s="31" t="n"/>
      <c r="S255" s="32">
        <f>IF($F255="","",IF(IFERROR(VLOOKUP($F255,'维度字典'!$I$2:$J$50,2,0),"求和")="手工录入","",IF(IFERROR(VLOOKUP($F255,'维度字典'!$I$2:$J$50,2,0),"求和")="最新值",IFERROR(LOOKUP(9.99E+307,G255:R255),""),SUM(G255:R255))))</f>
        <v/>
      </c>
      <c r="T255" s="33" t="n"/>
      <c r="U255" s="33" t="n"/>
    </row>
    <row r="256">
      <c r="A256" s="26">
        <f>IF($B256="","",ROW()-3)</f>
        <v/>
      </c>
      <c r="B256" s="27" t="n"/>
      <c r="C256" s="27" t="n"/>
      <c r="D256" s="28" t="n"/>
      <c r="E256" s="29" t="n"/>
      <c r="F256" s="30" t="n"/>
      <c r="G256" s="31" t="n"/>
      <c r="H256" s="31" t="n"/>
      <c r="I256" s="31" t="n"/>
      <c r="J256" s="31" t="n"/>
      <c r="K256" s="31" t="n"/>
      <c r="L256" s="31" t="n"/>
      <c r="M256" s="31" t="n"/>
      <c r="N256" s="31" t="n"/>
      <c r="O256" s="31" t="n"/>
      <c r="P256" s="31" t="n"/>
      <c r="Q256" s="31" t="n"/>
      <c r="R256" s="31" t="n"/>
      <c r="S256" s="32">
        <f>IF($F256="","",IF(IFERROR(VLOOKUP($F256,'维度字典'!$I$2:$J$50,2,0),"求和")="手工录入","",IF(IFERROR(VLOOKUP($F256,'维度字典'!$I$2:$J$50,2,0),"求和")="最新值",IFERROR(LOOKUP(9.99E+307,G256:R256),""),SUM(G256:R256))))</f>
        <v/>
      </c>
      <c r="T256" s="33" t="n"/>
      <c r="U256" s="33" t="n"/>
    </row>
    <row r="257">
      <c r="A257" s="26">
        <f>IF($B257="","",ROW()-3)</f>
        <v/>
      </c>
      <c r="B257" s="27" t="n"/>
      <c r="C257" s="27" t="n"/>
      <c r="D257" s="28" t="n"/>
      <c r="E257" s="29" t="n"/>
      <c r="F257" s="30" t="n"/>
      <c r="G257" s="31" t="n"/>
      <c r="H257" s="31" t="n"/>
      <c r="I257" s="31" t="n"/>
      <c r="J257" s="31" t="n"/>
      <c r="K257" s="31" t="n"/>
      <c r="L257" s="31" t="n"/>
      <c r="M257" s="31" t="n"/>
      <c r="N257" s="31" t="n"/>
      <c r="O257" s="31" t="n"/>
      <c r="P257" s="31" t="n"/>
      <c r="Q257" s="31" t="n"/>
      <c r="R257" s="31" t="n"/>
      <c r="S257" s="32">
        <f>IF($F257="","",IF(IFERROR(VLOOKUP($F257,'维度字典'!$I$2:$J$50,2,0),"求和")="手工录入","",IF(IFERROR(VLOOKUP($F257,'维度字典'!$I$2:$J$50,2,0),"求和")="最新值",IFERROR(LOOKUP(9.99E+307,G257:R257),""),SUM(G257:R257))))</f>
        <v/>
      </c>
      <c r="T257" s="33" t="n"/>
      <c r="U257" s="33" t="n"/>
    </row>
    <row r="258">
      <c r="A258" s="26">
        <f>IF($B258="","",ROW()-3)</f>
        <v/>
      </c>
      <c r="B258" s="27" t="n"/>
      <c r="C258" s="27" t="n"/>
      <c r="D258" s="28" t="n"/>
      <c r="E258" s="29" t="n"/>
      <c r="F258" s="30" t="n"/>
      <c r="G258" s="31" t="n"/>
      <c r="H258" s="31" t="n"/>
      <c r="I258" s="31" t="n"/>
      <c r="J258" s="31" t="n"/>
      <c r="K258" s="31" t="n"/>
      <c r="L258" s="31" t="n"/>
      <c r="M258" s="31" t="n"/>
      <c r="N258" s="31" t="n"/>
      <c r="O258" s="31" t="n"/>
      <c r="P258" s="31" t="n"/>
      <c r="Q258" s="31" t="n"/>
      <c r="R258" s="31" t="n"/>
      <c r="S258" s="32">
        <f>IF($F258="","",IF(IFERROR(VLOOKUP($F258,'维度字典'!$I$2:$J$50,2,0),"求和")="手工录入","",IF(IFERROR(VLOOKUP($F258,'维度字典'!$I$2:$J$50,2,0),"求和")="最新值",IFERROR(LOOKUP(9.99E+307,G258:R258),""),SUM(G258:R258))))</f>
        <v/>
      </c>
      <c r="T258" s="33" t="n"/>
      <c r="U258" s="33" t="n"/>
    </row>
    <row r="259">
      <c r="A259" s="26">
        <f>IF($B259="","",ROW()-3)</f>
        <v/>
      </c>
      <c r="B259" s="27" t="n"/>
      <c r="C259" s="27" t="n"/>
      <c r="D259" s="28" t="n"/>
      <c r="E259" s="29" t="n"/>
      <c r="F259" s="30" t="n"/>
      <c r="G259" s="31" t="n"/>
      <c r="H259" s="31" t="n"/>
      <c r="I259" s="31" t="n"/>
      <c r="J259" s="31" t="n"/>
      <c r="K259" s="31" t="n"/>
      <c r="L259" s="31" t="n"/>
      <c r="M259" s="31" t="n"/>
      <c r="N259" s="31" t="n"/>
      <c r="O259" s="31" t="n"/>
      <c r="P259" s="31" t="n"/>
      <c r="Q259" s="31" t="n"/>
      <c r="R259" s="31" t="n"/>
      <c r="S259" s="32">
        <f>IF($F259="","",IF(IFERROR(VLOOKUP($F259,'维度字典'!$I$2:$J$50,2,0),"求和")="手工录入","",IF(IFERROR(VLOOKUP($F259,'维度字典'!$I$2:$J$50,2,0),"求和")="最新值",IFERROR(LOOKUP(9.99E+307,G259:R259),""),SUM(G259:R259))))</f>
        <v/>
      </c>
      <c r="T259" s="33" t="n"/>
      <c r="U259" s="33" t="n"/>
    </row>
    <row r="260">
      <c r="A260" s="26">
        <f>IF($B260="","",ROW()-3)</f>
        <v/>
      </c>
      <c r="B260" s="27" t="n"/>
      <c r="C260" s="27" t="n"/>
      <c r="D260" s="28" t="n"/>
      <c r="E260" s="29" t="n"/>
      <c r="F260" s="30" t="n"/>
      <c r="G260" s="31" t="n"/>
      <c r="H260" s="31" t="n"/>
      <c r="I260" s="31" t="n"/>
      <c r="J260" s="31" t="n"/>
      <c r="K260" s="31" t="n"/>
      <c r="L260" s="31" t="n"/>
      <c r="M260" s="31" t="n"/>
      <c r="N260" s="31" t="n"/>
      <c r="O260" s="31" t="n"/>
      <c r="P260" s="31" t="n"/>
      <c r="Q260" s="31" t="n"/>
      <c r="R260" s="31" t="n"/>
      <c r="S260" s="32">
        <f>IF($F260="","",IF(IFERROR(VLOOKUP($F260,'维度字典'!$I$2:$J$50,2,0),"求和")="手工录入","",IF(IFERROR(VLOOKUP($F260,'维度字典'!$I$2:$J$50,2,0),"求和")="最新值",IFERROR(LOOKUP(9.99E+307,G260:R260),""),SUM(G260:R260))))</f>
        <v/>
      </c>
      <c r="T260" s="33" t="n"/>
      <c r="U260" s="33" t="n"/>
    </row>
    <row r="261">
      <c r="A261" s="26">
        <f>IF($B261="","",ROW()-3)</f>
        <v/>
      </c>
      <c r="B261" s="27" t="n"/>
      <c r="C261" s="27" t="n"/>
      <c r="D261" s="28" t="n"/>
      <c r="E261" s="29" t="n"/>
      <c r="F261" s="30" t="n"/>
      <c r="G261" s="31" t="n"/>
      <c r="H261" s="31" t="n"/>
      <c r="I261" s="31" t="n"/>
      <c r="J261" s="31" t="n"/>
      <c r="K261" s="31" t="n"/>
      <c r="L261" s="31" t="n"/>
      <c r="M261" s="31" t="n"/>
      <c r="N261" s="31" t="n"/>
      <c r="O261" s="31" t="n"/>
      <c r="P261" s="31" t="n"/>
      <c r="Q261" s="31" t="n"/>
      <c r="R261" s="31" t="n"/>
      <c r="S261" s="32">
        <f>IF($F261="","",IF(IFERROR(VLOOKUP($F261,'维度字典'!$I$2:$J$50,2,0),"求和")="手工录入","",IF(IFERROR(VLOOKUP($F261,'维度字典'!$I$2:$J$50,2,0),"求和")="最新值",IFERROR(LOOKUP(9.99E+307,G261:R261),""),SUM(G261:R261))))</f>
        <v/>
      </c>
      <c r="T261" s="33" t="n"/>
      <c r="U261" s="33" t="n"/>
    </row>
    <row r="262">
      <c r="A262" s="26">
        <f>IF($B262="","",ROW()-3)</f>
        <v/>
      </c>
      <c r="B262" s="27" t="n"/>
      <c r="C262" s="27" t="n"/>
      <c r="D262" s="28" t="n"/>
      <c r="E262" s="29" t="n"/>
      <c r="F262" s="30" t="n"/>
      <c r="G262" s="31" t="n"/>
      <c r="H262" s="31" t="n"/>
      <c r="I262" s="31" t="n"/>
      <c r="J262" s="31" t="n"/>
      <c r="K262" s="31" t="n"/>
      <c r="L262" s="31" t="n"/>
      <c r="M262" s="31" t="n"/>
      <c r="N262" s="31" t="n"/>
      <c r="O262" s="31" t="n"/>
      <c r="P262" s="31" t="n"/>
      <c r="Q262" s="31" t="n"/>
      <c r="R262" s="31" t="n"/>
      <c r="S262" s="32">
        <f>IF($F262="","",IF(IFERROR(VLOOKUP($F262,'维度字典'!$I$2:$J$50,2,0),"求和")="手工录入","",IF(IFERROR(VLOOKUP($F262,'维度字典'!$I$2:$J$50,2,0),"求和")="最新值",IFERROR(LOOKUP(9.99E+307,G262:R262),""),SUM(G262:R262))))</f>
        <v/>
      </c>
      <c r="T262" s="33" t="n"/>
      <c r="U262" s="33" t="n"/>
    </row>
    <row r="263">
      <c r="A263" s="26">
        <f>IF($B263="","",ROW()-3)</f>
        <v/>
      </c>
      <c r="B263" s="27" t="n"/>
      <c r="C263" s="27" t="n"/>
      <c r="D263" s="28" t="n"/>
      <c r="E263" s="29" t="n"/>
      <c r="F263" s="30" t="n"/>
      <c r="G263" s="31" t="n"/>
      <c r="H263" s="31" t="n"/>
      <c r="I263" s="31" t="n"/>
      <c r="J263" s="31" t="n"/>
      <c r="K263" s="31" t="n"/>
      <c r="L263" s="31" t="n"/>
      <c r="M263" s="31" t="n"/>
      <c r="N263" s="31" t="n"/>
      <c r="O263" s="31" t="n"/>
      <c r="P263" s="31" t="n"/>
      <c r="Q263" s="31" t="n"/>
      <c r="R263" s="31" t="n"/>
      <c r="S263" s="32">
        <f>IF($F263="","",IF(IFERROR(VLOOKUP($F263,'维度字典'!$I$2:$J$50,2,0),"求和")="手工录入","",IF(IFERROR(VLOOKUP($F263,'维度字典'!$I$2:$J$50,2,0),"求和")="最新值",IFERROR(LOOKUP(9.99E+307,G263:R263),""),SUM(G263:R263))))</f>
        <v/>
      </c>
      <c r="T263" s="33" t="n"/>
      <c r="U263" s="33" t="n"/>
    </row>
    <row r="264">
      <c r="A264" s="26">
        <f>IF($B264="","",ROW()-3)</f>
        <v/>
      </c>
      <c r="B264" s="27" t="n"/>
      <c r="C264" s="27" t="n"/>
      <c r="D264" s="28" t="n"/>
      <c r="E264" s="29" t="n"/>
      <c r="F264" s="30" t="n"/>
      <c r="G264" s="31" t="n"/>
      <c r="H264" s="31" t="n"/>
      <c r="I264" s="31" t="n"/>
      <c r="J264" s="31" t="n"/>
      <c r="K264" s="31" t="n"/>
      <c r="L264" s="31" t="n"/>
      <c r="M264" s="31" t="n"/>
      <c r="N264" s="31" t="n"/>
      <c r="O264" s="31" t="n"/>
      <c r="P264" s="31" t="n"/>
      <c r="Q264" s="31" t="n"/>
      <c r="R264" s="31" t="n"/>
      <c r="S264" s="32">
        <f>IF($F264="","",IF(IFERROR(VLOOKUP($F264,'维度字典'!$I$2:$J$50,2,0),"求和")="手工录入","",IF(IFERROR(VLOOKUP($F264,'维度字典'!$I$2:$J$50,2,0),"求和")="最新值",IFERROR(LOOKUP(9.99E+307,G264:R264),""),SUM(G264:R264))))</f>
        <v/>
      </c>
      <c r="T264" s="33" t="n"/>
      <c r="U264" s="33" t="n"/>
    </row>
    <row r="265">
      <c r="A265" s="26">
        <f>IF($B265="","",ROW()-3)</f>
        <v/>
      </c>
      <c r="B265" s="27" t="n"/>
      <c r="C265" s="27" t="n"/>
      <c r="D265" s="28" t="n"/>
      <c r="E265" s="29" t="n"/>
      <c r="F265" s="30" t="n"/>
      <c r="G265" s="31" t="n"/>
      <c r="H265" s="31" t="n"/>
      <c r="I265" s="31" t="n"/>
      <c r="J265" s="31" t="n"/>
      <c r="K265" s="31" t="n"/>
      <c r="L265" s="31" t="n"/>
      <c r="M265" s="31" t="n"/>
      <c r="N265" s="31" t="n"/>
      <c r="O265" s="31" t="n"/>
      <c r="P265" s="31" t="n"/>
      <c r="Q265" s="31" t="n"/>
      <c r="R265" s="31" t="n"/>
      <c r="S265" s="32">
        <f>IF($F265="","",IF(IFERROR(VLOOKUP($F265,'维度字典'!$I$2:$J$50,2,0),"求和")="手工录入","",IF(IFERROR(VLOOKUP($F265,'维度字典'!$I$2:$J$50,2,0),"求和")="最新值",IFERROR(LOOKUP(9.99E+307,G265:R265),""),SUM(G265:R265))))</f>
        <v/>
      </c>
      <c r="T265" s="33" t="n"/>
      <c r="U265" s="33" t="n"/>
    </row>
    <row r="266">
      <c r="A266" s="26">
        <f>IF($B266="","",ROW()-3)</f>
        <v/>
      </c>
      <c r="B266" s="27" t="n"/>
      <c r="C266" s="27" t="n"/>
      <c r="D266" s="28" t="n"/>
      <c r="E266" s="29" t="n"/>
      <c r="F266" s="30" t="n"/>
      <c r="G266" s="31" t="n"/>
      <c r="H266" s="31" t="n"/>
      <c r="I266" s="31" t="n"/>
      <c r="J266" s="31" t="n"/>
      <c r="K266" s="31" t="n"/>
      <c r="L266" s="31" t="n"/>
      <c r="M266" s="31" t="n"/>
      <c r="N266" s="31" t="n"/>
      <c r="O266" s="31" t="n"/>
      <c r="P266" s="31" t="n"/>
      <c r="Q266" s="31" t="n"/>
      <c r="R266" s="31" t="n"/>
      <c r="S266" s="32">
        <f>IF($F266="","",IF(IFERROR(VLOOKUP($F266,'维度字典'!$I$2:$J$50,2,0),"求和")="手工录入","",IF(IFERROR(VLOOKUP($F266,'维度字典'!$I$2:$J$50,2,0),"求和")="最新值",IFERROR(LOOKUP(9.99E+307,G266:R266),""),SUM(G266:R266))))</f>
        <v/>
      </c>
      <c r="T266" s="33" t="n"/>
      <c r="U266" s="33" t="n"/>
    </row>
    <row r="267">
      <c r="A267" s="26">
        <f>IF($B267="","",ROW()-3)</f>
        <v/>
      </c>
      <c r="B267" s="27" t="n"/>
      <c r="C267" s="27" t="n"/>
      <c r="D267" s="28" t="n"/>
      <c r="E267" s="29" t="n"/>
      <c r="F267" s="30" t="n"/>
      <c r="G267" s="31" t="n"/>
      <c r="H267" s="31" t="n"/>
      <c r="I267" s="31" t="n"/>
      <c r="J267" s="31" t="n"/>
      <c r="K267" s="31" t="n"/>
      <c r="L267" s="31" t="n"/>
      <c r="M267" s="31" t="n"/>
      <c r="N267" s="31" t="n"/>
      <c r="O267" s="31" t="n"/>
      <c r="P267" s="31" t="n"/>
      <c r="Q267" s="31" t="n"/>
      <c r="R267" s="31" t="n"/>
      <c r="S267" s="32">
        <f>IF($F267="","",IF(IFERROR(VLOOKUP($F267,'维度字典'!$I$2:$J$50,2,0),"求和")="手工录入","",IF(IFERROR(VLOOKUP($F267,'维度字典'!$I$2:$J$50,2,0),"求和")="最新值",IFERROR(LOOKUP(9.99E+307,G267:R267),""),SUM(G267:R267))))</f>
        <v/>
      </c>
      <c r="T267" s="33" t="n"/>
      <c r="U267" s="33" t="n"/>
    </row>
    <row r="268">
      <c r="A268" s="26">
        <f>IF($B268="","",ROW()-3)</f>
        <v/>
      </c>
      <c r="B268" s="27" t="n"/>
      <c r="C268" s="27" t="n"/>
      <c r="D268" s="28" t="n"/>
      <c r="E268" s="29" t="n"/>
      <c r="F268" s="30" t="n"/>
      <c r="G268" s="31" t="n"/>
      <c r="H268" s="31" t="n"/>
      <c r="I268" s="31" t="n"/>
      <c r="J268" s="31" t="n"/>
      <c r="K268" s="31" t="n"/>
      <c r="L268" s="31" t="n"/>
      <c r="M268" s="31" t="n"/>
      <c r="N268" s="31" t="n"/>
      <c r="O268" s="31" t="n"/>
      <c r="P268" s="31" t="n"/>
      <c r="Q268" s="31" t="n"/>
      <c r="R268" s="31" t="n"/>
      <c r="S268" s="32">
        <f>IF($F268="","",IF(IFERROR(VLOOKUP($F268,'维度字典'!$I$2:$J$50,2,0),"求和")="手工录入","",IF(IFERROR(VLOOKUP($F268,'维度字典'!$I$2:$J$50,2,0),"求和")="最新值",IFERROR(LOOKUP(9.99E+307,G268:R268),""),SUM(G268:R268))))</f>
        <v/>
      </c>
      <c r="T268" s="33" t="n"/>
      <c r="U268" s="33" t="n"/>
    </row>
    <row r="269">
      <c r="A269" s="26">
        <f>IF($B269="","",ROW()-3)</f>
        <v/>
      </c>
      <c r="B269" s="27" t="n"/>
      <c r="C269" s="27" t="n"/>
      <c r="D269" s="28" t="n"/>
      <c r="E269" s="29" t="n"/>
      <c r="F269" s="30" t="n"/>
      <c r="G269" s="31" t="n"/>
      <c r="H269" s="31" t="n"/>
      <c r="I269" s="31" t="n"/>
      <c r="J269" s="31" t="n"/>
      <c r="K269" s="31" t="n"/>
      <c r="L269" s="31" t="n"/>
      <c r="M269" s="31" t="n"/>
      <c r="N269" s="31" t="n"/>
      <c r="O269" s="31" t="n"/>
      <c r="P269" s="31" t="n"/>
      <c r="Q269" s="31" t="n"/>
      <c r="R269" s="31" t="n"/>
      <c r="S269" s="32">
        <f>IF($F269="","",IF(IFERROR(VLOOKUP($F269,'维度字典'!$I$2:$J$50,2,0),"求和")="手工录入","",IF(IFERROR(VLOOKUP($F269,'维度字典'!$I$2:$J$50,2,0),"求和")="最新值",IFERROR(LOOKUP(9.99E+307,G269:R269),""),SUM(G269:R269))))</f>
        <v/>
      </c>
      <c r="T269" s="33" t="n"/>
      <c r="U269" s="33" t="n"/>
    </row>
    <row r="270">
      <c r="A270" s="26">
        <f>IF($B270="","",ROW()-3)</f>
        <v/>
      </c>
      <c r="B270" s="27" t="n"/>
      <c r="C270" s="27" t="n"/>
      <c r="D270" s="28" t="n"/>
      <c r="E270" s="29" t="n"/>
      <c r="F270" s="30" t="n"/>
      <c r="G270" s="31" t="n"/>
      <c r="H270" s="31" t="n"/>
      <c r="I270" s="31" t="n"/>
      <c r="J270" s="31" t="n"/>
      <c r="K270" s="31" t="n"/>
      <c r="L270" s="31" t="n"/>
      <c r="M270" s="31" t="n"/>
      <c r="N270" s="31" t="n"/>
      <c r="O270" s="31" t="n"/>
      <c r="P270" s="31" t="n"/>
      <c r="Q270" s="31" t="n"/>
      <c r="R270" s="31" t="n"/>
      <c r="S270" s="32">
        <f>IF($F270="","",IF(IFERROR(VLOOKUP($F270,'维度字典'!$I$2:$J$50,2,0),"求和")="手工录入","",IF(IFERROR(VLOOKUP($F270,'维度字典'!$I$2:$J$50,2,0),"求和")="最新值",IFERROR(LOOKUP(9.99E+307,G270:R270),""),SUM(G270:R270))))</f>
        <v/>
      </c>
      <c r="T270" s="33" t="n"/>
      <c r="U270" s="33" t="n"/>
    </row>
    <row r="271">
      <c r="A271" s="26">
        <f>IF($B271="","",ROW()-3)</f>
        <v/>
      </c>
      <c r="B271" s="27" t="n"/>
      <c r="C271" s="27" t="n"/>
      <c r="D271" s="28" t="n"/>
      <c r="E271" s="29" t="n"/>
      <c r="F271" s="30" t="n"/>
      <c r="G271" s="31" t="n"/>
      <c r="H271" s="31" t="n"/>
      <c r="I271" s="31" t="n"/>
      <c r="J271" s="31" t="n"/>
      <c r="K271" s="31" t="n"/>
      <c r="L271" s="31" t="n"/>
      <c r="M271" s="31" t="n"/>
      <c r="N271" s="31" t="n"/>
      <c r="O271" s="31" t="n"/>
      <c r="P271" s="31" t="n"/>
      <c r="Q271" s="31" t="n"/>
      <c r="R271" s="31" t="n"/>
      <c r="S271" s="32">
        <f>IF($F271="","",IF(IFERROR(VLOOKUP($F271,'维度字典'!$I$2:$J$50,2,0),"求和")="手工录入","",IF(IFERROR(VLOOKUP($F271,'维度字典'!$I$2:$J$50,2,0),"求和")="最新值",IFERROR(LOOKUP(9.99E+307,G271:R271),""),SUM(G271:R271))))</f>
        <v/>
      </c>
      <c r="T271" s="33" t="n"/>
      <c r="U271" s="33" t="n"/>
    </row>
    <row r="272">
      <c r="A272" s="26">
        <f>IF($B272="","",ROW()-3)</f>
        <v/>
      </c>
      <c r="B272" s="27" t="n"/>
      <c r="C272" s="27" t="n"/>
      <c r="D272" s="28" t="n"/>
      <c r="E272" s="29" t="n"/>
      <c r="F272" s="30" t="n"/>
      <c r="G272" s="31" t="n"/>
      <c r="H272" s="31" t="n"/>
      <c r="I272" s="31" t="n"/>
      <c r="J272" s="31" t="n"/>
      <c r="K272" s="31" t="n"/>
      <c r="L272" s="31" t="n"/>
      <c r="M272" s="31" t="n"/>
      <c r="N272" s="31" t="n"/>
      <c r="O272" s="31" t="n"/>
      <c r="P272" s="31" t="n"/>
      <c r="Q272" s="31" t="n"/>
      <c r="R272" s="31" t="n"/>
      <c r="S272" s="32">
        <f>IF($F272="","",IF(IFERROR(VLOOKUP($F272,'维度字典'!$I$2:$J$50,2,0),"求和")="手工录入","",IF(IFERROR(VLOOKUP($F272,'维度字典'!$I$2:$J$50,2,0),"求和")="最新值",IFERROR(LOOKUP(9.99E+307,G272:R272),""),SUM(G272:R272))))</f>
        <v/>
      </c>
      <c r="T272" s="33" t="n"/>
      <c r="U272" s="33" t="n"/>
    </row>
    <row r="273">
      <c r="A273" s="26">
        <f>IF($B273="","",ROW()-3)</f>
        <v/>
      </c>
      <c r="B273" s="27" t="n"/>
      <c r="C273" s="27" t="n"/>
      <c r="D273" s="28" t="n"/>
      <c r="E273" s="29" t="n"/>
      <c r="F273" s="30" t="n"/>
      <c r="G273" s="31" t="n"/>
      <c r="H273" s="31" t="n"/>
      <c r="I273" s="31" t="n"/>
      <c r="J273" s="31" t="n"/>
      <c r="K273" s="31" t="n"/>
      <c r="L273" s="31" t="n"/>
      <c r="M273" s="31" t="n"/>
      <c r="N273" s="31" t="n"/>
      <c r="O273" s="31" t="n"/>
      <c r="P273" s="31" t="n"/>
      <c r="Q273" s="31" t="n"/>
      <c r="R273" s="31" t="n"/>
      <c r="S273" s="32">
        <f>IF($F273="","",IF(IFERROR(VLOOKUP($F273,'维度字典'!$I$2:$J$50,2,0),"求和")="手工录入","",IF(IFERROR(VLOOKUP($F273,'维度字典'!$I$2:$J$50,2,0),"求和")="最新值",IFERROR(LOOKUP(9.99E+307,G273:R273),""),SUM(G273:R273))))</f>
        <v/>
      </c>
      <c r="T273" s="33" t="n"/>
      <c r="U273" s="33" t="n"/>
    </row>
    <row r="274">
      <c r="A274" s="26">
        <f>IF($B274="","",ROW()-3)</f>
        <v/>
      </c>
      <c r="B274" s="27" t="n"/>
      <c r="C274" s="27" t="n"/>
      <c r="D274" s="28" t="n"/>
      <c r="E274" s="29" t="n"/>
      <c r="F274" s="30" t="n"/>
      <c r="G274" s="31" t="n"/>
      <c r="H274" s="31" t="n"/>
      <c r="I274" s="31" t="n"/>
      <c r="J274" s="31" t="n"/>
      <c r="K274" s="31" t="n"/>
      <c r="L274" s="31" t="n"/>
      <c r="M274" s="31" t="n"/>
      <c r="N274" s="31" t="n"/>
      <c r="O274" s="31" t="n"/>
      <c r="P274" s="31" t="n"/>
      <c r="Q274" s="31" t="n"/>
      <c r="R274" s="31" t="n"/>
      <c r="S274" s="32">
        <f>IF($F274="","",IF(IFERROR(VLOOKUP($F274,'维度字典'!$I$2:$J$50,2,0),"求和")="手工录入","",IF(IFERROR(VLOOKUP($F274,'维度字典'!$I$2:$J$50,2,0),"求和")="最新值",IFERROR(LOOKUP(9.99E+307,G274:R274),""),SUM(G274:R274))))</f>
        <v/>
      </c>
      <c r="T274" s="33" t="n"/>
      <c r="U274" s="33" t="n"/>
    </row>
    <row r="275">
      <c r="A275" s="26">
        <f>IF($B275="","",ROW()-3)</f>
        <v/>
      </c>
      <c r="B275" s="27" t="n"/>
      <c r="C275" s="27" t="n"/>
      <c r="D275" s="28" t="n"/>
      <c r="E275" s="29" t="n"/>
      <c r="F275" s="30" t="n"/>
      <c r="G275" s="31" t="n"/>
      <c r="H275" s="31" t="n"/>
      <c r="I275" s="31" t="n"/>
      <c r="J275" s="31" t="n"/>
      <c r="K275" s="31" t="n"/>
      <c r="L275" s="31" t="n"/>
      <c r="M275" s="31" t="n"/>
      <c r="N275" s="31" t="n"/>
      <c r="O275" s="31" t="n"/>
      <c r="P275" s="31" t="n"/>
      <c r="Q275" s="31" t="n"/>
      <c r="R275" s="31" t="n"/>
      <c r="S275" s="32">
        <f>IF($F275="","",IF(IFERROR(VLOOKUP($F275,'维度字典'!$I$2:$J$50,2,0),"求和")="手工录入","",IF(IFERROR(VLOOKUP($F275,'维度字典'!$I$2:$J$50,2,0),"求和")="最新值",IFERROR(LOOKUP(9.99E+307,G275:R275),""),SUM(G275:R275))))</f>
        <v/>
      </c>
      <c r="T275" s="33" t="n"/>
      <c r="U275" s="33" t="n"/>
    </row>
    <row r="276">
      <c r="A276" s="26">
        <f>IF($B276="","",ROW()-3)</f>
        <v/>
      </c>
      <c r="B276" s="27" t="n"/>
      <c r="C276" s="27" t="n"/>
      <c r="D276" s="28" t="n"/>
      <c r="E276" s="29" t="n"/>
      <c r="F276" s="30" t="n"/>
      <c r="G276" s="31" t="n"/>
      <c r="H276" s="31" t="n"/>
      <c r="I276" s="31" t="n"/>
      <c r="J276" s="31" t="n"/>
      <c r="K276" s="31" t="n"/>
      <c r="L276" s="31" t="n"/>
      <c r="M276" s="31" t="n"/>
      <c r="N276" s="31" t="n"/>
      <c r="O276" s="31" t="n"/>
      <c r="P276" s="31" t="n"/>
      <c r="Q276" s="31" t="n"/>
      <c r="R276" s="31" t="n"/>
      <c r="S276" s="32">
        <f>IF($F276="","",IF(IFERROR(VLOOKUP($F276,'维度字典'!$I$2:$J$50,2,0),"求和")="手工录入","",IF(IFERROR(VLOOKUP($F276,'维度字典'!$I$2:$J$50,2,0),"求和")="最新值",IFERROR(LOOKUP(9.99E+307,G276:R276),""),SUM(G276:R276))))</f>
        <v/>
      </c>
      <c r="T276" s="33" t="n"/>
      <c r="U276" s="33" t="n"/>
    </row>
    <row r="277">
      <c r="A277" s="26">
        <f>IF($B277="","",ROW()-3)</f>
        <v/>
      </c>
      <c r="B277" s="27" t="n"/>
      <c r="C277" s="27" t="n"/>
      <c r="D277" s="28" t="n"/>
      <c r="E277" s="29" t="n"/>
      <c r="F277" s="30" t="n"/>
      <c r="G277" s="31" t="n"/>
      <c r="H277" s="31" t="n"/>
      <c r="I277" s="31" t="n"/>
      <c r="J277" s="31" t="n"/>
      <c r="K277" s="31" t="n"/>
      <c r="L277" s="31" t="n"/>
      <c r="M277" s="31" t="n"/>
      <c r="N277" s="31" t="n"/>
      <c r="O277" s="31" t="n"/>
      <c r="P277" s="31" t="n"/>
      <c r="Q277" s="31" t="n"/>
      <c r="R277" s="31" t="n"/>
      <c r="S277" s="32">
        <f>IF($F277="","",IF(IFERROR(VLOOKUP($F277,'维度字典'!$I$2:$J$50,2,0),"求和")="手工录入","",IF(IFERROR(VLOOKUP($F277,'维度字典'!$I$2:$J$50,2,0),"求和")="最新值",IFERROR(LOOKUP(9.99E+307,G277:R277),""),SUM(G277:R277))))</f>
        <v/>
      </c>
      <c r="T277" s="33" t="n"/>
      <c r="U277" s="33" t="n"/>
    </row>
    <row r="278">
      <c r="A278" s="26">
        <f>IF($B278="","",ROW()-3)</f>
        <v/>
      </c>
      <c r="B278" s="27" t="n"/>
      <c r="C278" s="27" t="n"/>
      <c r="D278" s="28" t="n"/>
      <c r="E278" s="29" t="n"/>
      <c r="F278" s="30" t="n"/>
      <c r="G278" s="31" t="n"/>
      <c r="H278" s="31" t="n"/>
      <c r="I278" s="31" t="n"/>
      <c r="J278" s="31" t="n"/>
      <c r="K278" s="31" t="n"/>
      <c r="L278" s="31" t="n"/>
      <c r="M278" s="31" t="n"/>
      <c r="N278" s="31" t="n"/>
      <c r="O278" s="31" t="n"/>
      <c r="P278" s="31" t="n"/>
      <c r="Q278" s="31" t="n"/>
      <c r="R278" s="31" t="n"/>
      <c r="S278" s="32">
        <f>IF($F278="","",IF(IFERROR(VLOOKUP($F278,'维度字典'!$I$2:$J$50,2,0),"求和")="手工录入","",IF(IFERROR(VLOOKUP($F278,'维度字典'!$I$2:$J$50,2,0),"求和")="最新值",IFERROR(LOOKUP(9.99E+307,G278:R278),""),SUM(G278:R278))))</f>
        <v/>
      </c>
      <c r="T278" s="33" t="n"/>
      <c r="U278" s="33" t="n"/>
    </row>
    <row r="279">
      <c r="A279" s="26">
        <f>IF($B279="","",ROW()-3)</f>
        <v/>
      </c>
      <c r="B279" s="27" t="n"/>
      <c r="C279" s="27" t="n"/>
      <c r="D279" s="28" t="n"/>
      <c r="E279" s="29" t="n"/>
      <c r="F279" s="30" t="n"/>
      <c r="G279" s="31" t="n"/>
      <c r="H279" s="31" t="n"/>
      <c r="I279" s="31" t="n"/>
      <c r="J279" s="31" t="n"/>
      <c r="K279" s="31" t="n"/>
      <c r="L279" s="31" t="n"/>
      <c r="M279" s="31" t="n"/>
      <c r="N279" s="31" t="n"/>
      <c r="O279" s="31" t="n"/>
      <c r="P279" s="31" t="n"/>
      <c r="Q279" s="31" t="n"/>
      <c r="R279" s="31" t="n"/>
      <c r="S279" s="32">
        <f>IF($F279="","",IF(IFERROR(VLOOKUP($F279,'维度字典'!$I$2:$J$50,2,0),"求和")="手工录入","",IF(IFERROR(VLOOKUP($F279,'维度字典'!$I$2:$J$50,2,0),"求和")="最新值",IFERROR(LOOKUP(9.99E+307,G279:R279),""),SUM(G279:R279))))</f>
        <v/>
      </c>
      <c r="T279" s="33" t="n"/>
      <c r="U279" s="33" t="n"/>
    </row>
    <row r="280">
      <c r="A280" s="26">
        <f>IF($B280="","",ROW()-3)</f>
        <v/>
      </c>
      <c r="B280" s="27" t="n"/>
      <c r="C280" s="27" t="n"/>
      <c r="D280" s="28" t="n"/>
      <c r="E280" s="29" t="n"/>
      <c r="F280" s="30" t="n"/>
      <c r="G280" s="31" t="n"/>
      <c r="H280" s="31" t="n"/>
      <c r="I280" s="31" t="n"/>
      <c r="J280" s="31" t="n"/>
      <c r="K280" s="31" t="n"/>
      <c r="L280" s="31" t="n"/>
      <c r="M280" s="31" t="n"/>
      <c r="N280" s="31" t="n"/>
      <c r="O280" s="31" t="n"/>
      <c r="P280" s="31" t="n"/>
      <c r="Q280" s="31" t="n"/>
      <c r="R280" s="31" t="n"/>
      <c r="S280" s="32">
        <f>IF($F280="","",IF(IFERROR(VLOOKUP($F280,'维度字典'!$I$2:$J$50,2,0),"求和")="手工录入","",IF(IFERROR(VLOOKUP($F280,'维度字典'!$I$2:$J$50,2,0),"求和")="最新值",IFERROR(LOOKUP(9.99E+307,G280:R280),""),SUM(G280:R280))))</f>
        <v/>
      </c>
      <c r="T280" s="33" t="n"/>
      <c r="U280" s="33" t="n"/>
    </row>
    <row r="281">
      <c r="A281" s="26">
        <f>IF($B281="","",ROW()-3)</f>
        <v/>
      </c>
      <c r="B281" s="27" t="n"/>
      <c r="C281" s="27" t="n"/>
      <c r="D281" s="28" t="n"/>
      <c r="E281" s="29" t="n"/>
      <c r="F281" s="30" t="n"/>
      <c r="G281" s="31" t="n"/>
      <c r="H281" s="31" t="n"/>
      <c r="I281" s="31" t="n"/>
      <c r="J281" s="31" t="n"/>
      <c r="K281" s="31" t="n"/>
      <c r="L281" s="31" t="n"/>
      <c r="M281" s="31" t="n"/>
      <c r="N281" s="31" t="n"/>
      <c r="O281" s="31" t="n"/>
      <c r="P281" s="31" t="n"/>
      <c r="Q281" s="31" t="n"/>
      <c r="R281" s="31" t="n"/>
      <c r="S281" s="32">
        <f>IF($F281="","",IF(IFERROR(VLOOKUP($F281,'维度字典'!$I$2:$J$50,2,0),"求和")="手工录入","",IF(IFERROR(VLOOKUP($F281,'维度字典'!$I$2:$J$50,2,0),"求和")="最新值",IFERROR(LOOKUP(9.99E+307,G281:R281),""),SUM(G281:R281))))</f>
        <v/>
      </c>
      <c r="T281" s="33" t="n"/>
      <c r="U281" s="33" t="n"/>
    </row>
    <row r="282">
      <c r="A282" s="26">
        <f>IF($B282="","",ROW()-3)</f>
        <v/>
      </c>
      <c r="B282" s="27" t="n"/>
      <c r="C282" s="27" t="n"/>
      <c r="D282" s="28" t="n"/>
      <c r="E282" s="29" t="n"/>
      <c r="F282" s="30" t="n"/>
      <c r="G282" s="31" t="n"/>
      <c r="H282" s="31" t="n"/>
      <c r="I282" s="31" t="n"/>
      <c r="J282" s="31" t="n"/>
      <c r="K282" s="31" t="n"/>
      <c r="L282" s="31" t="n"/>
      <c r="M282" s="31" t="n"/>
      <c r="N282" s="31" t="n"/>
      <c r="O282" s="31" t="n"/>
      <c r="P282" s="31" t="n"/>
      <c r="Q282" s="31" t="n"/>
      <c r="R282" s="31" t="n"/>
      <c r="S282" s="32">
        <f>IF($F282="","",IF(IFERROR(VLOOKUP($F282,'维度字典'!$I$2:$J$50,2,0),"求和")="手工录入","",IF(IFERROR(VLOOKUP($F282,'维度字典'!$I$2:$J$50,2,0),"求和")="最新值",IFERROR(LOOKUP(9.99E+307,G282:R282),""),SUM(G282:R282))))</f>
        <v/>
      </c>
      <c r="T282" s="33" t="n"/>
      <c r="U282" s="33" t="n"/>
    </row>
    <row r="283">
      <c r="A283" s="26">
        <f>IF($B283="","",ROW()-3)</f>
        <v/>
      </c>
      <c r="B283" s="27" t="n"/>
      <c r="C283" s="27" t="n"/>
      <c r="D283" s="28" t="n"/>
      <c r="E283" s="29" t="n"/>
      <c r="F283" s="30" t="n"/>
      <c r="G283" s="31" t="n"/>
      <c r="H283" s="31" t="n"/>
      <c r="I283" s="31" t="n"/>
      <c r="J283" s="31" t="n"/>
      <c r="K283" s="31" t="n"/>
      <c r="L283" s="31" t="n"/>
      <c r="M283" s="31" t="n"/>
      <c r="N283" s="31" t="n"/>
      <c r="O283" s="31" t="n"/>
      <c r="P283" s="31" t="n"/>
      <c r="Q283" s="31" t="n"/>
      <c r="R283" s="31" t="n"/>
      <c r="S283" s="32">
        <f>IF($F283="","",IF(IFERROR(VLOOKUP($F283,'维度字典'!$I$2:$J$50,2,0),"求和")="手工录入","",IF(IFERROR(VLOOKUP($F283,'维度字典'!$I$2:$J$50,2,0),"求和")="最新值",IFERROR(LOOKUP(9.99E+307,G283:R283),""),SUM(G283:R283))))</f>
        <v/>
      </c>
      <c r="T283" s="33" t="n"/>
      <c r="U283" s="33" t="n"/>
    </row>
    <row r="284">
      <c r="A284" s="26">
        <f>IF($B284="","",ROW()-3)</f>
        <v/>
      </c>
      <c r="B284" s="27" t="n"/>
      <c r="C284" s="27" t="n"/>
      <c r="D284" s="28" t="n"/>
      <c r="E284" s="29" t="n"/>
      <c r="F284" s="30" t="n"/>
      <c r="G284" s="31" t="n"/>
      <c r="H284" s="31" t="n"/>
      <c r="I284" s="31" t="n"/>
      <c r="J284" s="31" t="n"/>
      <c r="K284" s="31" t="n"/>
      <c r="L284" s="31" t="n"/>
      <c r="M284" s="31" t="n"/>
      <c r="N284" s="31" t="n"/>
      <c r="O284" s="31" t="n"/>
      <c r="P284" s="31" t="n"/>
      <c r="Q284" s="31" t="n"/>
      <c r="R284" s="31" t="n"/>
      <c r="S284" s="32">
        <f>IF($F284="","",IF(IFERROR(VLOOKUP($F284,'维度字典'!$I$2:$J$50,2,0),"求和")="手工录入","",IF(IFERROR(VLOOKUP($F284,'维度字典'!$I$2:$J$50,2,0),"求和")="最新值",IFERROR(LOOKUP(9.99E+307,G284:R284),""),SUM(G284:R284))))</f>
        <v/>
      </c>
      <c r="T284" s="33" t="n"/>
      <c r="U284" s="33" t="n"/>
    </row>
    <row r="285">
      <c r="A285" s="26">
        <f>IF($B285="","",ROW()-3)</f>
        <v/>
      </c>
      <c r="B285" s="27" t="n"/>
      <c r="C285" s="27" t="n"/>
      <c r="D285" s="28" t="n"/>
      <c r="E285" s="29" t="n"/>
      <c r="F285" s="30" t="n"/>
      <c r="G285" s="31" t="n"/>
      <c r="H285" s="31" t="n"/>
      <c r="I285" s="31" t="n"/>
      <c r="J285" s="31" t="n"/>
      <c r="K285" s="31" t="n"/>
      <c r="L285" s="31" t="n"/>
      <c r="M285" s="31" t="n"/>
      <c r="N285" s="31" t="n"/>
      <c r="O285" s="31" t="n"/>
      <c r="P285" s="31" t="n"/>
      <c r="Q285" s="31" t="n"/>
      <c r="R285" s="31" t="n"/>
      <c r="S285" s="32">
        <f>IF($F285="","",IF(IFERROR(VLOOKUP($F285,'维度字典'!$I$2:$J$50,2,0),"求和")="手工录入","",IF(IFERROR(VLOOKUP($F285,'维度字典'!$I$2:$J$50,2,0),"求和")="最新值",IFERROR(LOOKUP(9.99E+307,G285:R285),""),SUM(G285:R285))))</f>
        <v/>
      </c>
      <c r="T285" s="33" t="n"/>
      <c r="U285" s="33" t="n"/>
    </row>
    <row r="286">
      <c r="A286" s="26">
        <f>IF($B286="","",ROW()-3)</f>
        <v/>
      </c>
      <c r="B286" s="27" t="n"/>
      <c r="C286" s="27" t="n"/>
      <c r="D286" s="28" t="n"/>
      <c r="E286" s="29" t="n"/>
      <c r="F286" s="30" t="n"/>
      <c r="G286" s="31" t="n"/>
      <c r="H286" s="31" t="n"/>
      <c r="I286" s="31" t="n"/>
      <c r="J286" s="31" t="n"/>
      <c r="K286" s="31" t="n"/>
      <c r="L286" s="31" t="n"/>
      <c r="M286" s="31" t="n"/>
      <c r="N286" s="31" t="n"/>
      <c r="O286" s="31" t="n"/>
      <c r="P286" s="31" t="n"/>
      <c r="Q286" s="31" t="n"/>
      <c r="R286" s="31" t="n"/>
      <c r="S286" s="32">
        <f>IF($F286="","",IF(IFERROR(VLOOKUP($F286,'维度字典'!$I$2:$J$50,2,0),"求和")="手工录入","",IF(IFERROR(VLOOKUP($F286,'维度字典'!$I$2:$J$50,2,0),"求和")="最新值",IFERROR(LOOKUP(9.99E+307,G286:R286),""),SUM(G286:R286))))</f>
        <v/>
      </c>
      <c r="T286" s="33" t="n"/>
      <c r="U286" s="33" t="n"/>
    </row>
    <row r="287">
      <c r="A287" s="26">
        <f>IF($B287="","",ROW()-3)</f>
        <v/>
      </c>
      <c r="B287" s="27" t="n"/>
      <c r="C287" s="27" t="n"/>
      <c r="D287" s="28" t="n"/>
      <c r="E287" s="29" t="n"/>
      <c r="F287" s="30" t="n"/>
      <c r="G287" s="31" t="n"/>
      <c r="H287" s="31" t="n"/>
      <c r="I287" s="31" t="n"/>
      <c r="J287" s="31" t="n"/>
      <c r="K287" s="31" t="n"/>
      <c r="L287" s="31" t="n"/>
      <c r="M287" s="31" t="n"/>
      <c r="N287" s="31" t="n"/>
      <c r="O287" s="31" t="n"/>
      <c r="P287" s="31" t="n"/>
      <c r="Q287" s="31" t="n"/>
      <c r="R287" s="31" t="n"/>
      <c r="S287" s="32">
        <f>IF($F287="","",IF(IFERROR(VLOOKUP($F287,'维度字典'!$I$2:$J$50,2,0),"求和")="手工录入","",IF(IFERROR(VLOOKUP($F287,'维度字典'!$I$2:$J$50,2,0),"求和")="最新值",IFERROR(LOOKUP(9.99E+307,G287:R287),""),SUM(G287:R287))))</f>
        <v/>
      </c>
      <c r="T287" s="33" t="n"/>
      <c r="U287" s="33" t="n"/>
    </row>
    <row r="288">
      <c r="A288" s="26">
        <f>IF($B288="","",ROW()-3)</f>
        <v/>
      </c>
      <c r="B288" s="27" t="n"/>
      <c r="C288" s="27" t="n"/>
      <c r="D288" s="28" t="n"/>
      <c r="E288" s="29" t="n"/>
      <c r="F288" s="30" t="n"/>
      <c r="G288" s="31" t="n"/>
      <c r="H288" s="31" t="n"/>
      <c r="I288" s="31" t="n"/>
      <c r="J288" s="31" t="n"/>
      <c r="K288" s="31" t="n"/>
      <c r="L288" s="31" t="n"/>
      <c r="M288" s="31" t="n"/>
      <c r="N288" s="31" t="n"/>
      <c r="O288" s="31" t="n"/>
      <c r="P288" s="31" t="n"/>
      <c r="Q288" s="31" t="n"/>
      <c r="R288" s="31" t="n"/>
      <c r="S288" s="32">
        <f>IF($F288="","",IF(IFERROR(VLOOKUP($F288,'维度字典'!$I$2:$J$50,2,0),"求和")="手工录入","",IF(IFERROR(VLOOKUP($F288,'维度字典'!$I$2:$J$50,2,0),"求和")="最新值",IFERROR(LOOKUP(9.99E+307,G288:R288),""),SUM(G288:R288))))</f>
        <v/>
      </c>
      <c r="T288" s="33" t="n"/>
      <c r="U288" s="33" t="n"/>
    </row>
    <row r="289">
      <c r="A289" s="26">
        <f>IF($B289="","",ROW()-3)</f>
        <v/>
      </c>
      <c r="B289" s="27" t="n"/>
      <c r="C289" s="27" t="n"/>
      <c r="D289" s="28" t="n"/>
      <c r="E289" s="29" t="n"/>
      <c r="F289" s="30" t="n"/>
      <c r="G289" s="31" t="n"/>
      <c r="H289" s="31" t="n"/>
      <c r="I289" s="31" t="n"/>
      <c r="J289" s="31" t="n"/>
      <c r="K289" s="31" t="n"/>
      <c r="L289" s="31" t="n"/>
      <c r="M289" s="31" t="n"/>
      <c r="N289" s="31" t="n"/>
      <c r="O289" s="31" t="n"/>
      <c r="P289" s="31" t="n"/>
      <c r="Q289" s="31" t="n"/>
      <c r="R289" s="31" t="n"/>
      <c r="S289" s="32">
        <f>IF($F289="","",IF(IFERROR(VLOOKUP($F289,'维度字典'!$I$2:$J$50,2,0),"求和")="手工录入","",IF(IFERROR(VLOOKUP($F289,'维度字典'!$I$2:$J$50,2,0),"求和")="最新值",IFERROR(LOOKUP(9.99E+307,G289:R289),""),SUM(G289:R289))))</f>
        <v/>
      </c>
      <c r="T289" s="33" t="n"/>
      <c r="U289" s="33" t="n"/>
    </row>
    <row r="290">
      <c r="A290" s="26">
        <f>IF($B290="","",ROW()-3)</f>
        <v/>
      </c>
      <c r="B290" s="27" t="n"/>
      <c r="C290" s="27" t="n"/>
      <c r="D290" s="28" t="n"/>
      <c r="E290" s="29" t="n"/>
      <c r="F290" s="30" t="n"/>
      <c r="G290" s="31" t="n"/>
      <c r="H290" s="31" t="n"/>
      <c r="I290" s="31" t="n"/>
      <c r="J290" s="31" t="n"/>
      <c r="K290" s="31" t="n"/>
      <c r="L290" s="31" t="n"/>
      <c r="M290" s="31" t="n"/>
      <c r="N290" s="31" t="n"/>
      <c r="O290" s="31" t="n"/>
      <c r="P290" s="31" t="n"/>
      <c r="Q290" s="31" t="n"/>
      <c r="R290" s="31" t="n"/>
      <c r="S290" s="32">
        <f>IF($F290="","",IF(IFERROR(VLOOKUP($F290,'维度字典'!$I$2:$J$50,2,0),"求和")="手工录入","",IF(IFERROR(VLOOKUP($F290,'维度字典'!$I$2:$J$50,2,0),"求和")="最新值",IFERROR(LOOKUP(9.99E+307,G290:R290),""),SUM(G290:R290))))</f>
        <v/>
      </c>
      <c r="T290" s="33" t="n"/>
      <c r="U290" s="33" t="n"/>
    </row>
    <row r="291">
      <c r="A291" s="26">
        <f>IF($B291="","",ROW()-3)</f>
        <v/>
      </c>
      <c r="B291" s="27" t="n"/>
      <c r="C291" s="27" t="n"/>
      <c r="D291" s="28" t="n"/>
      <c r="E291" s="29" t="n"/>
      <c r="F291" s="30" t="n"/>
      <c r="G291" s="31" t="n"/>
      <c r="H291" s="31" t="n"/>
      <c r="I291" s="31" t="n"/>
      <c r="J291" s="31" t="n"/>
      <c r="K291" s="31" t="n"/>
      <c r="L291" s="31" t="n"/>
      <c r="M291" s="31" t="n"/>
      <c r="N291" s="31" t="n"/>
      <c r="O291" s="31" t="n"/>
      <c r="P291" s="31" t="n"/>
      <c r="Q291" s="31" t="n"/>
      <c r="R291" s="31" t="n"/>
      <c r="S291" s="32">
        <f>IF($F291="","",IF(IFERROR(VLOOKUP($F291,'维度字典'!$I$2:$J$50,2,0),"求和")="手工录入","",IF(IFERROR(VLOOKUP($F291,'维度字典'!$I$2:$J$50,2,0),"求和")="最新值",IFERROR(LOOKUP(9.99E+307,G291:R291),""),SUM(G291:R291))))</f>
        <v/>
      </c>
      <c r="T291" s="33" t="n"/>
      <c r="U291" s="33" t="n"/>
    </row>
    <row r="292">
      <c r="A292" s="26">
        <f>IF($B292="","",ROW()-3)</f>
        <v/>
      </c>
      <c r="B292" s="27" t="n"/>
      <c r="C292" s="27" t="n"/>
      <c r="D292" s="28" t="n"/>
      <c r="E292" s="29" t="n"/>
      <c r="F292" s="30" t="n"/>
      <c r="G292" s="31" t="n"/>
      <c r="H292" s="31" t="n"/>
      <c r="I292" s="31" t="n"/>
      <c r="J292" s="31" t="n"/>
      <c r="K292" s="31" t="n"/>
      <c r="L292" s="31" t="n"/>
      <c r="M292" s="31" t="n"/>
      <c r="N292" s="31" t="n"/>
      <c r="O292" s="31" t="n"/>
      <c r="P292" s="31" t="n"/>
      <c r="Q292" s="31" t="n"/>
      <c r="R292" s="31" t="n"/>
      <c r="S292" s="32">
        <f>IF($F292="","",IF(IFERROR(VLOOKUP($F292,'维度字典'!$I$2:$J$50,2,0),"求和")="手工录入","",IF(IFERROR(VLOOKUP($F292,'维度字典'!$I$2:$J$50,2,0),"求和")="最新值",IFERROR(LOOKUP(9.99E+307,G292:R292),""),SUM(G292:R292))))</f>
        <v/>
      </c>
      <c r="T292" s="33" t="n"/>
      <c r="U292" s="33" t="n"/>
    </row>
    <row r="293">
      <c r="A293" s="26">
        <f>IF($B293="","",ROW()-3)</f>
        <v/>
      </c>
      <c r="B293" s="27" t="n"/>
      <c r="C293" s="27" t="n"/>
      <c r="D293" s="28" t="n"/>
      <c r="E293" s="29" t="n"/>
      <c r="F293" s="30" t="n"/>
      <c r="G293" s="31" t="n"/>
      <c r="H293" s="31" t="n"/>
      <c r="I293" s="31" t="n"/>
      <c r="J293" s="31" t="n"/>
      <c r="K293" s="31" t="n"/>
      <c r="L293" s="31" t="n"/>
      <c r="M293" s="31" t="n"/>
      <c r="N293" s="31" t="n"/>
      <c r="O293" s="31" t="n"/>
      <c r="P293" s="31" t="n"/>
      <c r="Q293" s="31" t="n"/>
      <c r="R293" s="31" t="n"/>
      <c r="S293" s="32">
        <f>IF($F293="","",IF(IFERROR(VLOOKUP($F293,'维度字典'!$I$2:$J$50,2,0),"求和")="手工录入","",IF(IFERROR(VLOOKUP($F293,'维度字典'!$I$2:$J$50,2,0),"求和")="最新值",IFERROR(LOOKUP(9.99E+307,G293:R293),""),SUM(G293:R293))))</f>
        <v/>
      </c>
      <c r="T293" s="33" t="n"/>
      <c r="U293" s="33" t="n"/>
    </row>
    <row r="294">
      <c r="A294" s="26">
        <f>IF($B294="","",ROW()-3)</f>
        <v/>
      </c>
      <c r="B294" s="27" t="n"/>
      <c r="C294" s="27" t="n"/>
      <c r="D294" s="28" t="n"/>
      <c r="E294" s="29" t="n"/>
      <c r="F294" s="30" t="n"/>
      <c r="G294" s="31" t="n"/>
      <c r="H294" s="31" t="n"/>
      <c r="I294" s="31" t="n"/>
      <c r="J294" s="31" t="n"/>
      <c r="K294" s="31" t="n"/>
      <c r="L294" s="31" t="n"/>
      <c r="M294" s="31" t="n"/>
      <c r="N294" s="31" t="n"/>
      <c r="O294" s="31" t="n"/>
      <c r="P294" s="31" t="n"/>
      <c r="Q294" s="31" t="n"/>
      <c r="R294" s="31" t="n"/>
      <c r="S294" s="32">
        <f>IF($F294="","",IF(IFERROR(VLOOKUP($F294,'维度字典'!$I$2:$J$50,2,0),"求和")="手工录入","",IF(IFERROR(VLOOKUP($F294,'维度字典'!$I$2:$J$50,2,0),"求和")="最新值",IFERROR(LOOKUP(9.99E+307,G294:R294),""),SUM(G294:R294))))</f>
        <v/>
      </c>
      <c r="T294" s="33" t="n"/>
      <c r="U294" s="33" t="n"/>
    </row>
    <row r="295">
      <c r="A295" s="26">
        <f>IF($B295="","",ROW()-3)</f>
        <v/>
      </c>
      <c r="B295" s="27" t="n"/>
      <c r="C295" s="27" t="n"/>
      <c r="D295" s="28" t="n"/>
      <c r="E295" s="29" t="n"/>
      <c r="F295" s="30" t="n"/>
      <c r="G295" s="31" t="n"/>
      <c r="H295" s="31" t="n"/>
      <c r="I295" s="31" t="n"/>
      <c r="J295" s="31" t="n"/>
      <c r="K295" s="31" t="n"/>
      <c r="L295" s="31" t="n"/>
      <c r="M295" s="31" t="n"/>
      <c r="N295" s="31" t="n"/>
      <c r="O295" s="31" t="n"/>
      <c r="P295" s="31" t="n"/>
      <c r="Q295" s="31" t="n"/>
      <c r="R295" s="31" t="n"/>
      <c r="S295" s="32">
        <f>IF($F295="","",IF(IFERROR(VLOOKUP($F295,'维度字典'!$I$2:$J$50,2,0),"求和")="手工录入","",IF(IFERROR(VLOOKUP($F295,'维度字典'!$I$2:$J$50,2,0),"求和")="最新值",IFERROR(LOOKUP(9.99E+307,G295:R295),""),SUM(G295:R295))))</f>
        <v/>
      </c>
      <c r="T295" s="33" t="n"/>
      <c r="U295" s="33" t="n"/>
    </row>
    <row r="296">
      <c r="A296" s="26">
        <f>IF($B296="","",ROW()-3)</f>
        <v/>
      </c>
      <c r="B296" s="27" t="n"/>
      <c r="C296" s="27" t="n"/>
      <c r="D296" s="28" t="n"/>
      <c r="E296" s="29" t="n"/>
      <c r="F296" s="30" t="n"/>
      <c r="G296" s="31" t="n"/>
      <c r="H296" s="31" t="n"/>
      <c r="I296" s="31" t="n"/>
      <c r="J296" s="31" t="n"/>
      <c r="K296" s="31" t="n"/>
      <c r="L296" s="31" t="n"/>
      <c r="M296" s="31" t="n"/>
      <c r="N296" s="31" t="n"/>
      <c r="O296" s="31" t="n"/>
      <c r="P296" s="31" t="n"/>
      <c r="Q296" s="31" t="n"/>
      <c r="R296" s="31" t="n"/>
      <c r="S296" s="32">
        <f>IF($F296="","",IF(IFERROR(VLOOKUP($F296,'维度字典'!$I$2:$J$50,2,0),"求和")="手工录入","",IF(IFERROR(VLOOKUP($F296,'维度字典'!$I$2:$J$50,2,0),"求和")="最新值",IFERROR(LOOKUP(9.99E+307,G296:R296),""),SUM(G296:R296))))</f>
        <v/>
      </c>
      <c r="T296" s="33" t="n"/>
      <c r="U296" s="33" t="n"/>
    </row>
    <row r="297">
      <c r="A297" s="26">
        <f>IF($B297="","",ROW()-3)</f>
        <v/>
      </c>
      <c r="B297" s="27" t="n"/>
      <c r="C297" s="27" t="n"/>
      <c r="D297" s="28" t="n"/>
      <c r="E297" s="29" t="n"/>
      <c r="F297" s="30" t="n"/>
      <c r="G297" s="31" t="n"/>
      <c r="H297" s="31" t="n"/>
      <c r="I297" s="31" t="n"/>
      <c r="J297" s="31" t="n"/>
      <c r="K297" s="31" t="n"/>
      <c r="L297" s="31" t="n"/>
      <c r="M297" s="31" t="n"/>
      <c r="N297" s="31" t="n"/>
      <c r="O297" s="31" t="n"/>
      <c r="P297" s="31" t="n"/>
      <c r="Q297" s="31" t="n"/>
      <c r="R297" s="31" t="n"/>
      <c r="S297" s="32">
        <f>IF($F297="","",IF(IFERROR(VLOOKUP($F297,'维度字典'!$I$2:$J$50,2,0),"求和")="手工录入","",IF(IFERROR(VLOOKUP($F297,'维度字典'!$I$2:$J$50,2,0),"求和")="最新值",IFERROR(LOOKUP(9.99E+307,G297:R297),""),SUM(G297:R297))))</f>
        <v/>
      </c>
      <c r="T297" s="33" t="n"/>
      <c r="U297" s="33" t="n"/>
    </row>
    <row r="298">
      <c r="A298" s="26">
        <f>IF($B298="","",ROW()-3)</f>
        <v/>
      </c>
      <c r="B298" s="27" t="n"/>
      <c r="C298" s="27" t="n"/>
      <c r="D298" s="28" t="n"/>
      <c r="E298" s="29" t="n"/>
      <c r="F298" s="30" t="n"/>
      <c r="G298" s="31" t="n"/>
      <c r="H298" s="31" t="n"/>
      <c r="I298" s="31" t="n"/>
      <c r="J298" s="31" t="n"/>
      <c r="K298" s="31" t="n"/>
      <c r="L298" s="31" t="n"/>
      <c r="M298" s="31" t="n"/>
      <c r="N298" s="31" t="n"/>
      <c r="O298" s="31" t="n"/>
      <c r="P298" s="31" t="n"/>
      <c r="Q298" s="31" t="n"/>
      <c r="R298" s="31" t="n"/>
      <c r="S298" s="32">
        <f>IF($F298="","",IF(IFERROR(VLOOKUP($F298,'维度字典'!$I$2:$J$50,2,0),"求和")="手工录入","",IF(IFERROR(VLOOKUP($F298,'维度字典'!$I$2:$J$50,2,0),"求和")="最新值",IFERROR(LOOKUP(9.99E+307,G298:R298),""),SUM(G298:R298))))</f>
        <v/>
      </c>
      <c r="T298" s="33" t="n"/>
      <c r="U298" s="33" t="n"/>
    </row>
    <row r="299">
      <c r="A299" s="26">
        <f>IF($B299="","",ROW()-3)</f>
        <v/>
      </c>
      <c r="B299" s="27" t="n"/>
      <c r="C299" s="27" t="n"/>
      <c r="D299" s="28" t="n"/>
      <c r="E299" s="29" t="n"/>
      <c r="F299" s="30" t="n"/>
      <c r="G299" s="31" t="n"/>
      <c r="H299" s="31" t="n"/>
      <c r="I299" s="31" t="n"/>
      <c r="J299" s="31" t="n"/>
      <c r="K299" s="31" t="n"/>
      <c r="L299" s="31" t="n"/>
      <c r="M299" s="31" t="n"/>
      <c r="N299" s="31" t="n"/>
      <c r="O299" s="31" t="n"/>
      <c r="P299" s="31" t="n"/>
      <c r="Q299" s="31" t="n"/>
      <c r="R299" s="31" t="n"/>
      <c r="S299" s="32">
        <f>IF($F299="","",IF(IFERROR(VLOOKUP($F299,'维度字典'!$I$2:$J$50,2,0),"求和")="手工录入","",IF(IFERROR(VLOOKUP($F299,'维度字典'!$I$2:$J$50,2,0),"求和")="最新值",IFERROR(LOOKUP(9.99E+307,G299:R299),""),SUM(G299:R299))))</f>
        <v/>
      </c>
      <c r="T299" s="33" t="n"/>
      <c r="U299" s="33" t="n"/>
    </row>
    <row r="300">
      <c r="A300" s="26">
        <f>IF($B300="","",ROW()-3)</f>
        <v/>
      </c>
      <c r="B300" s="27" t="n"/>
      <c r="C300" s="27" t="n"/>
      <c r="D300" s="28" t="n"/>
      <c r="E300" s="29" t="n"/>
      <c r="F300" s="30" t="n"/>
      <c r="G300" s="31" t="n"/>
      <c r="H300" s="31" t="n"/>
      <c r="I300" s="31" t="n"/>
      <c r="J300" s="31" t="n"/>
      <c r="K300" s="31" t="n"/>
      <c r="L300" s="31" t="n"/>
      <c r="M300" s="31" t="n"/>
      <c r="N300" s="31" t="n"/>
      <c r="O300" s="31" t="n"/>
      <c r="P300" s="31" t="n"/>
      <c r="Q300" s="31" t="n"/>
      <c r="R300" s="31" t="n"/>
      <c r="S300" s="32">
        <f>IF($F300="","",IF(IFERROR(VLOOKUP($F300,'维度字典'!$I$2:$J$50,2,0),"求和")="手工录入","",IF(IFERROR(VLOOKUP($F300,'维度字典'!$I$2:$J$50,2,0),"求和")="最新值",IFERROR(LOOKUP(9.99E+307,G300:R300),""),SUM(G300:R300))))</f>
        <v/>
      </c>
      <c r="T300" s="33" t="n"/>
      <c r="U300" s="33" t="n"/>
    </row>
    <row r="301">
      <c r="A301" s="26">
        <f>IF($B301="","",ROW()-3)</f>
        <v/>
      </c>
      <c r="B301" s="27" t="n"/>
      <c r="C301" s="27" t="n"/>
      <c r="D301" s="28" t="n"/>
      <c r="E301" s="29" t="n"/>
      <c r="F301" s="30" t="n"/>
      <c r="G301" s="31" t="n"/>
      <c r="H301" s="31" t="n"/>
      <c r="I301" s="31" t="n"/>
      <c r="J301" s="31" t="n"/>
      <c r="K301" s="31" t="n"/>
      <c r="L301" s="31" t="n"/>
      <c r="M301" s="31" t="n"/>
      <c r="N301" s="31" t="n"/>
      <c r="O301" s="31" t="n"/>
      <c r="P301" s="31" t="n"/>
      <c r="Q301" s="31" t="n"/>
      <c r="R301" s="31" t="n"/>
      <c r="S301" s="32">
        <f>IF($F301="","",IF(IFERROR(VLOOKUP($F301,'维度字典'!$I$2:$J$50,2,0),"求和")="手工录入","",IF(IFERROR(VLOOKUP($F301,'维度字典'!$I$2:$J$50,2,0),"求和")="最新值",IFERROR(LOOKUP(9.99E+307,G301:R301),""),SUM(G301:R301))))</f>
        <v/>
      </c>
      <c r="T301" s="33" t="n"/>
      <c r="U301" s="33" t="n"/>
    </row>
    <row r="302">
      <c r="A302" s="26">
        <f>IF($B302="","",ROW()-3)</f>
        <v/>
      </c>
      <c r="B302" s="27" t="n"/>
      <c r="C302" s="27" t="n"/>
      <c r="D302" s="28" t="n"/>
      <c r="E302" s="29" t="n"/>
      <c r="F302" s="30" t="n"/>
      <c r="G302" s="31" t="n"/>
      <c r="H302" s="31" t="n"/>
      <c r="I302" s="31" t="n"/>
      <c r="J302" s="31" t="n"/>
      <c r="K302" s="31" t="n"/>
      <c r="L302" s="31" t="n"/>
      <c r="M302" s="31" t="n"/>
      <c r="N302" s="31" t="n"/>
      <c r="O302" s="31" t="n"/>
      <c r="P302" s="31" t="n"/>
      <c r="Q302" s="31" t="n"/>
      <c r="R302" s="31" t="n"/>
      <c r="S302" s="32">
        <f>IF($F302="","",IF(IFERROR(VLOOKUP($F302,'维度字典'!$I$2:$J$50,2,0),"求和")="手工录入","",IF(IFERROR(VLOOKUP($F302,'维度字典'!$I$2:$J$50,2,0),"求和")="最新值",IFERROR(LOOKUP(9.99E+307,G302:R302),""),SUM(G302:R302))))</f>
        <v/>
      </c>
      <c r="T302" s="33" t="n"/>
      <c r="U302" s="33" t="n"/>
    </row>
    <row r="303">
      <c r="A303" s="26">
        <f>IF($B303="","",ROW()-3)</f>
        <v/>
      </c>
      <c r="B303" s="27" t="n"/>
      <c r="C303" s="27" t="n"/>
      <c r="D303" s="28" t="n"/>
      <c r="E303" s="29" t="n"/>
      <c r="F303" s="30" t="n"/>
      <c r="G303" s="31" t="n"/>
      <c r="H303" s="31" t="n"/>
      <c r="I303" s="31" t="n"/>
      <c r="J303" s="31" t="n"/>
      <c r="K303" s="31" t="n"/>
      <c r="L303" s="31" t="n"/>
      <c r="M303" s="31" t="n"/>
      <c r="N303" s="31" t="n"/>
      <c r="O303" s="31" t="n"/>
      <c r="P303" s="31" t="n"/>
      <c r="Q303" s="31" t="n"/>
      <c r="R303" s="31" t="n"/>
      <c r="S303" s="32">
        <f>IF($F303="","",IF(IFERROR(VLOOKUP($F303,'维度字典'!$I$2:$J$50,2,0),"求和")="手工录入","",IF(IFERROR(VLOOKUP($F303,'维度字典'!$I$2:$J$50,2,0),"求和")="最新值",IFERROR(LOOKUP(9.99E+307,G303:R303),""),SUM(G303:R303))))</f>
        <v/>
      </c>
      <c r="T303" s="33" t="n"/>
      <c r="U303" s="33" t="n"/>
    </row>
    <row r="304">
      <c r="A304" s="26">
        <f>IF($B304="","",ROW()-3)</f>
        <v/>
      </c>
      <c r="B304" s="27" t="n"/>
      <c r="C304" s="27" t="n"/>
      <c r="D304" s="28" t="n"/>
      <c r="E304" s="29" t="n"/>
      <c r="F304" s="30" t="n"/>
      <c r="G304" s="31" t="n"/>
      <c r="H304" s="31" t="n"/>
      <c r="I304" s="31" t="n"/>
      <c r="J304" s="31" t="n"/>
      <c r="K304" s="31" t="n"/>
      <c r="L304" s="31" t="n"/>
      <c r="M304" s="31" t="n"/>
      <c r="N304" s="31" t="n"/>
      <c r="O304" s="31" t="n"/>
      <c r="P304" s="31" t="n"/>
      <c r="Q304" s="31" t="n"/>
      <c r="R304" s="31" t="n"/>
      <c r="S304" s="32">
        <f>IF($F304="","",IF(IFERROR(VLOOKUP($F304,'维度字典'!$I$2:$J$50,2,0),"求和")="手工录入","",IF(IFERROR(VLOOKUP($F304,'维度字典'!$I$2:$J$50,2,0),"求和")="最新值",IFERROR(LOOKUP(9.99E+307,G304:R304),""),SUM(G304:R304))))</f>
        <v/>
      </c>
      <c r="T304" s="33" t="n"/>
      <c r="U304" s="33" t="n"/>
    </row>
    <row r="305">
      <c r="A305" s="26">
        <f>IF($B305="","",ROW()-3)</f>
        <v/>
      </c>
      <c r="B305" s="27" t="n"/>
      <c r="C305" s="27" t="n"/>
      <c r="D305" s="28" t="n"/>
      <c r="E305" s="29" t="n"/>
      <c r="F305" s="30" t="n"/>
      <c r="G305" s="31" t="n"/>
      <c r="H305" s="31" t="n"/>
      <c r="I305" s="31" t="n"/>
      <c r="J305" s="31" t="n"/>
      <c r="K305" s="31" t="n"/>
      <c r="L305" s="31" t="n"/>
      <c r="M305" s="31" t="n"/>
      <c r="N305" s="31" t="n"/>
      <c r="O305" s="31" t="n"/>
      <c r="P305" s="31" t="n"/>
      <c r="Q305" s="31" t="n"/>
      <c r="R305" s="31" t="n"/>
      <c r="S305" s="32">
        <f>IF($F305="","",IF(IFERROR(VLOOKUP($F305,'维度字典'!$I$2:$J$50,2,0),"求和")="手工录入","",IF(IFERROR(VLOOKUP($F305,'维度字典'!$I$2:$J$50,2,0),"求和")="最新值",IFERROR(LOOKUP(9.99E+307,G305:R305),""),SUM(G305:R305))))</f>
        <v/>
      </c>
      <c r="T305" s="33" t="n"/>
      <c r="U305" s="33" t="n"/>
    </row>
    <row r="306">
      <c r="A306" s="26">
        <f>IF($B306="","",ROW()-3)</f>
        <v/>
      </c>
      <c r="B306" s="27" t="n"/>
      <c r="C306" s="27" t="n"/>
      <c r="D306" s="28" t="n"/>
      <c r="E306" s="29" t="n"/>
      <c r="F306" s="30" t="n"/>
      <c r="G306" s="31" t="n"/>
      <c r="H306" s="31" t="n"/>
      <c r="I306" s="31" t="n"/>
      <c r="J306" s="31" t="n"/>
      <c r="K306" s="31" t="n"/>
      <c r="L306" s="31" t="n"/>
      <c r="M306" s="31" t="n"/>
      <c r="N306" s="31" t="n"/>
      <c r="O306" s="31" t="n"/>
      <c r="P306" s="31" t="n"/>
      <c r="Q306" s="31" t="n"/>
      <c r="R306" s="31" t="n"/>
      <c r="S306" s="32">
        <f>IF($F306="","",IF(IFERROR(VLOOKUP($F306,'维度字典'!$I$2:$J$50,2,0),"求和")="手工录入","",IF(IFERROR(VLOOKUP($F306,'维度字典'!$I$2:$J$50,2,0),"求和")="最新值",IFERROR(LOOKUP(9.99E+307,G306:R306),""),SUM(G306:R306))))</f>
        <v/>
      </c>
      <c r="T306" s="33" t="n"/>
      <c r="U306" s="33" t="n"/>
    </row>
    <row r="307">
      <c r="A307" s="26">
        <f>IF($B307="","",ROW()-3)</f>
        <v/>
      </c>
      <c r="B307" s="27" t="n"/>
      <c r="C307" s="27" t="n"/>
      <c r="D307" s="28" t="n"/>
      <c r="E307" s="29" t="n"/>
      <c r="F307" s="30" t="n"/>
      <c r="G307" s="31" t="n"/>
      <c r="H307" s="31" t="n"/>
      <c r="I307" s="31" t="n"/>
      <c r="J307" s="31" t="n"/>
      <c r="K307" s="31" t="n"/>
      <c r="L307" s="31" t="n"/>
      <c r="M307" s="31" t="n"/>
      <c r="N307" s="31" t="n"/>
      <c r="O307" s="31" t="n"/>
      <c r="P307" s="31" t="n"/>
      <c r="Q307" s="31" t="n"/>
      <c r="R307" s="31" t="n"/>
      <c r="S307" s="32">
        <f>IF($F307="","",IF(IFERROR(VLOOKUP($F307,'维度字典'!$I$2:$J$50,2,0),"求和")="手工录入","",IF(IFERROR(VLOOKUP($F307,'维度字典'!$I$2:$J$50,2,0),"求和")="最新值",IFERROR(LOOKUP(9.99E+307,G307:R307),""),SUM(G307:R307))))</f>
        <v/>
      </c>
      <c r="T307" s="33" t="n"/>
      <c r="U307" s="33" t="n"/>
    </row>
    <row r="308">
      <c r="A308" s="26">
        <f>IF($B308="","",ROW()-3)</f>
        <v/>
      </c>
      <c r="B308" s="27" t="n"/>
      <c r="C308" s="27" t="n"/>
      <c r="D308" s="28" t="n"/>
      <c r="E308" s="29" t="n"/>
      <c r="F308" s="30" t="n"/>
      <c r="G308" s="31" t="n"/>
      <c r="H308" s="31" t="n"/>
      <c r="I308" s="31" t="n"/>
      <c r="J308" s="31" t="n"/>
      <c r="K308" s="31" t="n"/>
      <c r="L308" s="31" t="n"/>
      <c r="M308" s="31" t="n"/>
      <c r="N308" s="31" t="n"/>
      <c r="O308" s="31" t="n"/>
      <c r="P308" s="31" t="n"/>
      <c r="Q308" s="31" t="n"/>
      <c r="R308" s="31" t="n"/>
      <c r="S308" s="32">
        <f>IF($F308="","",IF(IFERROR(VLOOKUP($F308,'维度字典'!$I$2:$J$50,2,0),"求和")="手工录入","",IF(IFERROR(VLOOKUP($F308,'维度字典'!$I$2:$J$50,2,0),"求和")="最新值",IFERROR(LOOKUP(9.99E+307,G308:R308),""),SUM(G308:R308))))</f>
        <v/>
      </c>
      <c r="T308" s="33" t="n"/>
      <c r="U308" s="33" t="n"/>
    </row>
    <row r="309">
      <c r="A309" s="26">
        <f>IF($B309="","",ROW()-3)</f>
        <v/>
      </c>
      <c r="B309" s="27" t="n"/>
      <c r="C309" s="27" t="n"/>
      <c r="D309" s="28" t="n"/>
      <c r="E309" s="29" t="n"/>
      <c r="F309" s="30" t="n"/>
      <c r="G309" s="31" t="n"/>
      <c r="H309" s="31" t="n"/>
      <c r="I309" s="31" t="n"/>
      <c r="J309" s="31" t="n"/>
      <c r="K309" s="31" t="n"/>
      <c r="L309" s="31" t="n"/>
      <c r="M309" s="31" t="n"/>
      <c r="N309" s="31" t="n"/>
      <c r="O309" s="31" t="n"/>
      <c r="P309" s="31" t="n"/>
      <c r="Q309" s="31" t="n"/>
      <c r="R309" s="31" t="n"/>
      <c r="S309" s="32">
        <f>IF($F309="","",IF(IFERROR(VLOOKUP($F309,'维度字典'!$I$2:$J$50,2,0),"求和")="手工录入","",IF(IFERROR(VLOOKUP($F309,'维度字典'!$I$2:$J$50,2,0),"求和")="最新值",IFERROR(LOOKUP(9.99E+307,G309:R309),""),SUM(G309:R309))))</f>
        <v/>
      </c>
      <c r="T309" s="33" t="n"/>
      <c r="U309" s="33" t="n"/>
    </row>
    <row r="310">
      <c r="A310" s="26">
        <f>IF($B310="","",ROW()-3)</f>
        <v/>
      </c>
      <c r="B310" s="27" t="n"/>
      <c r="C310" s="27" t="n"/>
      <c r="D310" s="28" t="n"/>
      <c r="E310" s="29" t="n"/>
      <c r="F310" s="30" t="n"/>
      <c r="G310" s="31" t="n"/>
      <c r="H310" s="31" t="n"/>
      <c r="I310" s="31" t="n"/>
      <c r="J310" s="31" t="n"/>
      <c r="K310" s="31" t="n"/>
      <c r="L310" s="31" t="n"/>
      <c r="M310" s="31" t="n"/>
      <c r="N310" s="31" t="n"/>
      <c r="O310" s="31" t="n"/>
      <c r="P310" s="31" t="n"/>
      <c r="Q310" s="31" t="n"/>
      <c r="R310" s="31" t="n"/>
      <c r="S310" s="32">
        <f>IF($F310="","",IF(IFERROR(VLOOKUP($F310,'维度字典'!$I$2:$J$50,2,0),"求和")="手工录入","",IF(IFERROR(VLOOKUP($F310,'维度字典'!$I$2:$J$50,2,0),"求和")="最新值",IFERROR(LOOKUP(9.99E+307,G310:R310),""),SUM(G310:R310))))</f>
        <v/>
      </c>
      <c r="T310" s="33" t="n"/>
      <c r="U310" s="33" t="n"/>
    </row>
    <row r="311">
      <c r="A311" s="26">
        <f>IF($B311="","",ROW()-3)</f>
        <v/>
      </c>
      <c r="B311" s="27" t="n"/>
      <c r="C311" s="27" t="n"/>
      <c r="D311" s="28" t="n"/>
      <c r="E311" s="29" t="n"/>
      <c r="F311" s="30" t="n"/>
      <c r="G311" s="31" t="n"/>
      <c r="H311" s="31" t="n"/>
      <c r="I311" s="31" t="n"/>
      <c r="J311" s="31" t="n"/>
      <c r="K311" s="31" t="n"/>
      <c r="L311" s="31" t="n"/>
      <c r="M311" s="31" t="n"/>
      <c r="N311" s="31" t="n"/>
      <c r="O311" s="31" t="n"/>
      <c r="P311" s="31" t="n"/>
      <c r="Q311" s="31" t="n"/>
      <c r="R311" s="31" t="n"/>
      <c r="S311" s="32">
        <f>IF($F311="","",IF(IFERROR(VLOOKUP($F311,'维度字典'!$I$2:$J$50,2,0),"求和")="手工录入","",IF(IFERROR(VLOOKUP($F311,'维度字典'!$I$2:$J$50,2,0),"求和")="最新值",IFERROR(LOOKUP(9.99E+307,G311:R311),""),SUM(G311:R311))))</f>
        <v/>
      </c>
      <c r="T311" s="33" t="n"/>
      <c r="U311" s="33" t="n"/>
    </row>
    <row r="312">
      <c r="A312" s="26">
        <f>IF($B312="","",ROW()-3)</f>
        <v/>
      </c>
      <c r="B312" s="27" t="n"/>
      <c r="C312" s="27" t="n"/>
      <c r="D312" s="28" t="n"/>
      <c r="E312" s="29" t="n"/>
      <c r="F312" s="30" t="n"/>
      <c r="G312" s="31" t="n"/>
      <c r="H312" s="31" t="n"/>
      <c r="I312" s="31" t="n"/>
      <c r="J312" s="31" t="n"/>
      <c r="K312" s="31" t="n"/>
      <c r="L312" s="31" t="n"/>
      <c r="M312" s="31" t="n"/>
      <c r="N312" s="31" t="n"/>
      <c r="O312" s="31" t="n"/>
      <c r="P312" s="31" t="n"/>
      <c r="Q312" s="31" t="n"/>
      <c r="R312" s="31" t="n"/>
      <c r="S312" s="32">
        <f>IF($F312="","",IF(IFERROR(VLOOKUP($F312,'维度字典'!$I$2:$J$50,2,0),"求和")="手工录入","",IF(IFERROR(VLOOKUP($F312,'维度字典'!$I$2:$J$50,2,0),"求和")="最新值",IFERROR(LOOKUP(9.99E+307,G312:R312),""),SUM(G312:R312))))</f>
        <v/>
      </c>
      <c r="T312" s="33" t="n"/>
      <c r="U312" s="33" t="n"/>
    </row>
    <row r="313">
      <c r="A313" s="26">
        <f>IF($B313="","",ROW()-3)</f>
        <v/>
      </c>
      <c r="B313" s="27" t="n"/>
      <c r="C313" s="27" t="n"/>
      <c r="D313" s="28" t="n"/>
      <c r="E313" s="29" t="n"/>
      <c r="F313" s="30" t="n"/>
      <c r="G313" s="31" t="n"/>
      <c r="H313" s="31" t="n"/>
      <c r="I313" s="31" t="n"/>
      <c r="J313" s="31" t="n"/>
      <c r="K313" s="31" t="n"/>
      <c r="L313" s="31" t="n"/>
      <c r="M313" s="31" t="n"/>
      <c r="N313" s="31" t="n"/>
      <c r="O313" s="31" t="n"/>
      <c r="P313" s="31" t="n"/>
      <c r="Q313" s="31" t="n"/>
      <c r="R313" s="31" t="n"/>
      <c r="S313" s="32">
        <f>IF($F313="","",IF(IFERROR(VLOOKUP($F313,'维度字典'!$I$2:$J$50,2,0),"求和")="手工录入","",IF(IFERROR(VLOOKUP($F313,'维度字典'!$I$2:$J$50,2,0),"求和")="最新值",IFERROR(LOOKUP(9.99E+307,G313:R313),""),SUM(G313:R313))))</f>
        <v/>
      </c>
      <c r="T313" s="33" t="n"/>
      <c r="U313" s="33" t="n"/>
    </row>
    <row r="314">
      <c r="A314" s="26">
        <f>IF($B314="","",ROW()-3)</f>
        <v/>
      </c>
      <c r="B314" s="27" t="n"/>
      <c r="C314" s="27" t="n"/>
      <c r="D314" s="28" t="n"/>
      <c r="E314" s="29" t="n"/>
      <c r="F314" s="30" t="n"/>
      <c r="G314" s="31" t="n"/>
      <c r="H314" s="31" t="n"/>
      <c r="I314" s="31" t="n"/>
      <c r="J314" s="31" t="n"/>
      <c r="K314" s="31" t="n"/>
      <c r="L314" s="31" t="n"/>
      <c r="M314" s="31" t="n"/>
      <c r="N314" s="31" t="n"/>
      <c r="O314" s="31" t="n"/>
      <c r="P314" s="31" t="n"/>
      <c r="Q314" s="31" t="n"/>
      <c r="R314" s="31" t="n"/>
      <c r="S314" s="32">
        <f>IF($F314="","",IF(IFERROR(VLOOKUP($F314,'维度字典'!$I$2:$J$50,2,0),"求和")="手工录入","",IF(IFERROR(VLOOKUP($F314,'维度字典'!$I$2:$J$50,2,0),"求和")="最新值",IFERROR(LOOKUP(9.99E+307,G314:R314),""),SUM(G314:R314))))</f>
        <v/>
      </c>
      <c r="T314" s="33" t="n"/>
      <c r="U314" s="33" t="n"/>
    </row>
    <row r="315">
      <c r="A315" s="26">
        <f>IF($B315="","",ROW()-3)</f>
        <v/>
      </c>
      <c r="B315" s="27" t="n"/>
      <c r="C315" s="27" t="n"/>
      <c r="D315" s="28" t="n"/>
      <c r="E315" s="29" t="n"/>
      <c r="F315" s="30" t="n"/>
      <c r="G315" s="31" t="n"/>
      <c r="H315" s="31" t="n"/>
      <c r="I315" s="31" t="n"/>
      <c r="J315" s="31" t="n"/>
      <c r="K315" s="31" t="n"/>
      <c r="L315" s="31" t="n"/>
      <c r="M315" s="31" t="n"/>
      <c r="N315" s="31" t="n"/>
      <c r="O315" s="31" t="n"/>
      <c r="P315" s="31" t="n"/>
      <c r="Q315" s="31" t="n"/>
      <c r="R315" s="31" t="n"/>
      <c r="S315" s="32">
        <f>IF($F315="","",IF(IFERROR(VLOOKUP($F315,'维度字典'!$I$2:$J$50,2,0),"求和")="手工录入","",IF(IFERROR(VLOOKUP($F315,'维度字典'!$I$2:$J$50,2,0),"求和")="最新值",IFERROR(LOOKUP(9.99E+307,G315:R315),""),SUM(G315:R315))))</f>
        <v/>
      </c>
      <c r="T315" s="33" t="n"/>
      <c r="U315" s="33" t="n"/>
    </row>
    <row r="316">
      <c r="A316" s="26">
        <f>IF($B316="","",ROW()-3)</f>
        <v/>
      </c>
      <c r="B316" s="27" t="n"/>
      <c r="C316" s="27" t="n"/>
      <c r="D316" s="28" t="n"/>
      <c r="E316" s="29" t="n"/>
      <c r="F316" s="30" t="n"/>
      <c r="G316" s="31" t="n"/>
      <c r="H316" s="31" t="n"/>
      <c r="I316" s="31" t="n"/>
      <c r="J316" s="31" t="n"/>
      <c r="K316" s="31" t="n"/>
      <c r="L316" s="31" t="n"/>
      <c r="M316" s="31" t="n"/>
      <c r="N316" s="31" t="n"/>
      <c r="O316" s="31" t="n"/>
      <c r="P316" s="31" t="n"/>
      <c r="Q316" s="31" t="n"/>
      <c r="R316" s="31" t="n"/>
      <c r="S316" s="32">
        <f>IF($F316="","",IF(IFERROR(VLOOKUP($F316,'维度字典'!$I$2:$J$50,2,0),"求和")="手工录入","",IF(IFERROR(VLOOKUP($F316,'维度字典'!$I$2:$J$50,2,0),"求和")="最新值",IFERROR(LOOKUP(9.99E+307,G316:R316),""),SUM(G316:R316))))</f>
        <v/>
      </c>
      <c r="T316" s="33" t="n"/>
      <c r="U316" s="33" t="n"/>
    </row>
    <row r="317">
      <c r="A317" s="26">
        <f>IF($B317="","",ROW()-3)</f>
        <v/>
      </c>
      <c r="B317" s="27" t="n"/>
      <c r="C317" s="27" t="n"/>
      <c r="D317" s="28" t="n"/>
      <c r="E317" s="29" t="n"/>
      <c r="F317" s="30" t="n"/>
      <c r="G317" s="31" t="n"/>
      <c r="H317" s="31" t="n"/>
      <c r="I317" s="31" t="n"/>
      <c r="J317" s="31" t="n"/>
      <c r="K317" s="31" t="n"/>
      <c r="L317" s="31" t="n"/>
      <c r="M317" s="31" t="n"/>
      <c r="N317" s="31" t="n"/>
      <c r="O317" s="31" t="n"/>
      <c r="P317" s="31" t="n"/>
      <c r="Q317" s="31" t="n"/>
      <c r="R317" s="31" t="n"/>
      <c r="S317" s="32">
        <f>IF($F317="","",IF(IFERROR(VLOOKUP($F317,'维度字典'!$I$2:$J$50,2,0),"求和")="手工录入","",IF(IFERROR(VLOOKUP($F317,'维度字典'!$I$2:$J$50,2,0),"求和")="最新值",IFERROR(LOOKUP(9.99E+307,G317:R317),""),SUM(G317:R317))))</f>
        <v/>
      </c>
      <c r="T317" s="33" t="n"/>
      <c r="U317" s="33" t="n"/>
    </row>
    <row r="318">
      <c r="A318" s="26">
        <f>IF($B318="","",ROW()-3)</f>
        <v/>
      </c>
      <c r="B318" s="27" t="n"/>
      <c r="C318" s="27" t="n"/>
      <c r="D318" s="28" t="n"/>
      <c r="E318" s="29" t="n"/>
      <c r="F318" s="30" t="n"/>
      <c r="G318" s="31" t="n"/>
      <c r="H318" s="31" t="n"/>
      <c r="I318" s="31" t="n"/>
      <c r="J318" s="31" t="n"/>
      <c r="K318" s="31" t="n"/>
      <c r="L318" s="31" t="n"/>
      <c r="M318" s="31" t="n"/>
      <c r="N318" s="31" t="n"/>
      <c r="O318" s="31" t="n"/>
      <c r="P318" s="31" t="n"/>
      <c r="Q318" s="31" t="n"/>
      <c r="R318" s="31" t="n"/>
      <c r="S318" s="32">
        <f>IF($F318="","",IF(IFERROR(VLOOKUP($F318,'维度字典'!$I$2:$J$50,2,0),"求和")="手工录入","",IF(IFERROR(VLOOKUP($F318,'维度字典'!$I$2:$J$50,2,0),"求和")="最新值",IFERROR(LOOKUP(9.99E+307,G318:R318),""),SUM(G318:R318))))</f>
        <v/>
      </c>
      <c r="T318" s="33" t="n"/>
      <c r="U318" s="33" t="n"/>
    </row>
    <row r="319">
      <c r="A319" s="26">
        <f>IF($B319="","",ROW()-3)</f>
        <v/>
      </c>
      <c r="B319" s="27" t="n"/>
      <c r="C319" s="27" t="n"/>
      <c r="D319" s="28" t="n"/>
      <c r="E319" s="29" t="n"/>
      <c r="F319" s="30" t="n"/>
      <c r="G319" s="31" t="n"/>
      <c r="H319" s="31" t="n"/>
      <c r="I319" s="31" t="n"/>
      <c r="J319" s="31" t="n"/>
      <c r="K319" s="31" t="n"/>
      <c r="L319" s="31" t="n"/>
      <c r="M319" s="31" t="n"/>
      <c r="N319" s="31" t="n"/>
      <c r="O319" s="31" t="n"/>
      <c r="P319" s="31" t="n"/>
      <c r="Q319" s="31" t="n"/>
      <c r="R319" s="31" t="n"/>
      <c r="S319" s="32">
        <f>IF($F319="","",IF(IFERROR(VLOOKUP($F319,'维度字典'!$I$2:$J$50,2,0),"求和")="手工录入","",IF(IFERROR(VLOOKUP($F319,'维度字典'!$I$2:$J$50,2,0),"求和")="最新值",IFERROR(LOOKUP(9.99E+307,G319:R319),""),SUM(G319:R319))))</f>
        <v/>
      </c>
      <c r="T319" s="33" t="n"/>
      <c r="U319" s="33" t="n"/>
    </row>
    <row r="320">
      <c r="A320" s="26">
        <f>IF($B320="","",ROW()-3)</f>
        <v/>
      </c>
      <c r="B320" s="27" t="n"/>
      <c r="C320" s="27" t="n"/>
      <c r="D320" s="28" t="n"/>
      <c r="E320" s="29" t="n"/>
      <c r="F320" s="30" t="n"/>
      <c r="G320" s="31" t="n"/>
      <c r="H320" s="31" t="n"/>
      <c r="I320" s="31" t="n"/>
      <c r="J320" s="31" t="n"/>
      <c r="K320" s="31" t="n"/>
      <c r="L320" s="31" t="n"/>
      <c r="M320" s="31" t="n"/>
      <c r="N320" s="31" t="n"/>
      <c r="O320" s="31" t="n"/>
      <c r="P320" s="31" t="n"/>
      <c r="Q320" s="31" t="n"/>
      <c r="R320" s="31" t="n"/>
      <c r="S320" s="32">
        <f>IF($F320="","",IF(IFERROR(VLOOKUP($F320,'维度字典'!$I$2:$J$50,2,0),"求和")="手工录入","",IF(IFERROR(VLOOKUP($F320,'维度字典'!$I$2:$J$50,2,0),"求和")="最新值",IFERROR(LOOKUP(9.99E+307,G320:R320),""),SUM(G320:R320))))</f>
        <v/>
      </c>
      <c r="T320" s="33" t="n"/>
      <c r="U320" s="33" t="n"/>
    </row>
    <row r="321">
      <c r="A321" s="26">
        <f>IF($B321="","",ROW()-3)</f>
        <v/>
      </c>
      <c r="B321" s="27" t="n"/>
      <c r="C321" s="27" t="n"/>
      <c r="D321" s="28" t="n"/>
      <c r="E321" s="29" t="n"/>
      <c r="F321" s="30" t="n"/>
      <c r="G321" s="31" t="n"/>
      <c r="H321" s="31" t="n"/>
      <c r="I321" s="31" t="n"/>
      <c r="J321" s="31" t="n"/>
      <c r="K321" s="31" t="n"/>
      <c r="L321" s="31" t="n"/>
      <c r="M321" s="31" t="n"/>
      <c r="N321" s="31" t="n"/>
      <c r="O321" s="31" t="n"/>
      <c r="P321" s="31" t="n"/>
      <c r="Q321" s="31" t="n"/>
      <c r="R321" s="31" t="n"/>
      <c r="S321" s="32">
        <f>IF($F321="","",IF(IFERROR(VLOOKUP($F321,'维度字典'!$I$2:$J$50,2,0),"求和")="手工录入","",IF(IFERROR(VLOOKUP($F321,'维度字典'!$I$2:$J$50,2,0),"求和")="最新值",IFERROR(LOOKUP(9.99E+307,G321:R321),""),SUM(G321:R321))))</f>
        <v/>
      </c>
      <c r="T321" s="33" t="n"/>
      <c r="U321" s="33" t="n"/>
    </row>
    <row r="322">
      <c r="A322" s="26">
        <f>IF($B322="","",ROW()-3)</f>
        <v/>
      </c>
      <c r="B322" s="27" t="n"/>
      <c r="C322" s="27" t="n"/>
      <c r="D322" s="28" t="n"/>
      <c r="E322" s="29" t="n"/>
      <c r="F322" s="30" t="n"/>
      <c r="G322" s="31" t="n"/>
      <c r="H322" s="31" t="n"/>
      <c r="I322" s="31" t="n"/>
      <c r="J322" s="31" t="n"/>
      <c r="K322" s="31" t="n"/>
      <c r="L322" s="31" t="n"/>
      <c r="M322" s="31" t="n"/>
      <c r="N322" s="31" t="n"/>
      <c r="O322" s="31" t="n"/>
      <c r="P322" s="31" t="n"/>
      <c r="Q322" s="31" t="n"/>
      <c r="R322" s="31" t="n"/>
      <c r="S322" s="32">
        <f>IF($F322="","",IF(IFERROR(VLOOKUP($F322,'维度字典'!$I$2:$J$50,2,0),"求和")="手工录入","",IF(IFERROR(VLOOKUP($F322,'维度字典'!$I$2:$J$50,2,0),"求和")="最新值",IFERROR(LOOKUP(9.99E+307,G322:R322),""),SUM(G322:R322))))</f>
        <v/>
      </c>
      <c r="T322" s="33" t="n"/>
      <c r="U322" s="33" t="n"/>
    </row>
    <row r="323">
      <c r="A323" s="26">
        <f>IF($B323="","",ROW()-3)</f>
        <v/>
      </c>
      <c r="B323" s="27" t="n"/>
      <c r="C323" s="27" t="n"/>
      <c r="D323" s="28" t="n"/>
      <c r="E323" s="29" t="n"/>
      <c r="F323" s="30" t="n"/>
      <c r="G323" s="31" t="n"/>
      <c r="H323" s="31" t="n"/>
      <c r="I323" s="31" t="n"/>
      <c r="J323" s="31" t="n"/>
      <c r="K323" s="31" t="n"/>
      <c r="L323" s="31" t="n"/>
      <c r="M323" s="31" t="n"/>
      <c r="N323" s="31" t="n"/>
      <c r="O323" s="31" t="n"/>
      <c r="P323" s="31" t="n"/>
      <c r="Q323" s="31" t="n"/>
      <c r="R323" s="31" t="n"/>
      <c r="S323" s="32">
        <f>IF($F323="","",IF(IFERROR(VLOOKUP($F323,'维度字典'!$I$2:$J$50,2,0),"求和")="手工录入","",IF(IFERROR(VLOOKUP($F323,'维度字典'!$I$2:$J$50,2,0),"求和")="最新值",IFERROR(LOOKUP(9.99E+307,G323:R323),""),SUM(G323:R323))))</f>
        <v/>
      </c>
      <c r="T323" s="33" t="n"/>
      <c r="U323" s="33" t="n"/>
    </row>
    <row r="324">
      <c r="A324" s="26">
        <f>IF($B324="","",ROW()-3)</f>
        <v/>
      </c>
      <c r="B324" s="27" t="n"/>
      <c r="C324" s="27" t="n"/>
      <c r="D324" s="28" t="n"/>
      <c r="E324" s="29" t="n"/>
      <c r="F324" s="30" t="n"/>
      <c r="G324" s="31" t="n"/>
      <c r="H324" s="31" t="n"/>
      <c r="I324" s="31" t="n"/>
      <c r="J324" s="31" t="n"/>
      <c r="K324" s="31" t="n"/>
      <c r="L324" s="31" t="n"/>
      <c r="M324" s="31" t="n"/>
      <c r="N324" s="31" t="n"/>
      <c r="O324" s="31" t="n"/>
      <c r="P324" s="31" t="n"/>
      <c r="Q324" s="31" t="n"/>
      <c r="R324" s="31" t="n"/>
      <c r="S324" s="32">
        <f>IF($F324="","",IF(IFERROR(VLOOKUP($F324,'维度字典'!$I$2:$J$50,2,0),"求和")="手工录入","",IF(IFERROR(VLOOKUP($F324,'维度字典'!$I$2:$J$50,2,0),"求和")="最新值",IFERROR(LOOKUP(9.99E+307,G324:R324),""),SUM(G324:R324))))</f>
        <v/>
      </c>
      <c r="T324" s="33" t="n"/>
      <c r="U324" s="33" t="n"/>
    </row>
    <row r="325">
      <c r="A325" s="26">
        <f>IF($B325="","",ROW()-3)</f>
        <v/>
      </c>
      <c r="B325" s="27" t="n"/>
      <c r="C325" s="27" t="n"/>
      <c r="D325" s="28" t="n"/>
      <c r="E325" s="29" t="n"/>
      <c r="F325" s="30" t="n"/>
      <c r="G325" s="31" t="n"/>
      <c r="H325" s="31" t="n"/>
      <c r="I325" s="31" t="n"/>
      <c r="J325" s="31" t="n"/>
      <c r="K325" s="31" t="n"/>
      <c r="L325" s="31" t="n"/>
      <c r="M325" s="31" t="n"/>
      <c r="N325" s="31" t="n"/>
      <c r="O325" s="31" t="n"/>
      <c r="P325" s="31" t="n"/>
      <c r="Q325" s="31" t="n"/>
      <c r="R325" s="31" t="n"/>
      <c r="S325" s="32">
        <f>IF($F325="","",IF(IFERROR(VLOOKUP($F325,'维度字典'!$I$2:$J$50,2,0),"求和")="手工录入","",IF(IFERROR(VLOOKUP($F325,'维度字典'!$I$2:$J$50,2,0),"求和")="最新值",IFERROR(LOOKUP(9.99E+307,G325:R325),""),SUM(G325:R325))))</f>
        <v/>
      </c>
      <c r="T325" s="33" t="n"/>
      <c r="U325" s="33" t="n"/>
    </row>
    <row r="326">
      <c r="A326" s="26">
        <f>IF($B326="","",ROW()-3)</f>
        <v/>
      </c>
      <c r="B326" s="27" t="n"/>
      <c r="C326" s="27" t="n"/>
      <c r="D326" s="28" t="n"/>
      <c r="E326" s="29" t="n"/>
      <c r="F326" s="30" t="n"/>
      <c r="G326" s="31" t="n"/>
      <c r="H326" s="31" t="n"/>
      <c r="I326" s="31" t="n"/>
      <c r="J326" s="31" t="n"/>
      <c r="K326" s="31" t="n"/>
      <c r="L326" s="31" t="n"/>
      <c r="M326" s="31" t="n"/>
      <c r="N326" s="31" t="n"/>
      <c r="O326" s="31" t="n"/>
      <c r="P326" s="31" t="n"/>
      <c r="Q326" s="31" t="n"/>
      <c r="R326" s="31" t="n"/>
      <c r="S326" s="32">
        <f>IF($F326="","",IF(IFERROR(VLOOKUP($F326,'维度字典'!$I$2:$J$50,2,0),"求和")="手工录入","",IF(IFERROR(VLOOKUP($F326,'维度字典'!$I$2:$J$50,2,0),"求和")="最新值",IFERROR(LOOKUP(9.99E+307,G326:R326),""),SUM(G326:R326))))</f>
        <v/>
      </c>
      <c r="T326" s="33" t="n"/>
      <c r="U326" s="33" t="n"/>
    </row>
    <row r="327">
      <c r="A327" s="26">
        <f>IF($B327="","",ROW()-3)</f>
        <v/>
      </c>
      <c r="B327" s="27" t="n"/>
      <c r="C327" s="27" t="n"/>
      <c r="D327" s="28" t="n"/>
      <c r="E327" s="29" t="n"/>
      <c r="F327" s="30" t="n"/>
      <c r="G327" s="31" t="n"/>
      <c r="H327" s="31" t="n"/>
      <c r="I327" s="31" t="n"/>
      <c r="J327" s="31" t="n"/>
      <c r="K327" s="31" t="n"/>
      <c r="L327" s="31" t="n"/>
      <c r="M327" s="31" t="n"/>
      <c r="N327" s="31" t="n"/>
      <c r="O327" s="31" t="n"/>
      <c r="P327" s="31" t="n"/>
      <c r="Q327" s="31" t="n"/>
      <c r="R327" s="31" t="n"/>
      <c r="S327" s="32">
        <f>IF($F327="","",IF(IFERROR(VLOOKUP($F327,'维度字典'!$I$2:$J$50,2,0),"求和")="手工录入","",IF(IFERROR(VLOOKUP($F327,'维度字典'!$I$2:$J$50,2,0),"求和")="最新值",IFERROR(LOOKUP(9.99E+307,G327:R327),""),SUM(G327:R327))))</f>
        <v/>
      </c>
      <c r="T327" s="33" t="n"/>
      <c r="U327" s="33" t="n"/>
    </row>
    <row r="328">
      <c r="A328" s="26">
        <f>IF($B328="","",ROW()-3)</f>
        <v/>
      </c>
      <c r="B328" s="27" t="n"/>
      <c r="C328" s="27" t="n"/>
      <c r="D328" s="28" t="n"/>
      <c r="E328" s="29" t="n"/>
      <c r="F328" s="30" t="n"/>
      <c r="G328" s="31" t="n"/>
      <c r="H328" s="31" t="n"/>
      <c r="I328" s="31" t="n"/>
      <c r="J328" s="31" t="n"/>
      <c r="K328" s="31" t="n"/>
      <c r="L328" s="31" t="n"/>
      <c r="M328" s="31" t="n"/>
      <c r="N328" s="31" t="n"/>
      <c r="O328" s="31" t="n"/>
      <c r="P328" s="31" t="n"/>
      <c r="Q328" s="31" t="n"/>
      <c r="R328" s="31" t="n"/>
      <c r="S328" s="32">
        <f>IF($F328="","",IF(IFERROR(VLOOKUP($F328,'维度字典'!$I$2:$J$50,2,0),"求和")="手工录入","",IF(IFERROR(VLOOKUP($F328,'维度字典'!$I$2:$J$50,2,0),"求和")="最新值",IFERROR(LOOKUP(9.99E+307,G328:R328),""),SUM(G328:R328))))</f>
        <v/>
      </c>
      <c r="T328" s="33" t="n"/>
      <c r="U328" s="33" t="n"/>
    </row>
    <row r="329">
      <c r="A329" s="26">
        <f>IF($B329="","",ROW()-3)</f>
        <v/>
      </c>
      <c r="B329" s="27" t="n"/>
      <c r="C329" s="27" t="n"/>
      <c r="D329" s="28" t="n"/>
      <c r="E329" s="29" t="n"/>
      <c r="F329" s="30" t="n"/>
      <c r="G329" s="31" t="n"/>
      <c r="H329" s="31" t="n"/>
      <c r="I329" s="31" t="n"/>
      <c r="J329" s="31" t="n"/>
      <c r="K329" s="31" t="n"/>
      <c r="L329" s="31" t="n"/>
      <c r="M329" s="31" t="n"/>
      <c r="N329" s="31" t="n"/>
      <c r="O329" s="31" t="n"/>
      <c r="P329" s="31" t="n"/>
      <c r="Q329" s="31" t="n"/>
      <c r="R329" s="31" t="n"/>
      <c r="S329" s="32">
        <f>IF($F329="","",IF(IFERROR(VLOOKUP($F329,'维度字典'!$I$2:$J$50,2,0),"求和")="手工录入","",IF(IFERROR(VLOOKUP($F329,'维度字典'!$I$2:$J$50,2,0),"求和")="最新值",IFERROR(LOOKUP(9.99E+307,G329:R329),""),SUM(G329:R329))))</f>
        <v/>
      </c>
      <c r="T329" s="33" t="n"/>
      <c r="U329" s="33" t="n"/>
    </row>
    <row r="330">
      <c r="A330" s="26">
        <f>IF($B330="","",ROW()-3)</f>
        <v/>
      </c>
      <c r="B330" s="27" t="n"/>
      <c r="C330" s="27" t="n"/>
      <c r="D330" s="28" t="n"/>
      <c r="E330" s="29" t="n"/>
      <c r="F330" s="30" t="n"/>
      <c r="G330" s="31" t="n"/>
      <c r="H330" s="31" t="n"/>
      <c r="I330" s="31" t="n"/>
      <c r="J330" s="31" t="n"/>
      <c r="K330" s="31" t="n"/>
      <c r="L330" s="31" t="n"/>
      <c r="M330" s="31" t="n"/>
      <c r="N330" s="31" t="n"/>
      <c r="O330" s="31" t="n"/>
      <c r="P330" s="31" t="n"/>
      <c r="Q330" s="31" t="n"/>
      <c r="R330" s="31" t="n"/>
      <c r="S330" s="32">
        <f>IF($F330="","",IF(IFERROR(VLOOKUP($F330,'维度字典'!$I$2:$J$50,2,0),"求和")="手工录入","",IF(IFERROR(VLOOKUP($F330,'维度字典'!$I$2:$J$50,2,0),"求和")="最新值",IFERROR(LOOKUP(9.99E+307,G330:R330),""),SUM(G330:R330))))</f>
        <v/>
      </c>
      <c r="T330" s="33" t="n"/>
      <c r="U330" s="33" t="n"/>
    </row>
    <row r="331">
      <c r="A331" s="26">
        <f>IF($B331="","",ROW()-3)</f>
        <v/>
      </c>
      <c r="B331" s="27" t="n"/>
      <c r="C331" s="27" t="n"/>
      <c r="D331" s="28" t="n"/>
      <c r="E331" s="29" t="n"/>
      <c r="F331" s="30" t="n"/>
      <c r="G331" s="31" t="n"/>
      <c r="H331" s="31" t="n"/>
      <c r="I331" s="31" t="n"/>
      <c r="J331" s="31" t="n"/>
      <c r="K331" s="31" t="n"/>
      <c r="L331" s="31" t="n"/>
      <c r="M331" s="31" t="n"/>
      <c r="N331" s="31" t="n"/>
      <c r="O331" s="31" t="n"/>
      <c r="P331" s="31" t="n"/>
      <c r="Q331" s="31" t="n"/>
      <c r="R331" s="31" t="n"/>
      <c r="S331" s="32">
        <f>IF($F331="","",IF(IFERROR(VLOOKUP($F331,'维度字典'!$I$2:$J$50,2,0),"求和")="手工录入","",IF(IFERROR(VLOOKUP($F331,'维度字典'!$I$2:$J$50,2,0),"求和")="最新值",IFERROR(LOOKUP(9.99E+307,G331:R331),""),SUM(G331:R331))))</f>
        <v/>
      </c>
      <c r="T331" s="33" t="n"/>
      <c r="U331" s="33" t="n"/>
    </row>
    <row r="332">
      <c r="A332" s="26">
        <f>IF($B332="","",ROW()-3)</f>
        <v/>
      </c>
      <c r="B332" s="27" t="n"/>
      <c r="C332" s="27" t="n"/>
      <c r="D332" s="28" t="n"/>
      <c r="E332" s="29" t="n"/>
      <c r="F332" s="30" t="n"/>
      <c r="G332" s="31" t="n"/>
      <c r="H332" s="31" t="n"/>
      <c r="I332" s="31" t="n"/>
      <c r="J332" s="31" t="n"/>
      <c r="K332" s="31" t="n"/>
      <c r="L332" s="31" t="n"/>
      <c r="M332" s="31" t="n"/>
      <c r="N332" s="31" t="n"/>
      <c r="O332" s="31" t="n"/>
      <c r="P332" s="31" t="n"/>
      <c r="Q332" s="31" t="n"/>
      <c r="R332" s="31" t="n"/>
      <c r="S332" s="32">
        <f>IF($F332="","",IF(IFERROR(VLOOKUP($F332,'维度字典'!$I$2:$J$50,2,0),"求和")="手工录入","",IF(IFERROR(VLOOKUP($F332,'维度字典'!$I$2:$J$50,2,0),"求和")="最新值",IFERROR(LOOKUP(9.99E+307,G332:R332),""),SUM(G332:R332))))</f>
        <v/>
      </c>
      <c r="T332" s="33" t="n"/>
      <c r="U332" s="33" t="n"/>
    </row>
    <row r="333">
      <c r="A333" s="26">
        <f>IF($B333="","",ROW()-3)</f>
        <v/>
      </c>
      <c r="B333" s="27" t="n"/>
      <c r="C333" s="27" t="n"/>
      <c r="D333" s="28" t="n"/>
      <c r="E333" s="29" t="n"/>
      <c r="F333" s="30" t="n"/>
      <c r="G333" s="31" t="n"/>
      <c r="H333" s="31" t="n"/>
      <c r="I333" s="31" t="n"/>
      <c r="J333" s="31" t="n"/>
      <c r="K333" s="31" t="n"/>
      <c r="L333" s="31" t="n"/>
      <c r="M333" s="31" t="n"/>
      <c r="N333" s="31" t="n"/>
      <c r="O333" s="31" t="n"/>
      <c r="P333" s="31" t="n"/>
      <c r="Q333" s="31" t="n"/>
      <c r="R333" s="31" t="n"/>
      <c r="S333" s="32">
        <f>IF($F333="","",IF(IFERROR(VLOOKUP($F333,'维度字典'!$I$2:$J$50,2,0),"求和")="手工录入","",IF(IFERROR(VLOOKUP($F333,'维度字典'!$I$2:$J$50,2,0),"求和")="最新值",IFERROR(LOOKUP(9.99E+307,G333:R333),""),SUM(G333:R333))))</f>
        <v/>
      </c>
      <c r="T333" s="33" t="n"/>
      <c r="U333" s="33" t="n"/>
    </row>
    <row r="334">
      <c r="A334" s="26">
        <f>IF($B334="","",ROW()-3)</f>
        <v/>
      </c>
      <c r="B334" s="27" t="n"/>
      <c r="C334" s="27" t="n"/>
      <c r="D334" s="28" t="n"/>
      <c r="E334" s="29" t="n"/>
      <c r="F334" s="30" t="n"/>
      <c r="G334" s="31" t="n"/>
      <c r="H334" s="31" t="n"/>
      <c r="I334" s="31" t="n"/>
      <c r="J334" s="31" t="n"/>
      <c r="K334" s="31" t="n"/>
      <c r="L334" s="31" t="n"/>
      <c r="M334" s="31" t="n"/>
      <c r="N334" s="31" t="n"/>
      <c r="O334" s="31" t="n"/>
      <c r="P334" s="31" t="n"/>
      <c r="Q334" s="31" t="n"/>
      <c r="R334" s="31" t="n"/>
      <c r="S334" s="32">
        <f>IF($F334="","",IF(IFERROR(VLOOKUP($F334,'维度字典'!$I$2:$J$50,2,0),"求和")="手工录入","",IF(IFERROR(VLOOKUP($F334,'维度字典'!$I$2:$J$50,2,0),"求和")="最新值",IFERROR(LOOKUP(9.99E+307,G334:R334),""),SUM(G334:R334))))</f>
        <v/>
      </c>
      <c r="T334" s="33" t="n"/>
      <c r="U334" s="33" t="n"/>
    </row>
    <row r="335">
      <c r="A335" s="26">
        <f>IF($B335="","",ROW()-3)</f>
        <v/>
      </c>
      <c r="B335" s="27" t="n"/>
      <c r="C335" s="27" t="n"/>
      <c r="D335" s="28" t="n"/>
      <c r="E335" s="29" t="n"/>
      <c r="F335" s="30" t="n"/>
      <c r="G335" s="31" t="n"/>
      <c r="H335" s="31" t="n"/>
      <c r="I335" s="31" t="n"/>
      <c r="J335" s="31" t="n"/>
      <c r="K335" s="31" t="n"/>
      <c r="L335" s="31" t="n"/>
      <c r="M335" s="31" t="n"/>
      <c r="N335" s="31" t="n"/>
      <c r="O335" s="31" t="n"/>
      <c r="P335" s="31" t="n"/>
      <c r="Q335" s="31" t="n"/>
      <c r="R335" s="31" t="n"/>
      <c r="S335" s="32">
        <f>IF($F335="","",IF(IFERROR(VLOOKUP($F335,'维度字典'!$I$2:$J$50,2,0),"求和")="手工录入","",IF(IFERROR(VLOOKUP($F335,'维度字典'!$I$2:$J$50,2,0),"求和")="最新值",IFERROR(LOOKUP(9.99E+307,G335:R335),""),SUM(G335:R335))))</f>
        <v/>
      </c>
      <c r="T335" s="33" t="n"/>
      <c r="U335" s="33" t="n"/>
    </row>
    <row r="336">
      <c r="A336" s="26">
        <f>IF($B336="","",ROW()-3)</f>
        <v/>
      </c>
      <c r="B336" s="27" t="n"/>
      <c r="C336" s="27" t="n"/>
      <c r="D336" s="28" t="n"/>
      <c r="E336" s="29" t="n"/>
      <c r="F336" s="30" t="n"/>
      <c r="G336" s="31" t="n"/>
      <c r="H336" s="31" t="n"/>
      <c r="I336" s="31" t="n"/>
      <c r="J336" s="31" t="n"/>
      <c r="K336" s="31" t="n"/>
      <c r="L336" s="31" t="n"/>
      <c r="M336" s="31" t="n"/>
      <c r="N336" s="31" t="n"/>
      <c r="O336" s="31" t="n"/>
      <c r="P336" s="31" t="n"/>
      <c r="Q336" s="31" t="n"/>
      <c r="R336" s="31" t="n"/>
      <c r="S336" s="32">
        <f>IF($F336="","",IF(IFERROR(VLOOKUP($F336,'维度字典'!$I$2:$J$50,2,0),"求和")="手工录入","",IF(IFERROR(VLOOKUP($F336,'维度字典'!$I$2:$J$50,2,0),"求和")="最新值",IFERROR(LOOKUP(9.99E+307,G336:R336),""),SUM(G336:R336))))</f>
        <v/>
      </c>
      <c r="T336" s="33" t="n"/>
      <c r="U336" s="33" t="n"/>
    </row>
    <row r="337">
      <c r="A337" s="26">
        <f>IF($B337="","",ROW()-3)</f>
        <v/>
      </c>
      <c r="B337" s="27" t="n"/>
      <c r="C337" s="27" t="n"/>
      <c r="D337" s="28" t="n"/>
      <c r="E337" s="29" t="n"/>
      <c r="F337" s="30" t="n"/>
      <c r="G337" s="31" t="n"/>
      <c r="H337" s="31" t="n"/>
      <c r="I337" s="31" t="n"/>
      <c r="J337" s="31" t="n"/>
      <c r="K337" s="31" t="n"/>
      <c r="L337" s="31" t="n"/>
      <c r="M337" s="31" t="n"/>
      <c r="N337" s="31" t="n"/>
      <c r="O337" s="31" t="n"/>
      <c r="P337" s="31" t="n"/>
      <c r="Q337" s="31" t="n"/>
      <c r="R337" s="31" t="n"/>
      <c r="S337" s="32">
        <f>IF($F337="","",IF(IFERROR(VLOOKUP($F337,'维度字典'!$I$2:$J$50,2,0),"求和")="手工录入","",IF(IFERROR(VLOOKUP($F337,'维度字典'!$I$2:$J$50,2,0),"求和")="最新值",IFERROR(LOOKUP(9.99E+307,G337:R337),""),SUM(G337:R337))))</f>
        <v/>
      </c>
      <c r="T337" s="33" t="n"/>
      <c r="U337" s="33" t="n"/>
    </row>
    <row r="338">
      <c r="A338" s="26">
        <f>IF($B338="","",ROW()-3)</f>
        <v/>
      </c>
      <c r="B338" s="27" t="n"/>
      <c r="C338" s="27" t="n"/>
      <c r="D338" s="28" t="n"/>
      <c r="E338" s="29" t="n"/>
      <c r="F338" s="30" t="n"/>
      <c r="G338" s="31" t="n"/>
      <c r="H338" s="31" t="n"/>
      <c r="I338" s="31" t="n"/>
      <c r="J338" s="31" t="n"/>
      <c r="K338" s="31" t="n"/>
      <c r="L338" s="31" t="n"/>
      <c r="M338" s="31" t="n"/>
      <c r="N338" s="31" t="n"/>
      <c r="O338" s="31" t="n"/>
      <c r="P338" s="31" t="n"/>
      <c r="Q338" s="31" t="n"/>
      <c r="R338" s="31" t="n"/>
      <c r="S338" s="32">
        <f>IF($F338="","",IF(IFERROR(VLOOKUP($F338,'维度字典'!$I$2:$J$50,2,0),"求和")="手工录入","",IF(IFERROR(VLOOKUP($F338,'维度字典'!$I$2:$J$50,2,0),"求和")="最新值",IFERROR(LOOKUP(9.99E+307,G338:R338),""),SUM(G338:R338))))</f>
        <v/>
      </c>
      <c r="T338" s="33" t="n"/>
      <c r="U338" s="33" t="n"/>
    </row>
    <row r="339">
      <c r="A339" s="26">
        <f>IF($B339="","",ROW()-3)</f>
        <v/>
      </c>
      <c r="B339" s="27" t="n"/>
      <c r="C339" s="27" t="n"/>
      <c r="D339" s="28" t="n"/>
      <c r="E339" s="29" t="n"/>
      <c r="F339" s="30" t="n"/>
      <c r="G339" s="31" t="n"/>
      <c r="H339" s="31" t="n"/>
      <c r="I339" s="31" t="n"/>
      <c r="J339" s="31" t="n"/>
      <c r="K339" s="31" t="n"/>
      <c r="L339" s="31" t="n"/>
      <c r="M339" s="31" t="n"/>
      <c r="N339" s="31" t="n"/>
      <c r="O339" s="31" t="n"/>
      <c r="P339" s="31" t="n"/>
      <c r="Q339" s="31" t="n"/>
      <c r="R339" s="31" t="n"/>
      <c r="S339" s="32">
        <f>IF($F339="","",IF(IFERROR(VLOOKUP($F339,'维度字典'!$I$2:$J$50,2,0),"求和")="手工录入","",IF(IFERROR(VLOOKUP($F339,'维度字典'!$I$2:$J$50,2,0),"求和")="最新值",IFERROR(LOOKUP(9.99E+307,G339:R339),""),SUM(G339:R339))))</f>
        <v/>
      </c>
      <c r="T339" s="33" t="n"/>
      <c r="U339" s="33" t="n"/>
    </row>
    <row r="340">
      <c r="A340" s="26">
        <f>IF($B340="","",ROW()-3)</f>
        <v/>
      </c>
      <c r="B340" s="27" t="n"/>
      <c r="C340" s="27" t="n"/>
      <c r="D340" s="28" t="n"/>
      <c r="E340" s="29" t="n"/>
      <c r="F340" s="30" t="n"/>
      <c r="G340" s="31" t="n"/>
      <c r="H340" s="31" t="n"/>
      <c r="I340" s="31" t="n"/>
      <c r="J340" s="31" t="n"/>
      <c r="K340" s="31" t="n"/>
      <c r="L340" s="31" t="n"/>
      <c r="M340" s="31" t="n"/>
      <c r="N340" s="31" t="n"/>
      <c r="O340" s="31" t="n"/>
      <c r="P340" s="31" t="n"/>
      <c r="Q340" s="31" t="n"/>
      <c r="R340" s="31" t="n"/>
      <c r="S340" s="32">
        <f>IF($F340="","",IF(IFERROR(VLOOKUP($F340,'维度字典'!$I$2:$J$50,2,0),"求和")="手工录入","",IF(IFERROR(VLOOKUP($F340,'维度字典'!$I$2:$J$50,2,0),"求和")="最新值",IFERROR(LOOKUP(9.99E+307,G340:R340),""),SUM(G340:R340))))</f>
        <v/>
      </c>
      <c r="T340" s="33" t="n"/>
      <c r="U340" s="33" t="n"/>
    </row>
    <row r="341">
      <c r="A341" s="26">
        <f>IF($B341="","",ROW()-3)</f>
        <v/>
      </c>
      <c r="B341" s="27" t="n"/>
      <c r="C341" s="27" t="n"/>
      <c r="D341" s="28" t="n"/>
      <c r="E341" s="29" t="n"/>
      <c r="F341" s="30" t="n"/>
      <c r="G341" s="31" t="n"/>
      <c r="H341" s="31" t="n"/>
      <c r="I341" s="31" t="n"/>
      <c r="J341" s="31" t="n"/>
      <c r="K341" s="31" t="n"/>
      <c r="L341" s="31" t="n"/>
      <c r="M341" s="31" t="n"/>
      <c r="N341" s="31" t="n"/>
      <c r="O341" s="31" t="n"/>
      <c r="P341" s="31" t="n"/>
      <c r="Q341" s="31" t="n"/>
      <c r="R341" s="31" t="n"/>
      <c r="S341" s="32">
        <f>IF($F341="","",IF(IFERROR(VLOOKUP($F341,'维度字典'!$I$2:$J$50,2,0),"求和")="手工录入","",IF(IFERROR(VLOOKUP($F341,'维度字典'!$I$2:$J$50,2,0),"求和")="最新值",IFERROR(LOOKUP(9.99E+307,G341:R341),""),SUM(G341:R341))))</f>
        <v/>
      </c>
      <c r="T341" s="33" t="n"/>
      <c r="U341" s="33" t="n"/>
    </row>
    <row r="342">
      <c r="A342" s="26">
        <f>IF($B342="","",ROW()-3)</f>
        <v/>
      </c>
      <c r="B342" s="27" t="n"/>
      <c r="C342" s="27" t="n"/>
      <c r="D342" s="28" t="n"/>
      <c r="E342" s="29" t="n"/>
      <c r="F342" s="30" t="n"/>
      <c r="G342" s="31" t="n"/>
      <c r="H342" s="31" t="n"/>
      <c r="I342" s="31" t="n"/>
      <c r="J342" s="31" t="n"/>
      <c r="K342" s="31" t="n"/>
      <c r="L342" s="31" t="n"/>
      <c r="M342" s="31" t="n"/>
      <c r="N342" s="31" t="n"/>
      <c r="O342" s="31" t="n"/>
      <c r="P342" s="31" t="n"/>
      <c r="Q342" s="31" t="n"/>
      <c r="R342" s="31" t="n"/>
      <c r="S342" s="32">
        <f>IF($F342="","",IF(IFERROR(VLOOKUP($F342,'维度字典'!$I$2:$J$50,2,0),"求和")="手工录入","",IF(IFERROR(VLOOKUP($F342,'维度字典'!$I$2:$J$50,2,0),"求和")="最新值",IFERROR(LOOKUP(9.99E+307,G342:R342),""),SUM(G342:R342))))</f>
        <v/>
      </c>
      <c r="T342" s="33" t="n"/>
      <c r="U342" s="33" t="n"/>
    </row>
    <row r="343">
      <c r="A343" s="26">
        <f>IF($B343="","",ROW()-3)</f>
        <v/>
      </c>
      <c r="B343" s="27" t="n"/>
      <c r="C343" s="27" t="n"/>
      <c r="D343" s="28" t="n"/>
      <c r="E343" s="29" t="n"/>
      <c r="F343" s="30" t="n"/>
      <c r="G343" s="31" t="n"/>
      <c r="H343" s="31" t="n"/>
      <c r="I343" s="31" t="n"/>
      <c r="J343" s="31" t="n"/>
      <c r="K343" s="31" t="n"/>
      <c r="L343" s="31" t="n"/>
      <c r="M343" s="31" t="n"/>
      <c r="N343" s="31" t="n"/>
      <c r="O343" s="31" t="n"/>
      <c r="P343" s="31" t="n"/>
      <c r="Q343" s="31" t="n"/>
      <c r="R343" s="31" t="n"/>
      <c r="S343" s="32">
        <f>IF($F343="","",IF(IFERROR(VLOOKUP($F343,'维度字典'!$I$2:$J$50,2,0),"求和")="手工录入","",IF(IFERROR(VLOOKUP($F343,'维度字典'!$I$2:$J$50,2,0),"求和")="最新值",IFERROR(LOOKUP(9.99E+307,G343:R343),""),SUM(G343:R343))))</f>
        <v/>
      </c>
      <c r="T343" s="33" t="n"/>
      <c r="U343" s="33" t="n"/>
    </row>
    <row r="344">
      <c r="A344" s="26">
        <f>IF($B344="","",ROW()-3)</f>
        <v/>
      </c>
      <c r="B344" s="27" t="n"/>
      <c r="C344" s="27" t="n"/>
      <c r="D344" s="28" t="n"/>
      <c r="E344" s="29" t="n"/>
      <c r="F344" s="30" t="n"/>
      <c r="G344" s="31" t="n"/>
      <c r="H344" s="31" t="n"/>
      <c r="I344" s="31" t="n"/>
      <c r="J344" s="31" t="n"/>
      <c r="K344" s="31" t="n"/>
      <c r="L344" s="31" t="n"/>
      <c r="M344" s="31" t="n"/>
      <c r="N344" s="31" t="n"/>
      <c r="O344" s="31" t="n"/>
      <c r="P344" s="31" t="n"/>
      <c r="Q344" s="31" t="n"/>
      <c r="R344" s="31" t="n"/>
      <c r="S344" s="32">
        <f>IF($F344="","",IF(IFERROR(VLOOKUP($F344,'维度字典'!$I$2:$J$50,2,0),"求和")="手工录入","",IF(IFERROR(VLOOKUP($F344,'维度字典'!$I$2:$J$50,2,0),"求和")="最新值",IFERROR(LOOKUP(9.99E+307,G344:R344),""),SUM(G344:R344))))</f>
        <v/>
      </c>
      <c r="T344" s="33" t="n"/>
      <c r="U344" s="33" t="n"/>
    </row>
    <row r="345">
      <c r="A345" s="26">
        <f>IF($B345="","",ROW()-3)</f>
        <v/>
      </c>
      <c r="B345" s="27" t="n"/>
      <c r="C345" s="27" t="n"/>
      <c r="D345" s="28" t="n"/>
      <c r="E345" s="29" t="n"/>
      <c r="F345" s="30" t="n"/>
      <c r="G345" s="31" t="n"/>
      <c r="H345" s="31" t="n"/>
      <c r="I345" s="31" t="n"/>
      <c r="J345" s="31" t="n"/>
      <c r="K345" s="31" t="n"/>
      <c r="L345" s="31" t="n"/>
      <c r="M345" s="31" t="n"/>
      <c r="N345" s="31" t="n"/>
      <c r="O345" s="31" t="n"/>
      <c r="P345" s="31" t="n"/>
      <c r="Q345" s="31" t="n"/>
      <c r="R345" s="31" t="n"/>
      <c r="S345" s="32">
        <f>IF($F345="","",IF(IFERROR(VLOOKUP($F345,'维度字典'!$I$2:$J$50,2,0),"求和")="手工录入","",IF(IFERROR(VLOOKUP($F345,'维度字典'!$I$2:$J$50,2,0),"求和")="最新值",IFERROR(LOOKUP(9.99E+307,G345:R345),""),SUM(G345:R345))))</f>
        <v/>
      </c>
      <c r="T345" s="33" t="n"/>
      <c r="U345" s="33" t="n"/>
    </row>
    <row r="346">
      <c r="A346" s="26">
        <f>IF($B346="","",ROW()-3)</f>
        <v/>
      </c>
      <c r="B346" s="27" t="n"/>
      <c r="C346" s="27" t="n"/>
      <c r="D346" s="28" t="n"/>
      <c r="E346" s="29" t="n"/>
      <c r="F346" s="30" t="n"/>
      <c r="G346" s="31" t="n"/>
      <c r="H346" s="31" t="n"/>
      <c r="I346" s="31" t="n"/>
      <c r="J346" s="31" t="n"/>
      <c r="K346" s="31" t="n"/>
      <c r="L346" s="31" t="n"/>
      <c r="M346" s="31" t="n"/>
      <c r="N346" s="31" t="n"/>
      <c r="O346" s="31" t="n"/>
      <c r="P346" s="31" t="n"/>
      <c r="Q346" s="31" t="n"/>
      <c r="R346" s="31" t="n"/>
      <c r="S346" s="32">
        <f>IF($F346="","",IF(IFERROR(VLOOKUP($F346,'维度字典'!$I$2:$J$50,2,0),"求和")="手工录入","",IF(IFERROR(VLOOKUP($F346,'维度字典'!$I$2:$J$50,2,0),"求和")="最新值",IFERROR(LOOKUP(9.99E+307,G346:R346),""),SUM(G346:R346))))</f>
        <v/>
      </c>
      <c r="T346" s="33" t="n"/>
      <c r="U346" s="33" t="n"/>
    </row>
    <row r="347">
      <c r="A347" s="26">
        <f>IF($B347="","",ROW()-3)</f>
        <v/>
      </c>
      <c r="B347" s="27" t="n"/>
      <c r="C347" s="27" t="n"/>
      <c r="D347" s="28" t="n"/>
      <c r="E347" s="29" t="n"/>
      <c r="F347" s="30" t="n"/>
      <c r="G347" s="31" t="n"/>
      <c r="H347" s="31" t="n"/>
      <c r="I347" s="31" t="n"/>
      <c r="J347" s="31" t="n"/>
      <c r="K347" s="31" t="n"/>
      <c r="L347" s="31" t="n"/>
      <c r="M347" s="31" t="n"/>
      <c r="N347" s="31" t="n"/>
      <c r="O347" s="31" t="n"/>
      <c r="P347" s="31" t="n"/>
      <c r="Q347" s="31" t="n"/>
      <c r="R347" s="31" t="n"/>
      <c r="S347" s="32">
        <f>IF($F347="","",IF(IFERROR(VLOOKUP($F347,'维度字典'!$I$2:$J$50,2,0),"求和")="手工录入","",IF(IFERROR(VLOOKUP($F347,'维度字典'!$I$2:$J$50,2,0),"求和")="最新值",IFERROR(LOOKUP(9.99E+307,G347:R347),""),SUM(G347:R347))))</f>
        <v/>
      </c>
      <c r="T347" s="33" t="n"/>
      <c r="U347" s="33" t="n"/>
    </row>
    <row r="348">
      <c r="A348" s="26">
        <f>IF($B348="","",ROW()-3)</f>
        <v/>
      </c>
      <c r="B348" s="27" t="n"/>
      <c r="C348" s="27" t="n"/>
      <c r="D348" s="28" t="n"/>
      <c r="E348" s="29" t="n"/>
      <c r="F348" s="30" t="n"/>
      <c r="G348" s="31" t="n"/>
      <c r="H348" s="31" t="n"/>
      <c r="I348" s="31" t="n"/>
      <c r="J348" s="31" t="n"/>
      <c r="K348" s="31" t="n"/>
      <c r="L348" s="31" t="n"/>
      <c r="M348" s="31" t="n"/>
      <c r="N348" s="31" t="n"/>
      <c r="O348" s="31" t="n"/>
      <c r="P348" s="31" t="n"/>
      <c r="Q348" s="31" t="n"/>
      <c r="R348" s="31" t="n"/>
      <c r="S348" s="32">
        <f>IF($F348="","",IF(IFERROR(VLOOKUP($F348,'维度字典'!$I$2:$J$50,2,0),"求和")="手工录入","",IF(IFERROR(VLOOKUP($F348,'维度字典'!$I$2:$J$50,2,0),"求和")="最新值",IFERROR(LOOKUP(9.99E+307,G348:R348),""),SUM(G348:R348))))</f>
        <v/>
      </c>
      <c r="T348" s="33" t="n"/>
      <c r="U348" s="33" t="n"/>
    </row>
    <row r="349">
      <c r="A349" s="26">
        <f>IF($B349="","",ROW()-3)</f>
        <v/>
      </c>
      <c r="B349" s="27" t="n"/>
      <c r="C349" s="27" t="n"/>
      <c r="D349" s="28" t="n"/>
      <c r="E349" s="29" t="n"/>
      <c r="F349" s="30" t="n"/>
      <c r="G349" s="31" t="n"/>
      <c r="H349" s="31" t="n"/>
      <c r="I349" s="31" t="n"/>
      <c r="J349" s="31" t="n"/>
      <c r="K349" s="31" t="n"/>
      <c r="L349" s="31" t="n"/>
      <c r="M349" s="31" t="n"/>
      <c r="N349" s="31" t="n"/>
      <c r="O349" s="31" t="n"/>
      <c r="P349" s="31" t="n"/>
      <c r="Q349" s="31" t="n"/>
      <c r="R349" s="31" t="n"/>
      <c r="S349" s="32">
        <f>IF($F349="","",IF(IFERROR(VLOOKUP($F349,'维度字典'!$I$2:$J$50,2,0),"求和")="手工录入","",IF(IFERROR(VLOOKUP($F349,'维度字典'!$I$2:$J$50,2,0),"求和")="最新值",IFERROR(LOOKUP(9.99E+307,G349:R349),""),SUM(G349:R349))))</f>
        <v/>
      </c>
      <c r="T349" s="33" t="n"/>
      <c r="U349" s="33" t="n"/>
    </row>
    <row r="350">
      <c r="A350" s="26">
        <f>IF($B350="","",ROW()-3)</f>
        <v/>
      </c>
      <c r="B350" s="27" t="n"/>
      <c r="C350" s="27" t="n"/>
      <c r="D350" s="28" t="n"/>
      <c r="E350" s="29" t="n"/>
      <c r="F350" s="30" t="n"/>
      <c r="G350" s="31" t="n"/>
      <c r="H350" s="31" t="n"/>
      <c r="I350" s="31" t="n"/>
      <c r="J350" s="31" t="n"/>
      <c r="K350" s="31" t="n"/>
      <c r="L350" s="31" t="n"/>
      <c r="M350" s="31" t="n"/>
      <c r="N350" s="31" t="n"/>
      <c r="O350" s="31" t="n"/>
      <c r="P350" s="31" t="n"/>
      <c r="Q350" s="31" t="n"/>
      <c r="R350" s="31" t="n"/>
      <c r="S350" s="32">
        <f>IF($F350="","",IF(IFERROR(VLOOKUP($F350,'维度字典'!$I$2:$J$50,2,0),"求和")="手工录入","",IF(IFERROR(VLOOKUP($F350,'维度字典'!$I$2:$J$50,2,0),"求和")="最新值",IFERROR(LOOKUP(9.99E+307,G350:R350),""),SUM(G350:R350))))</f>
        <v/>
      </c>
      <c r="T350" s="33" t="n"/>
      <c r="U350" s="33" t="n"/>
    </row>
    <row r="351">
      <c r="A351" s="26">
        <f>IF($B351="","",ROW()-3)</f>
        <v/>
      </c>
      <c r="B351" s="27" t="n"/>
      <c r="C351" s="27" t="n"/>
      <c r="D351" s="28" t="n"/>
      <c r="E351" s="29" t="n"/>
      <c r="F351" s="30" t="n"/>
      <c r="G351" s="31" t="n"/>
      <c r="H351" s="31" t="n"/>
      <c r="I351" s="31" t="n"/>
      <c r="J351" s="31" t="n"/>
      <c r="K351" s="31" t="n"/>
      <c r="L351" s="31" t="n"/>
      <c r="M351" s="31" t="n"/>
      <c r="N351" s="31" t="n"/>
      <c r="O351" s="31" t="n"/>
      <c r="P351" s="31" t="n"/>
      <c r="Q351" s="31" t="n"/>
      <c r="R351" s="31" t="n"/>
      <c r="S351" s="32">
        <f>IF($F351="","",IF(IFERROR(VLOOKUP($F351,'维度字典'!$I$2:$J$50,2,0),"求和")="手工录入","",IF(IFERROR(VLOOKUP($F351,'维度字典'!$I$2:$J$50,2,0),"求和")="最新值",IFERROR(LOOKUP(9.99E+307,G351:R351),""),SUM(G351:R351))))</f>
        <v/>
      </c>
      <c r="T351" s="33" t="n"/>
      <c r="U351" s="33" t="n"/>
    </row>
    <row r="352">
      <c r="A352" s="26">
        <f>IF($B352="","",ROW()-3)</f>
        <v/>
      </c>
      <c r="B352" s="27" t="n"/>
      <c r="C352" s="27" t="n"/>
      <c r="D352" s="28" t="n"/>
      <c r="E352" s="29" t="n"/>
      <c r="F352" s="30" t="n"/>
      <c r="G352" s="31" t="n"/>
      <c r="H352" s="31" t="n"/>
      <c r="I352" s="31" t="n"/>
      <c r="J352" s="31" t="n"/>
      <c r="K352" s="31" t="n"/>
      <c r="L352" s="31" t="n"/>
      <c r="M352" s="31" t="n"/>
      <c r="N352" s="31" t="n"/>
      <c r="O352" s="31" t="n"/>
      <c r="P352" s="31" t="n"/>
      <c r="Q352" s="31" t="n"/>
      <c r="R352" s="31" t="n"/>
      <c r="S352" s="32">
        <f>IF($F352="","",IF(IFERROR(VLOOKUP($F352,'维度字典'!$I$2:$J$50,2,0),"求和")="手工录入","",IF(IFERROR(VLOOKUP($F352,'维度字典'!$I$2:$J$50,2,0),"求和")="最新值",IFERROR(LOOKUP(9.99E+307,G352:R352),""),SUM(G352:R352))))</f>
        <v/>
      </c>
      <c r="T352" s="33" t="n"/>
      <c r="U352" s="33" t="n"/>
    </row>
    <row r="353">
      <c r="A353" s="26">
        <f>IF($B353="","",ROW()-3)</f>
        <v/>
      </c>
      <c r="B353" s="27" t="n"/>
      <c r="C353" s="27" t="n"/>
      <c r="D353" s="28" t="n"/>
      <c r="E353" s="29" t="n"/>
      <c r="F353" s="30" t="n"/>
      <c r="G353" s="31" t="n"/>
      <c r="H353" s="31" t="n"/>
      <c r="I353" s="31" t="n"/>
      <c r="J353" s="31" t="n"/>
      <c r="K353" s="31" t="n"/>
      <c r="L353" s="31" t="n"/>
      <c r="M353" s="31" t="n"/>
      <c r="N353" s="31" t="n"/>
      <c r="O353" s="31" t="n"/>
      <c r="P353" s="31" t="n"/>
      <c r="Q353" s="31" t="n"/>
      <c r="R353" s="31" t="n"/>
      <c r="S353" s="32">
        <f>IF($F353="","",IF(IFERROR(VLOOKUP($F353,'维度字典'!$I$2:$J$50,2,0),"求和")="手工录入","",IF(IFERROR(VLOOKUP($F353,'维度字典'!$I$2:$J$50,2,0),"求和")="最新值",IFERROR(LOOKUP(9.99E+307,G353:R353),""),SUM(G353:R353))))</f>
        <v/>
      </c>
      <c r="T353" s="33" t="n"/>
      <c r="U353" s="33" t="n"/>
    </row>
    <row r="354">
      <c r="A354" s="26">
        <f>IF($B354="","",ROW()-3)</f>
        <v/>
      </c>
      <c r="B354" s="27" t="n"/>
      <c r="C354" s="27" t="n"/>
      <c r="D354" s="28" t="n"/>
      <c r="E354" s="29" t="n"/>
      <c r="F354" s="30" t="n"/>
      <c r="G354" s="31" t="n"/>
      <c r="H354" s="31" t="n"/>
      <c r="I354" s="31" t="n"/>
      <c r="J354" s="31" t="n"/>
      <c r="K354" s="31" t="n"/>
      <c r="L354" s="31" t="n"/>
      <c r="M354" s="31" t="n"/>
      <c r="N354" s="31" t="n"/>
      <c r="O354" s="31" t="n"/>
      <c r="P354" s="31" t="n"/>
      <c r="Q354" s="31" t="n"/>
      <c r="R354" s="31" t="n"/>
      <c r="S354" s="32">
        <f>IF($F354="","",IF(IFERROR(VLOOKUP($F354,'维度字典'!$I$2:$J$50,2,0),"求和")="手工录入","",IF(IFERROR(VLOOKUP($F354,'维度字典'!$I$2:$J$50,2,0),"求和")="最新值",IFERROR(LOOKUP(9.99E+307,G354:R354),""),SUM(G354:R354))))</f>
        <v/>
      </c>
      <c r="T354" s="33" t="n"/>
      <c r="U354" s="33" t="n"/>
    </row>
    <row r="355">
      <c r="A355" s="26">
        <f>IF($B355="","",ROW()-3)</f>
        <v/>
      </c>
      <c r="B355" s="27" t="n"/>
      <c r="C355" s="27" t="n"/>
      <c r="D355" s="28" t="n"/>
      <c r="E355" s="29" t="n"/>
      <c r="F355" s="30" t="n"/>
      <c r="G355" s="31" t="n"/>
      <c r="H355" s="31" t="n"/>
      <c r="I355" s="31" t="n"/>
      <c r="J355" s="31" t="n"/>
      <c r="K355" s="31" t="n"/>
      <c r="L355" s="31" t="n"/>
      <c r="M355" s="31" t="n"/>
      <c r="N355" s="31" t="n"/>
      <c r="O355" s="31" t="n"/>
      <c r="P355" s="31" t="n"/>
      <c r="Q355" s="31" t="n"/>
      <c r="R355" s="31" t="n"/>
      <c r="S355" s="32">
        <f>IF($F355="","",IF(IFERROR(VLOOKUP($F355,'维度字典'!$I$2:$J$50,2,0),"求和")="手工录入","",IF(IFERROR(VLOOKUP($F355,'维度字典'!$I$2:$J$50,2,0),"求和")="最新值",IFERROR(LOOKUP(9.99E+307,G355:R355),""),SUM(G355:R355))))</f>
        <v/>
      </c>
      <c r="T355" s="33" t="n"/>
      <c r="U355" s="33" t="n"/>
    </row>
    <row r="356">
      <c r="A356" s="26">
        <f>IF($B356="","",ROW()-3)</f>
        <v/>
      </c>
      <c r="B356" s="27" t="n"/>
      <c r="C356" s="27" t="n"/>
      <c r="D356" s="28" t="n"/>
      <c r="E356" s="29" t="n"/>
      <c r="F356" s="30" t="n"/>
      <c r="G356" s="31" t="n"/>
      <c r="H356" s="31" t="n"/>
      <c r="I356" s="31" t="n"/>
      <c r="J356" s="31" t="n"/>
      <c r="K356" s="31" t="n"/>
      <c r="L356" s="31" t="n"/>
      <c r="M356" s="31" t="n"/>
      <c r="N356" s="31" t="n"/>
      <c r="O356" s="31" t="n"/>
      <c r="P356" s="31" t="n"/>
      <c r="Q356" s="31" t="n"/>
      <c r="R356" s="31" t="n"/>
      <c r="S356" s="32">
        <f>IF($F356="","",IF(IFERROR(VLOOKUP($F356,'维度字典'!$I$2:$J$50,2,0),"求和")="手工录入","",IF(IFERROR(VLOOKUP($F356,'维度字典'!$I$2:$J$50,2,0),"求和")="最新值",IFERROR(LOOKUP(9.99E+307,G356:R356),""),SUM(G356:R356))))</f>
        <v/>
      </c>
      <c r="T356" s="33" t="n"/>
      <c r="U356" s="33" t="n"/>
    </row>
    <row r="357">
      <c r="A357" s="26">
        <f>IF($B357="","",ROW()-3)</f>
        <v/>
      </c>
      <c r="B357" s="27" t="n"/>
      <c r="C357" s="27" t="n"/>
      <c r="D357" s="28" t="n"/>
      <c r="E357" s="29" t="n"/>
      <c r="F357" s="30" t="n"/>
      <c r="G357" s="31" t="n"/>
      <c r="H357" s="31" t="n"/>
      <c r="I357" s="31" t="n"/>
      <c r="J357" s="31" t="n"/>
      <c r="K357" s="31" t="n"/>
      <c r="L357" s="31" t="n"/>
      <c r="M357" s="31" t="n"/>
      <c r="N357" s="31" t="n"/>
      <c r="O357" s="31" t="n"/>
      <c r="P357" s="31" t="n"/>
      <c r="Q357" s="31" t="n"/>
      <c r="R357" s="31" t="n"/>
      <c r="S357" s="32">
        <f>IF($F357="","",IF(IFERROR(VLOOKUP($F357,'维度字典'!$I$2:$J$50,2,0),"求和")="手工录入","",IF(IFERROR(VLOOKUP($F357,'维度字典'!$I$2:$J$50,2,0),"求和")="最新值",IFERROR(LOOKUP(9.99E+307,G357:R357),""),SUM(G357:R357))))</f>
        <v/>
      </c>
      <c r="T357" s="33" t="n"/>
      <c r="U357" s="33" t="n"/>
    </row>
    <row r="358">
      <c r="A358" s="26">
        <f>IF($B358="","",ROW()-3)</f>
        <v/>
      </c>
      <c r="B358" s="27" t="n"/>
      <c r="C358" s="27" t="n"/>
      <c r="D358" s="28" t="n"/>
      <c r="E358" s="29" t="n"/>
      <c r="F358" s="30" t="n"/>
      <c r="G358" s="31" t="n"/>
      <c r="H358" s="31" t="n"/>
      <c r="I358" s="31" t="n"/>
      <c r="J358" s="31" t="n"/>
      <c r="K358" s="31" t="n"/>
      <c r="L358" s="31" t="n"/>
      <c r="M358" s="31" t="n"/>
      <c r="N358" s="31" t="n"/>
      <c r="O358" s="31" t="n"/>
      <c r="P358" s="31" t="n"/>
      <c r="Q358" s="31" t="n"/>
      <c r="R358" s="31" t="n"/>
      <c r="S358" s="32">
        <f>IF($F358="","",IF(IFERROR(VLOOKUP($F358,'维度字典'!$I$2:$J$50,2,0),"求和")="手工录入","",IF(IFERROR(VLOOKUP($F358,'维度字典'!$I$2:$J$50,2,0),"求和")="最新值",IFERROR(LOOKUP(9.99E+307,G358:R358),""),SUM(G358:R358))))</f>
        <v/>
      </c>
      <c r="T358" s="33" t="n"/>
      <c r="U358" s="33" t="n"/>
    </row>
    <row r="359">
      <c r="A359" s="26">
        <f>IF($B359="","",ROW()-3)</f>
        <v/>
      </c>
      <c r="B359" s="27" t="n"/>
      <c r="C359" s="27" t="n"/>
      <c r="D359" s="28" t="n"/>
      <c r="E359" s="29" t="n"/>
      <c r="F359" s="30" t="n"/>
      <c r="G359" s="31" t="n"/>
      <c r="H359" s="31" t="n"/>
      <c r="I359" s="31" t="n"/>
      <c r="J359" s="31" t="n"/>
      <c r="K359" s="31" t="n"/>
      <c r="L359" s="31" t="n"/>
      <c r="M359" s="31" t="n"/>
      <c r="N359" s="31" t="n"/>
      <c r="O359" s="31" t="n"/>
      <c r="P359" s="31" t="n"/>
      <c r="Q359" s="31" t="n"/>
      <c r="R359" s="31" t="n"/>
      <c r="S359" s="32">
        <f>IF($F359="","",IF(IFERROR(VLOOKUP($F359,'维度字典'!$I$2:$J$50,2,0),"求和")="手工录入","",IF(IFERROR(VLOOKUP($F359,'维度字典'!$I$2:$J$50,2,0),"求和")="最新值",IFERROR(LOOKUP(9.99E+307,G359:R359),""),SUM(G359:R359))))</f>
        <v/>
      </c>
      <c r="T359" s="33" t="n"/>
      <c r="U359" s="33" t="n"/>
    </row>
    <row r="360">
      <c r="A360" s="26">
        <f>IF($B360="","",ROW()-3)</f>
        <v/>
      </c>
      <c r="B360" s="27" t="n"/>
      <c r="C360" s="27" t="n"/>
      <c r="D360" s="28" t="n"/>
      <c r="E360" s="29" t="n"/>
      <c r="F360" s="30" t="n"/>
      <c r="G360" s="31" t="n"/>
      <c r="H360" s="31" t="n"/>
      <c r="I360" s="31" t="n"/>
      <c r="J360" s="31" t="n"/>
      <c r="K360" s="31" t="n"/>
      <c r="L360" s="31" t="n"/>
      <c r="M360" s="31" t="n"/>
      <c r="N360" s="31" t="n"/>
      <c r="O360" s="31" t="n"/>
      <c r="P360" s="31" t="n"/>
      <c r="Q360" s="31" t="n"/>
      <c r="R360" s="31" t="n"/>
      <c r="S360" s="32">
        <f>IF($F360="","",IF(IFERROR(VLOOKUP($F360,'维度字典'!$I$2:$J$50,2,0),"求和")="手工录入","",IF(IFERROR(VLOOKUP($F360,'维度字典'!$I$2:$J$50,2,0),"求和")="最新值",IFERROR(LOOKUP(9.99E+307,G360:R360),""),SUM(G360:R360))))</f>
        <v/>
      </c>
      <c r="T360" s="33" t="n"/>
      <c r="U360" s="33" t="n"/>
    </row>
    <row r="361">
      <c r="A361" s="26">
        <f>IF($B361="","",ROW()-3)</f>
        <v/>
      </c>
      <c r="B361" s="27" t="n"/>
      <c r="C361" s="27" t="n"/>
      <c r="D361" s="28" t="n"/>
      <c r="E361" s="29" t="n"/>
      <c r="F361" s="30" t="n"/>
      <c r="G361" s="31" t="n"/>
      <c r="H361" s="31" t="n"/>
      <c r="I361" s="31" t="n"/>
      <c r="J361" s="31" t="n"/>
      <c r="K361" s="31" t="n"/>
      <c r="L361" s="31" t="n"/>
      <c r="M361" s="31" t="n"/>
      <c r="N361" s="31" t="n"/>
      <c r="O361" s="31" t="n"/>
      <c r="P361" s="31" t="n"/>
      <c r="Q361" s="31" t="n"/>
      <c r="R361" s="31" t="n"/>
      <c r="S361" s="32">
        <f>IF($F361="","",IF(IFERROR(VLOOKUP($F361,'维度字典'!$I$2:$J$50,2,0),"求和")="手工录入","",IF(IFERROR(VLOOKUP($F361,'维度字典'!$I$2:$J$50,2,0),"求和")="最新值",IFERROR(LOOKUP(9.99E+307,G361:R361),""),SUM(G361:R361))))</f>
        <v/>
      </c>
      <c r="T361" s="33" t="n"/>
      <c r="U361" s="33" t="n"/>
    </row>
    <row r="362">
      <c r="A362" s="26">
        <f>IF($B362="","",ROW()-3)</f>
        <v/>
      </c>
      <c r="B362" s="27" t="n"/>
      <c r="C362" s="27" t="n"/>
      <c r="D362" s="28" t="n"/>
      <c r="E362" s="29" t="n"/>
      <c r="F362" s="30" t="n"/>
      <c r="G362" s="31" t="n"/>
      <c r="H362" s="31" t="n"/>
      <c r="I362" s="31" t="n"/>
      <c r="J362" s="31" t="n"/>
      <c r="K362" s="31" t="n"/>
      <c r="L362" s="31" t="n"/>
      <c r="M362" s="31" t="n"/>
      <c r="N362" s="31" t="n"/>
      <c r="O362" s="31" t="n"/>
      <c r="P362" s="31" t="n"/>
      <c r="Q362" s="31" t="n"/>
      <c r="R362" s="31" t="n"/>
      <c r="S362" s="32">
        <f>IF($F362="","",IF(IFERROR(VLOOKUP($F362,'维度字典'!$I$2:$J$50,2,0),"求和")="手工录入","",IF(IFERROR(VLOOKUP($F362,'维度字典'!$I$2:$J$50,2,0),"求和")="最新值",IFERROR(LOOKUP(9.99E+307,G362:R362),""),SUM(G362:R362))))</f>
        <v/>
      </c>
      <c r="T362" s="33" t="n"/>
      <c r="U362" s="33" t="n"/>
    </row>
    <row r="363">
      <c r="A363" s="26">
        <f>IF($B363="","",ROW()-3)</f>
        <v/>
      </c>
      <c r="B363" s="27" t="n"/>
      <c r="C363" s="27" t="n"/>
      <c r="D363" s="28" t="n"/>
      <c r="E363" s="29" t="n"/>
      <c r="F363" s="30" t="n"/>
      <c r="G363" s="31" t="n"/>
      <c r="H363" s="31" t="n"/>
      <c r="I363" s="31" t="n"/>
      <c r="J363" s="31" t="n"/>
      <c r="K363" s="31" t="n"/>
      <c r="L363" s="31" t="n"/>
      <c r="M363" s="31" t="n"/>
      <c r="N363" s="31" t="n"/>
      <c r="O363" s="31" t="n"/>
      <c r="P363" s="31" t="n"/>
      <c r="Q363" s="31" t="n"/>
      <c r="R363" s="31" t="n"/>
      <c r="S363" s="32">
        <f>IF($F363="","",IF(IFERROR(VLOOKUP($F363,'维度字典'!$I$2:$J$50,2,0),"求和")="手工录入","",IF(IFERROR(VLOOKUP($F363,'维度字典'!$I$2:$J$50,2,0),"求和")="最新值",IFERROR(LOOKUP(9.99E+307,G363:R363),""),SUM(G363:R363))))</f>
        <v/>
      </c>
      <c r="T363" s="33" t="n"/>
      <c r="U363" s="33" t="n"/>
    </row>
    <row r="364">
      <c r="A364" s="26">
        <f>IF($B364="","",ROW()-3)</f>
        <v/>
      </c>
      <c r="B364" s="27" t="n"/>
      <c r="C364" s="27" t="n"/>
      <c r="D364" s="28" t="n"/>
      <c r="E364" s="29" t="n"/>
      <c r="F364" s="30" t="n"/>
      <c r="G364" s="31" t="n"/>
      <c r="H364" s="31" t="n"/>
      <c r="I364" s="31" t="n"/>
      <c r="J364" s="31" t="n"/>
      <c r="K364" s="31" t="n"/>
      <c r="L364" s="31" t="n"/>
      <c r="M364" s="31" t="n"/>
      <c r="N364" s="31" t="n"/>
      <c r="O364" s="31" t="n"/>
      <c r="P364" s="31" t="n"/>
      <c r="Q364" s="31" t="n"/>
      <c r="R364" s="31" t="n"/>
      <c r="S364" s="32">
        <f>IF($F364="","",IF(IFERROR(VLOOKUP($F364,'维度字典'!$I$2:$J$50,2,0),"求和")="手工录入","",IF(IFERROR(VLOOKUP($F364,'维度字典'!$I$2:$J$50,2,0),"求和")="最新值",IFERROR(LOOKUP(9.99E+307,G364:R364),""),SUM(G364:R364))))</f>
        <v/>
      </c>
      <c r="T364" s="33" t="n"/>
      <c r="U364" s="33" t="n"/>
    </row>
    <row r="365">
      <c r="A365" s="26">
        <f>IF($B365="","",ROW()-3)</f>
        <v/>
      </c>
      <c r="B365" s="27" t="n"/>
      <c r="C365" s="27" t="n"/>
      <c r="D365" s="28" t="n"/>
      <c r="E365" s="29" t="n"/>
      <c r="F365" s="30" t="n"/>
      <c r="G365" s="31" t="n"/>
      <c r="H365" s="31" t="n"/>
      <c r="I365" s="31" t="n"/>
      <c r="J365" s="31" t="n"/>
      <c r="K365" s="31" t="n"/>
      <c r="L365" s="31" t="n"/>
      <c r="M365" s="31" t="n"/>
      <c r="N365" s="31" t="n"/>
      <c r="O365" s="31" t="n"/>
      <c r="P365" s="31" t="n"/>
      <c r="Q365" s="31" t="n"/>
      <c r="R365" s="31" t="n"/>
      <c r="S365" s="32">
        <f>IF($F365="","",IF(IFERROR(VLOOKUP($F365,'维度字典'!$I$2:$J$50,2,0),"求和")="手工录入","",IF(IFERROR(VLOOKUP($F365,'维度字典'!$I$2:$J$50,2,0),"求和")="最新值",IFERROR(LOOKUP(9.99E+307,G365:R365),""),SUM(G365:R365))))</f>
        <v/>
      </c>
      <c r="T365" s="33" t="n"/>
      <c r="U365" s="33" t="n"/>
    </row>
    <row r="366">
      <c r="A366" s="26">
        <f>IF($B366="","",ROW()-3)</f>
        <v/>
      </c>
      <c r="B366" s="27" t="n"/>
      <c r="C366" s="27" t="n"/>
      <c r="D366" s="28" t="n"/>
      <c r="E366" s="29" t="n"/>
      <c r="F366" s="30" t="n"/>
      <c r="G366" s="31" t="n"/>
      <c r="H366" s="31" t="n"/>
      <c r="I366" s="31" t="n"/>
      <c r="J366" s="31" t="n"/>
      <c r="K366" s="31" t="n"/>
      <c r="L366" s="31" t="n"/>
      <c r="M366" s="31" t="n"/>
      <c r="N366" s="31" t="n"/>
      <c r="O366" s="31" t="n"/>
      <c r="P366" s="31" t="n"/>
      <c r="Q366" s="31" t="n"/>
      <c r="R366" s="31" t="n"/>
      <c r="S366" s="32">
        <f>IF($F366="","",IF(IFERROR(VLOOKUP($F366,'维度字典'!$I$2:$J$50,2,0),"求和")="手工录入","",IF(IFERROR(VLOOKUP($F366,'维度字典'!$I$2:$J$50,2,0),"求和")="最新值",IFERROR(LOOKUP(9.99E+307,G366:R366),""),SUM(G366:R366))))</f>
        <v/>
      </c>
      <c r="T366" s="33" t="n"/>
      <c r="U366" s="33" t="n"/>
    </row>
    <row r="367">
      <c r="A367" s="26">
        <f>IF($B367="","",ROW()-3)</f>
        <v/>
      </c>
      <c r="B367" s="27" t="n"/>
      <c r="C367" s="27" t="n"/>
      <c r="D367" s="28" t="n"/>
      <c r="E367" s="29" t="n"/>
      <c r="F367" s="30" t="n"/>
      <c r="G367" s="31" t="n"/>
      <c r="H367" s="31" t="n"/>
      <c r="I367" s="31" t="n"/>
      <c r="J367" s="31" t="n"/>
      <c r="K367" s="31" t="n"/>
      <c r="L367" s="31" t="n"/>
      <c r="M367" s="31" t="n"/>
      <c r="N367" s="31" t="n"/>
      <c r="O367" s="31" t="n"/>
      <c r="P367" s="31" t="n"/>
      <c r="Q367" s="31" t="n"/>
      <c r="R367" s="31" t="n"/>
      <c r="S367" s="32">
        <f>IF($F367="","",IF(IFERROR(VLOOKUP($F367,'维度字典'!$I$2:$J$50,2,0),"求和")="手工录入","",IF(IFERROR(VLOOKUP($F367,'维度字典'!$I$2:$J$50,2,0),"求和")="最新值",IFERROR(LOOKUP(9.99E+307,G367:R367),""),SUM(G367:R367))))</f>
        <v/>
      </c>
      <c r="T367" s="33" t="n"/>
      <c r="U367" s="33" t="n"/>
    </row>
    <row r="368">
      <c r="A368" s="26">
        <f>IF($B368="","",ROW()-3)</f>
        <v/>
      </c>
      <c r="B368" s="27" t="n"/>
      <c r="C368" s="27" t="n"/>
      <c r="D368" s="28" t="n"/>
      <c r="E368" s="29" t="n"/>
      <c r="F368" s="30" t="n"/>
      <c r="G368" s="31" t="n"/>
      <c r="H368" s="31" t="n"/>
      <c r="I368" s="31" t="n"/>
      <c r="J368" s="31" t="n"/>
      <c r="K368" s="31" t="n"/>
      <c r="L368" s="31" t="n"/>
      <c r="M368" s="31" t="n"/>
      <c r="N368" s="31" t="n"/>
      <c r="O368" s="31" t="n"/>
      <c r="P368" s="31" t="n"/>
      <c r="Q368" s="31" t="n"/>
      <c r="R368" s="31" t="n"/>
      <c r="S368" s="32">
        <f>IF($F368="","",IF(IFERROR(VLOOKUP($F368,'维度字典'!$I$2:$J$50,2,0),"求和")="手工录入","",IF(IFERROR(VLOOKUP($F368,'维度字典'!$I$2:$J$50,2,0),"求和")="最新值",IFERROR(LOOKUP(9.99E+307,G368:R368),""),SUM(G368:R368))))</f>
        <v/>
      </c>
      <c r="T368" s="33" t="n"/>
      <c r="U368" s="33" t="n"/>
    </row>
    <row r="369">
      <c r="A369" s="26">
        <f>IF($B369="","",ROW()-3)</f>
        <v/>
      </c>
      <c r="B369" s="27" t="n"/>
      <c r="C369" s="27" t="n"/>
      <c r="D369" s="28" t="n"/>
      <c r="E369" s="29" t="n"/>
      <c r="F369" s="30" t="n"/>
      <c r="G369" s="31" t="n"/>
      <c r="H369" s="31" t="n"/>
      <c r="I369" s="31" t="n"/>
      <c r="J369" s="31" t="n"/>
      <c r="K369" s="31" t="n"/>
      <c r="L369" s="31" t="n"/>
      <c r="M369" s="31" t="n"/>
      <c r="N369" s="31" t="n"/>
      <c r="O369" s="31" t="n"/>
      <c r="P369" s="31" t="n"/>
      <c r="Q369" s="31" t="n"/>
      <c r="R369" s="31" t="n"/>
      <c r="S369" s="32">
        <f>IF($F369="","",IF(IFERROR(VLOOKUP($F369,'维度字典'!$I$2:$J$50,2,0),"求和")="手工录入","",IF(IFERROR(VLOOKUP($F369,'维度字典'!$I$2:$J$50,2,0),"求和")="最新值",IFERROR(LOOKUP(9.99E+307,G369:R369),""),SUM(G369:R369))))</f>
        <v/>
      </c>
      <c r="T369" s="33" t="n"/>
      <c r="U369" s="33" t="n"/>
    </row>
    <row r="370">
      <c r="A370" s="26">
        <f>IF($B370="","",ROW()-3)</f>
        <v/>
      </c>
      <c r="B370" s="27" t="n"/>
      <c r="C370" s="27" t="n"/>
      <c r="D370" s="28" t="n"/>
      <c r="E370" s="29" t="n"/>
      <c r="F370" s="30" t="n"/>
      <c r="G370" s="31" t="n"/>
      <c r="H370" s="31" t="n"/>
      <c r="I370" s="31" t="n"/>
      <c r="J370" s="31" t="n"/>
      <c r="K370" s="31" t="n"/>
      <c r="L370" s="31" t="n"/>
      <c r="M370" s="31" t="n"/>
      <c r="N370" s="31" t="n"/>
      <c r="O370" s="31" t="n"/>
      <c r="P370" s="31" t="n"/>
      <c r="Q370" s="31" t="n"/>
      <c r="R370" s="31" t="n"/>
      <c r="S370" s="32">
        <f>IF($F370="","",IF(IFERROR(VLOOKUP($F370,'维度字典'!$I$2:$J$50,2,0),"求和")="手工录入","",IF(IFERROR(VLOOKUP($F370,'维度字典'!$I$2:$J$50,2,0),"求和")="最新值",IFERROR(LOOKUP(9.99E+307,G370:R370),""),SUM(G370:R370))))</f>
        <v/>
      </c>
      <c r="T370" s="33" t="n"/>
      <c r="U370" s="33" t="n"/>
    </row>
    <row r="371">
      <c r="A371" s="26">
        <f>IF($B371="","",ROW()-3)</f>
        <v/>
      </c>
      <c r="B371" s="27" t="n"/>
      <c r="C371" s="27" t="n"/>
      <c r="D371" s="28" t="n"/>
      <c r="E371" s="29" t="n"/>
      <c r="F371" s="30" t="n"/>
      <c r="G371" s="31" t="n"/>
      <c r="H371" s="31" t="n"/>
      <c r="I371" s="31" t="n"/>
      <c r="J371" s="31" t="n"/>
      <c r="K371" s="31" t="n"/>
      <c r="L371" s="31" t="n"/>
      <c r="M371" s="31" t="n"/>
      <c r="N371" s="31" t="n"/>
      <c r="O371" s="31" t="n"/>
      <c r="P371" s="31" t="n"/>
      <c r="Q371" s="31" t="n"/>
      <c r="R371" s="31" t="n"/>
      <c r="S371" s="32">
        <f>IF($F371="","",IF(IFERROR(VLOOKUP($F371,'维度字典'!$I$2:$J$50,2,0),"求和")="手工录入","",IF(IFERROR(VLOOKUP($F371,'维度字典'!$I$2:$J$50,2,0),"求和")="最新值",IFERROR(LOOKUP(9.99E+307,G371:R371),""),SUM(G371:R371))))</f>
        <v/>
      </c>
      <c r="T371" s="33" t="n"/>
      <c r="U371" s="33" t="n"/>
    </row>
    <row r="372">
      <c r="A372" s="26">
        <f>IF($B372="","",ROW()-3)</f>
        <v/>
      </c>
      <c r="B372" s="27" t="n"/>
      <c r="C372" s="27" t="n"/>
      <c r="D372" s="28" t="n"/>
      <c r="E372" s="29" t="n"/>
      <c r="F372" s="30" t="n"/>
      <c r="G372" s="31" t="n"/>
      <c r="H372" s="31" t="n"/>
      <c r="I372" s="31" t="n"/>
      <c r="J372" s="31" t="n"/>
      <c r="K372" s="31" t="n"/>
      <c r="L372" s="31" t="n"/>
      <c r="M372" s="31" t="n"/>
      <c r="N372" s="31" t="n"/>
      <c r="O372" s="31" t="n"/>
      <c r="P372" s="31" t="n"/>
      <c r="Q372" s="31" t="n"/>
      <c r="R372" s="31" t="n"/>
      <c r="S372" s="32">
        <f>IF($F372="","",IF(IFERROR(VLOOKUP($F372,'维度字典'!$I$2:$J$50,2,0),"求和")="手工录入","",IF(IFERROR(VLOOKUP($F372,'维度字典'!$I$2:$J$50,2,0),"求和")="最新值",IFERROR(LOOKUP(9.99E+307,G372:R372),""),SUM(G372:R372))))</f>
        <v/>
      </c>
      <c r="T372" s="33" t="n"/>
      <c r="U372" s="33" t="n"/>
    </row>
    <row r="373">
      <c r="A373" s="26">
        <f>IF($B373="","",ROW()-3)</f>
        <v/>
      </c>
      <c r="B373" s="27" t="n"/>
      <c r="C373" s="27" t="n"/>
      <c r="D373" s="28" t="n"/>
      <c r="E373" s="29" t="n"/>
      <c r="F373" s="30" t="n"/>
      <c r="G373" s="31" t="n"/>
      <c r="H373" s="31" t="n"/>
      <c r="I373" s="31" t="n"/>
      <c r="J373" s="31" t="n"/>
      <c r="K373" s="31" t="n"/>
      <c r="L373" s="31" t="n"/>
      <c r="M373" s="31" t="n"/>
      <c r="N373" s="31" t="n"/>
      <c r="O373" s="31" t="n"/>
      <c r="P373" s="31" t="n"/>
      <c r="Q373" s="31" t="n"/>
      <c r="R373" s="31" t="n"/>
      <c r="S373" s="32">
        <f>IF($F373="","",IF(IFERROR(VLOOKUP($F373,'维度字典'!$I$2:$J$50,2,0),"求和")="手工录入","",IF(IFERROR(VLOOKUP($F373,'维度字典'!$I$2:$J$50,2,0),"求和")="最新值",IFERROR(LOOKUP(9.99E+307,G373:R373),""),SUM(G373:R373))))</f>
        <v/>
      </c>
      <c r="T373" s="33" t="n"/>
      <c r="U373" s="33" t="n"/>
    </row>
    <row r="374">
      <c r="A374" s="26">
        <f>IF($B374="","",ROW()-3)</f>
        <v/>
      </c>
      <c r="B374" s="27" t="n"/>
      <c r="C374" s="27" t="n"/>
      <c r="D374" s="28" t="n"/>
      <c r="E374" s="29" t="n"/>
      <c r="F374" s="30" t="n"/>
      <c r="G374" s="31" t="n"/>
      <c r="H374" s="31" t="n"/>
      <c r="I374" s="31" t="n"/>
      <c r="J374" s="31" t="n"/>
      <c r="K374" s="31" t="n"/>
      <c r="L374" s="31" t="n"/>
      <c r="M374" s="31" t="n"/>
      <c r="N374" s="31" t="n"/>
      <c r="O374" s="31" t="n"/>
      <c r="P374" s="31" t="n"/>
      <c r="Q374" s="31" t="n"/>
      <c r="R374" s="31" t="n"/>
      <c r="S374" s="32">
        <f>IF($F374="","",IF(IFERROR(VLOOKUP($F374,'维度字典'!$I$2:$J$50,2,0),"求和")="手工录入","",IF(IFERROR(VLOOKUP($F374,'维度字典'!$I$2:$J$50,2,0),"求和")="最新值",IFERROR(LOOKUP(9.99E+307,G374:R374),""),SUM(G374:R374))))</f>
        <v/>
      </c>
      <c r="T374" s="33" t="n"/>
      <c r="U374" s="33" t="n"/>
    </row>
    <row r="375">
      <c r="A375" s="26">
        <f>IF($B375="","",ROW()-3)</f>
        <v/>
      </c>
      <c r="B375" s="27" t="n"/>
      <c r="C375" s="27" t="n"/>
      <c r="D375" s="28" t="n"/>
      <c r="E375" s="29" t="n"/>
      <c r="F375" s="30" t="n"/>
      <c r="G375" s="31" t="n"/>
      <c r="H375" s="31" t="n"/>
      <c r="I375" s="31" t="n"/>
      <c r="J375" s="31" t="n"/>
      <c r="K375" s="31" t="n"/>
      <c r="L375" s="31" t="n"/>
      <c r="M375" s="31" t="n"/>
      <c r="N375" s="31" t="n"/>
      <c r="O375" s="31" t="n"/>
      <c r="P375" s="31" t="n"/>
      <c r="Q375" s="31" t="n"/>
      <c r="R375" s="31" t="n"/>
      <c r="S375" s="32">
        <f>IF($F375="","",IF(IFERROR(VLOOKUP($F375,'维度字典'!$I$2:$J$50,2,0),"求和")="手工录入","",IF(IFERROR(VLOOKUP($F375,'维度字典'!$I$2:$J$50,2,0),"求和")="最新值",IFERROR(LOOKUP(9.99E+307,G375:R375),""),SUM(G375:R375))))</f>
        <v/>
      </c>
      <c r="T375" s="33" t="n"/>
      <c r="U375" s="33" t="n"/>
    </row>
    <row r="376">
      <c r="A376" s="26">
        <f>IF($B376="","",ROW()-3)</f>
        <v/>
      </c>
      <c r="B376" s="27" t="n"/>
      <c r="C376" s="27" t="n"/>
      <c r="D376" s="28" t="n"/>
      <c r="E376" s="29" t="n"/>
      <c r="F376" s="30" t="n"/>
      <c r="G376" s="31" t="n"/>
      <c r="H376" s="31" t="n"/>
      <c r="I376" s="31" t="n"/>
      <c r="J376" s="31" t="n"/>
      <c r="K376" s="31" t="n"/>
      <c r="L376" s="31" t="n"/>
      <c r="M376" s="31" t="n"/>
      <c r="N376" s="31" t="n"/>
      <c r="O376" s="31" t="n"/>
      <c r="P376" s="31" t="n"/>
      <c r="Q376" s="31" t="n"/>
      <c r="R376" s="31" t="n"/>
      <c r="S376" s="32">
        <f>IF($F376="","",IF(IFERROR(VLOOKUP($F376,'维度字典'!$I$2:$J$50,2,0),"求和")="手工录入","",IF(IFERROR(VLOOKUP($F376,'维度字典'!$I$2:$J$50,2,0),"求和")="最新值",IFERROR(LOOKUP(9.99E+307,G376:R376),""),SUM(G376:R376))))</f>
        <v/>
      </c>
      <c r="T376" s="33" t="n"/>
      <c r="U376" s="33" t="n"/>
    </row>
    <row r="377">
      <c r="A377" s="26">
        <f>IF($B377="","",ROW()-3)</f>
        <v/>
      </c>
      <c r="B377" s="27" t="n"/>
      <c r="C377" s="27" t="n"/>
      <c r="D377" s="28" t="n"/>
      <c r="E377" s="29" t="n"/>
      <c r="F377" s="30" t="n"/>
      <c r="G377" s="31" t="n"/>
      <c r="H377" s="31" t="n"/>
      <c r="I377" s="31" t="n"/>
      <c r="J377" s="31" t="n"/>
      <c r="K377" s="31" t="n"/>
      <c r="L377" s="31" t="n"/>
      <c r="M377" s="31" t="n"/>
      <c r="N377" s="31" t="n"/>
      <c r="O377" s="31" t="n"/>
      <c r="P377" s="31" t="n"/>
      <c r="Q377" s="31" t="n"/>
      <c r="R377" s="31" t="n"/>
      <c r="S377" s="32">
        <f>IF($F377="","",IF(IFERROR(VLOOKUP($F377,'维度字典'!$I$2:$J$50,2,0),"求和")="手工录入","",IF(IFERROR(VLOOKUP($F377,'维度字典'!$I$2:$J$50,2,0),"求和")="最新值",IFERROR(LOOKUP(9.99E+307,G377:R377),""),SUM(G377:R377))))</f>
        <v/>
      </c>
      <c r="T377" s="33" t="n"/>
      <c r="U377" s="33" t="n"/>
    </row>
    <row r="378">
      <c r="A378" s="26">
        <f>IF($B378="","",ROW()-3)</f>
        <v/>
      </c>
      <c r="B378" s="27" t="n"/>
      <c r="C378" s="27" t="n"/>
      <c r="D378" s="28" t="n"/>
      <c r="E378" s="29" t="n"/>
      <c r="F378" s="30" t="n"/>
      <c r="G378" s="31" t="n"/>
      <c r="H378" s="31" t="n"/>
      <c r="I378" s="31" t="n"/>
      <c r="J378" s="31" t="n"/>
      <c r="K378" s="31" t="n"/>
      <c r="L378" s="31" t="n"/>
      <c r="M378" s="31" t="n"/>
      <c r="N378" s="31" t="n"/>
      <c r="O378" s="31" t="n"/>
      <c r="P378" s="31" t="n"/>
      <c r="Q378" s="31" t="n"/>
      <c r="R378" s="31" t="n"/>
      <c r="S378" s="32">
        <f>IF($F378="","",IF(IFERROR(VLOOKUP($F378,'维度字典'!$I$2:$J$50,2,0),"求和")="手工录入","",IF(IFERROR(VLOOKUP($F378,'维度字典'!$I$2:$J$50,2,0),"求和")="最新值",IFERROR(LOOKUP(9.99E+307,G378:R378),""),SUM(G378:R378))))</f>
        <v/>
      </c>
      <c r="T378" s="33" t="n"/>
      <c r="U378" s="33" t="n"/>
    </row>
    <row r="379">
      <c r="A379" s="26">
        <f>IF($B379="","",ROW()-3)</f>
        <v/>
      </c>
      <c r="B379" s="27" t="n"/>
      <c r="C379" s="27" t="n"/>
      <c r="D379" s="28" t="n"/>
      <c r="E379" s="29" t="n"/>
      <c r="F379" s="30" t="n"/>
      <c r="G379" s="31" t="n"/>
      <c r="H379" s="31" t="n"/>
      <c r="I379" s="31" t="n"/>
      <c r="J379" s="31" t="n"/>
      <c r="K379" s="31" t="n"/>
      <c r="L379" s="31" t="n"/>
      <c r="M379" s="31" t="n"/>
      <c r="N379" s="31" t="n"/>
      <c r="O379" s="31" t="n"/>
      <c r="P379" s="31" t="n"/>
      <c r="Q379" s="31" t="n"/>
      <c r="R379" s="31" t="n"/>
      <c r="S379" s="32">
        <f>IF($F379="","",IF(IFERROR(VLOOKUP($F379,'维度字典'!$I$2:$J$50,2,0),"求和")="手工录入","",IF(IFERROR(VLOOKUP($F379,'维度字典'!$I$2:$J$50,2,0),"求和")="最新值",IFERROR(LOOKUP(9.99E+307,G379:R379),""),SUM(G379:R379))))</f>
        <v/>
      </c>
      <c r="T379" s="33" t="n"/>
      <c r="U379" s="33" t="n"/>
    </row>
    <row r="380">
      <c r="A380" s="26">
        <f>IF($B380="","",ROW()-3)</f>
        <v/>
      </c>
      <c r="B380" s="27" t="n"/>
      <c r="C380" s="27" t="n"/>
      <c r="D380" s="28" t="n"/>
      <c r="E380" s="29" t="n"/>
      <c r="F380" s="30" t="n"/>
      <c r="G380" s="31" t="n"/>
      <c r="H380" s="31" t="n"/>
      <c r="I380" s="31" t="n"/>
      <c r="J380" s="31" t="n"/>
      <c r="K380" s="31" t="n"/>
      <c r="L380" s="31" t="n"/>
      <c r="M380" s="31" t="n"/>
      <c r="N380" s="31" t="n"/>
      <c r="O380" s="31" t="n"/>
      <c r="P380" s="31" t="n"/>
      <c r="Q380" s="31" t="n"/>
      <c r="R380" s="31" t="n"/>
      <c r="S380" s="32">
        <f>IF($F380="","",IF(IFERROR(VLOOKUP($F380,'维度字典'!$I$2:$J$50,2,0),"求和")="手工录入","",IF(IFERROR(VLOOKUP($F380,'维度字典'!$I$2:$J$50,2,0),"求和")="最新值",IFERROR(LOOKUP(9.99E+307,G380:R380),""),SUM(G380:R380))))</f>
        <v/>
      </c>
      <c r="T380" s="33" t="n"/>
      <c r="U380" s="33" t="n"/>
    </row>
    <row r="381">
      <c r="A381" s="26">
        <f>IF($B381="","",ROW()-3)</f>
        <v/>
      </c>
      <c r="B381" s="27" t="n"/>
      <c r="C381" s="27" t="n"/>
      <c r="D381" s="28" t="n"/>
      <c r="E381" s="29" t="n"/>
      <c r="F381" s="30" t="n"/>
      <c r="G381" s="31" t="n"/>
      <c r="H381" s="31" t="n"/>
      <c r="I381" s="31" t="n"/>
      <c r="J381" s="31" t="n"/>
      <c r="K381" s="31" t="n"/>
      <c r="L381" s="31" t="n"/>
      <c r="M381" s="31" t="n"/>
      <c r="N381" s="31" t="n"/>
      <c r="O381" s="31" t="n"/>
      <c r="P381" s="31" t="n"/>
      <c r="Q381" s="31" t="n"/>
      <c r="R381" s="31" t="n"/>
      <c r="S381" s="32">
        <f>IF($F381="","",IF(IFERROR(VLOOKUP($F381,'维度字典'!$I$2:$J$50,2,0),"求和")="手工录入","",IF(IFERROR(VLOOKUP($F381,'维度字典'!$I$2:$J$50,2,0),"求和")="最新值",IFERROR(LOOKUP(9.99E+307,G381:R381),""),SUM(G381:R381))))</f>
        <v/>
      </c>
      <c r="T381" s="33" t="n"/>
      <c r="U381" s="33" t="n"/>
    </row>
    <row r="382">
      <c r="A382" s="26">
        <f>IF($B382="","",ROW()-3)</f>
        <v/>
      </c>
      <c r="B382" s="27" t="n"/>
      <c r="C382" s="27" t="n"/>
      <c r="D382" s="28" t="n"/>
      <c r="E382" s="29" t="n"/>
      <c r="F382" s="30" t="n"/>
      <c r="G382" s="31" t="n"/>
      <c r="H382" s="31" t="n"/>
      <c r="I382" s="31" t="n"/>
      <c r="J382" s="31" t="n"/>
      <c r="K382" s="31" t="n"/>
      <c r="L382" s="31" t="n"/>
      <c r="M382" s="31" t="n"/>
      <c r="N382" s="31" t="n"/>
      <c r="O382" s="31" t="n"/>
      <c r="P382" s="31" t="n"/>
      <c r="Q382" s="31" t="n"/>
      <c r="R382" s="31" t="n"/>
      <c r="S382" s="32">
        <f>IF($F382="","",IF(IFERROR(VLOOKUP($F382,'维度字典'!$I$2:$J$50,2,0),"求和")="手工录入","",IF(IFERROR(VLOOKUP($F382,'维度字典'!$I$2:$J$50,2,0),"求和")="最新值",IFERROR(LOOKUP(9.99E+307,G382:R382),""),SUM(G382:R382))))</f>
        <v/>
      </c>
      <c r="T382" s="33" t="n"/>
      <c r="U382" s="33" t="n"/>
    </row>
    <row r="383">
      <c r="A383" s="26">
        <f>IF($B383="","",ROW()-3)</f>
        <v/>
      </c>
      <c r="B383" s="27" t="n"/>
      <c r="C383" s="27" t="n"/>
      <c r="D383" s="28" t="n"/>
      <c r="E383" s="29" t="n"/>
      <c r="F383" s="30" t="n"/>
      <c r="G383" s="31" t="n"/>
      <c r="H383" s="31" t="n"/>
      <c r="I383" s="31" t="n"/>
      <c r="J383" s="31" t="n"/>
      <c r="K383" s="31" t="n"/>
      <c r="L383" s="31" t="n"/>
      <c r="M383" s="31" t="n"/>
      <c r="N383" s="31" t="n"/>
      <c r="O383" s="31" t="n"/>
      <c r="P383" s="31" t="n"/>
      <c r="Q383" s="31" t="n"/>
      <c r="R383" s="31" t="n"/>
      <c r="S383" s="32">
        <f>IF($F383="","",IF(IFERROR(VLOOKUP($F383,'维度字典'!$I$2:$J$50,2,0),"求和")="手工录入","",IF(IFERROR(VLOOKUP($F383,'维度字典'!$I$2:$J$50,2,0),"求和")="最新值",IFERROR(LOOKUP(9.99E+307,G383:R383),""),SUM(G383:R383))))</f>
        <v/>
      </c>
      <c r="T383" s="33" t="n"/>
      <c r="U383" s="33" t="n"/>
    </row>
    <row r="384">
      <c r="A384" s="26">
        <f>IF($B384="","",ROW()-3)</f>
        <v/>
      </c>
      <c r="B384" s="27" t="n"/>
      <c r="C384" s="27" t="n"/>
      <c r="D384" s="28" t="n"/>
      <c r="E384" s="29" t="n"/>
      <c r="F384" s="30" t="n"/>
      <c r="G384" s="31" t="n"/>
      <c r="H384" s="31" t="n"/>
      <c r="I384" s="31" t="n"/>
      <c r="J384" s="31" t="n"/>
      <c r="K384" s="31" t="n"/>
      <c r="L384" s="31" t="n"/>
      <c r="M384" s="31" t="n"/>
      <c r="N384" s="31" t="n"/>
      <c r="O384" s="31" t="n"/>
      <c r="P384" s="31" t="n"/>
      <c r="Q384" s="31" t="n"/>
      <c r="R384" s="31" t="n"/>
      <c r="S384" s="32">
        <f>IF($F384="","",IF(IFERROR(VLOOKUP($F384,'维度字典'!$I$2:$J$50,2,0),"求和")="手工录入","",IF(IFERROR(VLOOKUP($F384,'维度字典'!$I$2:$J$50,2,0),"求和")="最新值",IFERROR(LOOKUP(9.99E+307,G384:R384),""),SUM(G384:R384))))</f>
        <v/>
      </c>
      <c r="T384" s="33" t="n"/>
      <c r="U384" s="33" t="n"/>
    </row>
    <row r="385">
      <c r="A385" s="26">
        <f>IF($B385="","",ROW()-3)</f>
        <v/>
      </c>
      <c r="B385" s="27" t="n"/>
      <c r="C385" s="27" t="n"/>
      <c r="D385" s="28" t="n"/>
      <c r="E385" s="29" t="n"/>
      <c r="F385" s="30" t="n"/>
      <c r="G385" s="31" t="n"/>
      <c r="H385" s="31" t="n"/>
      <c r="I385" s="31" t="n"/>
      <c r="J385" s="31" t="n"/>
      <c r="K385" s="31" t="n"/>
      <c r="L385" s="31" t="n"/>
      <c r="M385" s="31" t="n"/>
      <c r="N385" s="31" t="n"/>
      <c r="O385" s="31" t="n"/>
      <c r="P385" s="31" t="n"/>
      <c r="Q385" s="31" t="n"/>
      <c r="R385" s="31" t="n"/>
      <c r="S385" s="32">
        <f>IF($F385="","",IF(IFERROR(VLOOKUP($F385,'维度字典'!$I$2:$J$50,2,0),"求和")="手工录入","",IF(IFERROR(VLOOKUP($F385,'维度字典'!$I$2:$J$50,2,0),"求和")="最新值",IFERROR(LOOKUP(9.99E+307,G385:R385),""),SUM(G385:R385))))</f>
        <v/>
      </c>
      <c r="T385" s="33" t="n"/>
      <c r="U385" s="33" t="n"/>
    </row>
    <row r="386">
      <c r="A386" s="26">
        <f>IF($B386="","",ROW()-3)</f>
        <v/>
      </c>
      <c r="B386" s="27" t="n"/>
      <c r="C386" s="27" t="n"/>
      <c r="D386" s="28" t="n"/>
      <c r="E386" s="29" t="n"/>
      <c r="F386" s="30" t="n"/>
      <c r="G386" s="31" t="n"/>
      <c r="H386" s="31" t="n"/>
      <c r="I386" s="31" t="n"/>
      <c r="J386" s="31" t="n"/>
      <c r="K386" s="31" t="n"/>
      <c r="L386" s="31" t="n"/>
      <c r="M386" s="31" t="n"/>
      <c r="N386" s="31" t="n"/>
      <c r="O386" s="31" t="n"/>
      <c r="P386" s="31" t="n"/>
      <c r="Q386" s="31" t="n"/>
      <c r="R386" s="31" t="n"/>
      <c r="S386" s="32">
        <f>IF($F386="","",IF(IFERROR(VLOOKUP($F386,'维度字典'!$I$2:$J$50,2,0),"求和")="手工录入","",IF(IFERROR(VLOOKUP($F386,'维度字典'!$I$2:$J$50,2,0),"求和")="最新值",IFERROR(LOOKUP(9.99E+307,G386:R386),""),SUM(G386:R386))))</f>
        <v/>
      </c>
      <c r="T386" s="33" t="n"/>
      <c r="U386" s="33" t="n"/>
    </row>
    <row r="387">
      <c r="A387" s="26">
        <f>IF($B387="","",ROW()-3)</f>
        <v/>
      </c>
      <c r="B387" s="27" t="n"/>
      <c r="C387" s="27" t="n"/>
      <c r="D387" s="28" t="n"/>
      <c r="E387" s="29" t="n"/>
      <c r="F387" s="30" t="n"/>
      <c r="G387" s="31" t="n"/>
      <c r="H387" s="31" t="n"/>
      <c r="I387" s="31" t="n"/>
      <c r="J387" s="31" t="n"/>
      <c r="K387" s="31" t="n"/>
      <c r="L387" s="31" t="n"/>
      <c r="M387" s="31" t="n"/>
      <c r="N387" s="31" t="n"/>
      <c r="O387" s="31" t="n"/>
      <c r="P387" s="31" t="n"/>
      <c r="Q387" s="31" t="n"/>
      <c r="R387" s="31" t="n"/>
      <c r="S387" s="32">
        <f>IF($F387="","",IF(IFERROR(VLOOKUP($F387,'维度字典'!$I$2:$J$50,2,0),"求和")="手工录入","",IF(IFERROR(VLOOKUP($F387,'维度字典'!$I$2:$J$50,2,0),"求和")="最新值",IFERROR(LOOKUP(9.99E+307,G387:R387),""),SUM(G387:R387))))</f>
        <v/>
      </c>
      <c r="T387" s="33" t="n"/>
      <c r="U387" s="33" t="n"/>
    </row>
    <row r="388">
      <c r="A388" s="26">
        <f>IF($B388="","",ROW()-3)</f>
        <v/>
      </c>
      <c r="B388" s="27" t="n"/>
      <c r="C388" s="27" t="n"/>
      <c r="D388" s="28" t="n"/>
      <c r="E388" s="29" t="n"/>
      <c r="F388" s="30" t="n"/>
      <c r="G388" s="31" t="n"/>
      <c r="H388" s="31" t="n"/>
      <c r="I388" s="31" t="n"/>
      <c r="J388" s="31" t="n"/>
      <c r="K388" s="31" t="n"/>
      <c r="L388" s="31" t="n"/>
      <c r="M388" s="31" t="n"/>
      <c r="N388" s="31" t="n"/>
      <c r="O388" s="31" t="n"/>
      <c r="P388" s="31" t="n"/>
      <c r="Q388" s="31" t="n"/>
      <c r="R388" s="31" t="n"/>
      <c r="S388" s="32">
        <f>IF($F388="","",IF(IFERROR(VLOOKUP($F388,'维度字典'!$I$2:$J$50,2,0),"求和")="手工录入","",IF(IFERROR(VLOOKUP($F388,'维度字典'!$I$2:$J$50,2,0),"求和")="最新值",IFERROR(LOOKUP(9.99E+307,G388:R388),""),SUM(G388:R388))))</f>
        <v/>
      </c>
      <c r="T388" s="33" t="n"/>
      <c r="U388" s="33" t="n"/>
    </row>
    <row r="389">
      <c r="A389" s="26">
        <f>IF($B389="","",ROW()-3)</f>
        <v/>
      </c>
      <c r="B389" s="27" t="n"/>
      <c r="C389" s="27" t="n"/>
      <c r="D389" s="28" t="n"/>
      <c r="E389" s="29" t="n"/>
      <c r="F389" s="30" t="n"/>
      <c r="G389" s="31" t="n"/>
      <c r="H389" s="31" t="n"/>
      <c r="I389" s="31" t="n"/>
      <c r="J389" s="31" t="n"/>
      <c r="K389" s="31" t="n"/>
      <c r="L389" s="31" t="n"/>
      <c r="M389" s="31" t="n"/>
      <c r="N389" s="31" t="n"/>
      <c r="O389" s="31" t="n"/>
      <c r="P389" s="31" t="n"/>
      <c r="Q389" s="31" t="n"/>
      <c r="R389" s="31" t="n"/>
      <c r="S389" s="32">
        <f>IF($F389="","",IF(IFERROR(VLOOKUP($F389,'维度字典'!$I$2:$J$50,2,0),"求和")="手工录入","",IF(IFERROR(VLOOKUP($F389,'维度字典'!$I$2:$J$50,2,0),"求和")="最新值",IFERROR(LOOKUP(9.99E+307,G389:R389),""),SUM(G389:R389))))</f>
        <v/>
      </c>
      <c r="T389" s="33" t="n"/>
      <c r="U389" s="33" t="n"/>
    </row>
    <row r="390">
      <c r="A390" s="26">
        <f>IF($B390="","",ROW()-3)</f>
        <v/>
      </c>
      <c r="B390" s="27" t="n"/>
      <c r="C390" s="27" t="n"/>
      <c r="D390" s="28" t="n"/>
      <c r="E390" s="29" t="n"/>
      <c r="F390" s="30" t="n"/>
      <c r="G390" s="31" t="n"/>
      <c r="H390" s="31" t="n"/>
      <c r="I390" s="31" t="n"/>
      <c r="J390" s="31" t="n"/>
      <c r="K390" s="31" t="n"/>
      <c r="L390" s="31" t="n"/>
      <c r="M390" s="31" t="n"/>
      <c r="N390" s="31" t="n"/>
      <c r="O390" s="31" t="n"/>
      <c r="P390" s="31" t="n"/>
      <c r="Q390" s="31" t="n"/>
      <c r="R390" s="31" t="n"/>
      <c r="S390" s="32">
        <f>IF($F390="","",IF(IFERROR(VLOOKUP($F390,'维度字典'!$I$2:$J$50,2,0),"求和")="手工录入","",IF(IFERROR(VLOOKUP($F390,'维度字典'!$I$2:$J$50,2,0),"求和")="最新值",IFERROR(LOOKUP(9.99E+307,G390:R390),""),SUM(G390:R390))))</f>
        <v/>
      </c>
      <c r="T390" s="33" t="n"/>
      <c r="U390" s="33" t="n"/>
    </row>
    <row r="391">
      <c r="A391" s="26">
        <f>IF($B391="","",ROW()-3)</f>
        <v/>
      </c>
      <c r="B391" s="27" t="n"/>
      <c r="C391" s="27" t="n"/>
      <c r="D391" s="28" t="n"/>
      <c r="E391" s="29" t="n"/>
      <c r="F391" s="30" t="n"/>
      <c r="G391" s="31" t="n"/>
      <c r="H391" s="31" t="n"/>
      <c r="I391" s="31" t="n"/>
      <c r="J391" s="31" t="n"/>
      <c r="K391" s="31" t="n"/>
      <c r="L391" s="31" t="n"/>
      <c r="M391" s="31" t="n"/>
      <c r="N391" s="31" t="n"/>
      <c r="O391" s="31" t="n"/>
      <c r="P391" s="31" t="n"/>
      <c r="Q391" s="31" t="n"/>
      <c r="R391" s="31" t="n"/>
      <c r="S391" s="32">
        <f>IF($F391="","",IF(IFERROR(VLOOKUP($F391,'维度字典'!$I$2:$J$50,2,0),"求和")="手工录入","",IF(IFERROR(VLOOKUP($F391,'维度字典'!$I$2:$J$50,2,0),"求和")="最新值",IFERROR(LOOKUP(9.99E+307,G391:R391),""),SUM(G391:R391))))</f>
        <v/>
      </c>
      <c r="T391" s="33" t="n"/>
      <c r="U391" s="33" t="n"/>
    </row>
    <row r="392">
      <c r="A392" s="26">
        <f>IF($B392="","",ROW()-3)</f>
        <v/>
      </c>
      <c r="B392" s="27" t="n"/>
      <c r="C392" s="27" t="n"/>
      <c r="D392" s="28" t="n"/>
      <c r="E392" s="29" t="n"/>
      <c r="F392" s="30" t="n"/>
      <c r="G392" s="31" t="n"/>
      <c r="H392" s="31" t="n"/>
      <c r="I392" s="31" t="n"/>
      <c r="J392" s="31" t="n"/>
      <c r="K392" s="31" t="n"/>
      <c r="L392" s="31" t="n"/>
      <c r="M392" s="31" t="n"/>
      <c r="N392" s="31" t="n"/>
      <c r="O392" s="31" t="n"/>
      <c r="P392" s="31" t="n"/>
      <c r="Q392" s="31" t="n"/>
      <c r="R392" s="31" t="n"/>
      <c r="S392" s="32">
        <f>IF($F392="","",IF(IFERROR(VLOOKUP($F392,'维度字典'!$I$2:$J$50,2,0),"求和")="手工录入","",IF(IFERROR(VLOOKUP($F392,'维度字典'!$I$2:$J$50,2,0),"求和")="最新值",IFERROR(LOOKUP(9.99E+307,G392:R392),""),SUM(G392:R392))))</f>
        <v/>
      </c>
      <c r="T392" s="33" t="n"/>
      <c r="U392" s="33" t="n"/>
    </row>
    <row r="393">
      <c r="A393" s="26">
        <f>IF($B393="","",ROW()-3)</f>
        <v/>
      </c>
      <c r="B393" s="27" t="n"/>
      <c r="C393" s="27" t="n"/>
      <c r="D393" s="28" t="n"/>
      <c r="E393" s="29" t="n"/>
      <c r="F393" s="30" t="n"/>
      <c r="G393" s="31" t="n"/>
      <c r="H393" s="31" t="n"/>
      <c r="I393" s="31" t="n"/>
      <c r="J393" s="31" t="n"/>
      <c r="K393" s="31" t="n"/>
      <c r="L393" s="31" t="n"/>
      <c r="M393" s="31" t="n"/>
      <c r="N393" s="31" t="n"/>
      <c r="O393" s="31" t="n"/>
      <c r="P393" s="31" t="n"/>
      <c r="Q393" s="31" t="n"/>
      <c r="R393" s="31" t="n"/>
      <c r="S393" s="32">
        <f>IF($F393="","",IF(IFERROR(VLOOKUP($F393,'维度字典'!$I$2:$J$50,2,0),"求和")="手工录入","",IF(IFERROR(VLOOKUP($F393,'维度字典'!$I$2:$J$50,2,0),"求和")="最新值",IFERROR(LOOKUP(9.99E+307,G393:R393),""),SUM(G393:R393))))</f>
        <v/>
      </c>
      <c r="T393" s="33" t="n"/>
      <c r="U393" s="33" t="n"/>
    </row>
    <row r="394">
      <c r="A394" s="26">
        <f>IF($B394="","",ROW()-3)</f>
        <v/>
      </c>
      <c r="B394" s="27" t="n"/>
      <c r="C394" s="27" t="n"/>
      <c r="D394" s="28" t="n"/>
      <c r="E394" s="29" t="n"/>
      <c r="F394" s="30" t="n"/>
      <c r="G394" s="31" t="n"/>
      <c r="H394" s="31" t="n"/>
      <c r="I394" s="31" t="n"/>
      <c r="J394" s="31" t="n"/>
      <c r="K394" s="31" t="n"/>
      <c r="L394" s="31" t="n"/>
      <c r="M394" s="31" t="n"/>
      <c r="N394" s="31" t="n"/>
      <c r="O394" s="31" t="n"/>
      <c r="P394" s="31" t="n"/>
      <c r="Q394" s="31" t="n"/>
      <c r="R394" s="31" t="n"/>
      <c r="S394" s="32">
        <f>IF($F394="","",IF(IFERROR(VLOOKUP($F394,'维度字典'!$I$2:$J$50,2,0),"求和")="手工录入","",IF(IFERROR(VLOOKUP($F394,'维度字典'!$I$2:$J$50,2,0),"求和")="最新值",IFERROR(LOOKUP(9.99E+307,G394:R394),""),SUM(G394:R394))))</f>
        <v/>
      </c>
      <c r="T394" s="33" t="n"/>
      <c r="U394" s="33" t="n"/>
    </row>
    <row r="395">
      <c r="A395" s="26">
        <f>IF($B395="","",ROW()-3)</f>
        <v/>
      </c>
      <c r="B395" s="27" t="n"/>
      <c r="C395" s="27" t="n"/>
      <c r="D395" s="28" t="n"/>
      <c r="E395" s="29" t="n"/>
      <c r="F395" s="30" t="n"/>
      <c r="G395" s="31" t="n"/>
      <c r="H395" s="31" t="n"/>
      <c r="I395" s="31" t="n"/>
      <c r="J395" s="31" t="n"/>
      <c r="K395" s="31" t="n"/>
      <c r="L395" s="31" t="n"/>
      <c r="M395" s="31" t="n"/>
      <c r="N395" s="31" t="n"/>
      <c r="O395" s="31" t="n"/>
      <c r="P395" s="31" t="n"/>
      <c r="Q395" s="31" t="n"/>
      <c r="R395" s="31" t="n"/>
      <c r="S395" s="32">
        <f>IF($F395="","",IF(IFERROR(VLOOKUP($F395,'维度字典'!$I$2:$J$50,2,0),"求和")="手工录入","",IF(IFERROR(VLOOKUP($F395,'维度字典'!$I$2:$J$50,2,0),"求和")="最新值",IFERROR(LOOKUP(9.99E+307,G395:R395),""),SUM(G395:R395))))</f>
        <v/>
      </c>
      <c r="T395" s="33" t="n"/>
      <c r="U395" s="33" t="n"/>
    </row>
    <row r="396">
      <c r="A396" s="26">
        <f>IF($B396="","",ROW()-3)</f>
        <v/>
      </c>
      <c r="B396" s="27" t="n"/>
      <c r="C396" s="27" t="n"/>
      <c r="D396" s="28" t="n"/>
      <c r="E396" s="29" t="n"/>
      <c r="F396" s="30" t="n"/>
      <c r="G396" s="31" t="n"/>
      <c r="H396" s="31" t="n"/>
      <c r="I396" s="31" t="n"/>
      <c r="J396" s="31" t="n"/>
      <c r="K396" s="31" t="n"/>
      <c r="L396" s="31" t="n"/>
      <c r="M396" s="31" t="n"/>
      <c r="N396" s="31" t="n"/>
      <c r="O396" s="31" t="n"/>
      <c r="P396" s="31" t="n"/>
      <c r="Q396" s="31" t="n"/>
      <c r="R396" s="31" t="n"/>
      <c r="S396" s="32">
        <f>IF($F396="","",IF(IFERROR(VLOOKUP($F396,'维度字典'!$I$2:$J$50,2,0),"求和")="手工录入","",IF(IFERROR(VLOOKUP($F396,'维度字典'!$I$2:$J$50,2,0),"求和")="最新值",IFERROR(LOOKUP(9.99E+307,G396:R396),""),SUM(G396:R396))))</f>
        <v/>
      </c>
      <c r="T396" s="33" t="n"/>
      <c r="U396" s="33" t="n"/>
    </row>
    <row r="397">
      <c r="A397" s="26">
        <f>IF($B397="","",ROW()-3)</f>
        <v/>
      </c>
      <c r="B397" s="27" t="n"/>
      <c r="C397" s="27" t="n"/>
      <c r="D397" s="28" t="n"/>
      <c r="E397" s="29" t="n"/>
      <c r="F397" s="30" t="n"/>
      <c r="G397" s="31" t="n"/>
      <c r="H397" s="31" t="n"/>
      <c r="I397" s="31" t="n"/>
      <c r="J397" s="31" t="n"/>
      <c r="K397" s="31" t="n"/>
      <c r="L397" s="31" t="n"/>
      <c r="M397" s="31" t="n"/>
      <c r="N397" s="31" t="n"/>
      <c r="O397" s="31" t="n"/>
      <c r="P397" s="31" t="n"/>
      <c r="Q397" s="31" t="n"/>
      <c r="R397" s="31" t="n"/>
      <c r="S397" s="32">
        <f>IF($F397="","",IF(IFERROR(VLOOKUP($F397,'维度字典'!$I$2:$J$50,2,0),"求和")="手工录入","",IF(IFERROR(VLOOKUP($F397,'维度字典'!$I$2:$J$50,2,0),"求和")="最新值",IFERROR(LOOKUP(9.99E+307,G397:R397),""),SUM(G397:R397))))</f>
        <v/>
      </c>
      <c r="T397" s="33" t="n"/>
      <c r="U397" s="33" t="n"/>
    </row>
    <row r="398">
      <c r="A398" s="26">
        <f>IF($B398="","",ROW()-3)</f>
        <v/>
      </c>
      <c r="B398" s="27" t="n"/>
      <c r="C398" s="27" t="n"/>
      <c r="D398" s="28" t="n"/>
      <c r="E398" s="29" t="n"/>
      <c r="F398" s="30" t="n"/>
      <c r="G398" s="31" t="n"/>
      <c r="H398" s="31" t="n"/>
      <c r="I398" s="31" t="n"/>
      <c r="J398" s="31" t="n"/>
      <c r="K398" s="31" t="n"/>
      <c r="L398" s="31" t="n"/>
      <c r="M398" s="31" t="n"/>
      <c r="N398" s="31" t="n"/>
      <c r="O398" s="31" t="n"/>
      <c r="P398" s="31" t="n"/>
      <c r="Q398" s="31" t="n"/>
      <c r="R398" s="31" t="n"/>
      <c r="S398" s="32">
        <f>IF($F398="","",IF(IFERROR(VLOOKUP($F398,'维度字典'!$I$2:$J$50,2,0),"求和")="手工录入","",IF(IFERROR(VLOOKUP($F398,'维度字典'!$I$2:$J$50,2,0),"求和")="最新值",IFERROR(LOOKUP(9.99E+307,G398:R398),""),SUM(G398:R398))))</f>
        <v/>
      </c>
      <c r="T398" s="33" t="n"/>
      <c r="U398" s="33" t="n"/>
    </row>
    <row r="399">
      <c r="A399" s="26">
        <f>IF($B399="","",ROW()-3)</f>
        <v/>
      </c>
      <c r="B399" s="27" t="n"/>
      <c r="C399" s="27" t="n"/>
      <c r="D399" s="28" t="n"/>
      <c r="E399" s="29" t="n"/>
      <c r="F399" s="30" t="n"/>
      <c r="G399" s="31" t="n"/>
      <c r="H399" s="31" t="n"/>
      <c r="I399" s="31" t="n"/>
      <c r="J399" s="31" t="n"/>
      <c r="K399" s="31" t="n"/>
      <c r="L399" s="31" t="n"/>
      <c r="M399" s="31" t="n"/>
      <c r="N399" s="31" t="n"/>
      <c r="O399" s="31" t="n"/>
      <c r="P399" s="31" t="n"/>
      <c r="Q399" s="31" t="n"/>
      <c r="R399" s="31" t="n"/>
      <c r="S399" s="32">
        <f>IF($F399="","",IF(IFERROR(VLOOKUP($F399,'维度字典'!$I$2:$J$50,2,0),"求和")="手工录入","",IF(IFERROR(VLOOKUP($F399,'维度字典'!$I$2:$J$50,2,0),"求和")="最新值",IFERROR(LOOKUP(9.99E+307,G399:R399),""),SUM(G399:R399))))</f>
        <v/>
      </c>
      <c r="T399" s="33" t="n"/>
      <c r="U399" s="33" t="n"/>
    </row>
    <row r="400">
      <c r="A400" s="26">
        <f>IF($B400="","",ROW()-3)</f>
        <v/>
      </c>
      <c r="B400" s="27" t="n"/>
      <c r="C400" s="27" t="n"/>
      <c r="D400" s="28" t="n"/>
      <c r="E400" s="29" t="n"/>
      <c r="F400" s="30" t="n"/>
      <c r="G400" s="31" t="n"/>
      <c r="H400" s="31" t="n"/>
      <c r="I400" s="31" t="n"/>
      <c r="J400" s="31" t="n"/>
      <c r="K400" s="31" t="n"/>
      <c r="L400" s="31" t="n"/>
      <c r="M400" s="31" t="n"/>
      <c r="N400" s="31" t="n"/>
      <c r="O400" s="31" t="n"/>
      <c r="P400" s="31" t="n"/>
      <c r="Q400" s="31" t="n"/>
      <c r="R400" s="31" t="n"/>
      <c r="S400" s="32">
        <f>IF($F400="","",IF(IFERROR(VLOOKUP($F400,'维度字典'!$I$2:$J$50,2,0),"求和")="手工录入","",IF(IFERROR(VLOOKUP($F400,'维度字典'!$I$2:$J$50,2,0),"求和")="最新值",IFERROR(LOOKUP(9.99E+307,G400:R400),""),SUM(G400:R400))))</f>
        <v/>
      </c>
      <c r="T400" s="33" t="n"/>
      <c r="U400" s="33" t="n"/>
    </row>
    <row r="401">
      <c r="A401" s="26">
        <f>IF($B401="","",ROW()-3)</f>
        <v/>
      </c>
      <c r="B401" s="27" t="n"/>
      <c r="C401" s="27" t="n"/>
      <c r="D401" s="28" t="n"/>
      <c r="E401" s="29" t="n"/>
      <c r="F401" s="30" t="n"/>
      <c r="G401" s="31" t="n"/>
      <c r="H401" s="31" t="n"/>
      <c r="I401" s="31" t="n"/>
      <c r="J401" s="31" t="n"/>
      <c r="K401" s="31" t="n"/>
      <c r="L401" s="31" t="n"/>
      <c r="M401" s="31" t="n"/>
      <c r="N401" s="31" t="n"/>
      <c r="O401" s="31" t="n"/>
      <c r="P401" s="31" t="n"/>
      <c r="Q401" s="31" t="n"/>
      <c r="R401" s="31" t="n"/>
      <c r="S401" s="32">
        <f>IF($F401="","",IF(IFERROR(VLOOKUP($F401,'维度字典'!$I$2:$J$50,2,0),"求和")="手工录入","",IF(IFERROR(VLOOKUP($F401,'维度字典'!$I$2:$J$50,2,0),"求和")="最新值",IFERROR(LOOKUP(9.99E+307,G401:R401),""),SUM(G401:R401))))</f>
        <v/>
      </c>
      <c r="T401" s="33" t="n"/>
      <c r="U401" s="33" t="n"/>
    </row>
    <row r="402">
      <c r="A402" s="26">
        <f>IF($B402="","",ROW()-3)</f>
        <v/>
      </c>
      <c r="B402" s="27" t="n"/>
      <c r="C402" s="27" t="n"/>
      <c r="D402" s="28" t="n"/>
      <c r="E402" s="29" t="n"/>
      <c r="F402" s="30" t="n"/>
      <c r="G402" s="31" t="n"/>
      <c r="H402" s="31" t="n"/>
      <c r="I402" s="31" t="n"/>
      <c r="J402" s="31" t="n"/>
      <c r="K402" s="31" t="n"/>
      <c r="L402" s="31" t="n"/>
      <c r="M402" s="31" t="n"/>
      <c r="N402" s="31" t="n"/>
      <c r="O402" s="31" t="n"/>
      <c r="P402" s="31" t="n"/>
      <c r="Q402" s="31" t="n"/>
      <c r="R402" s="31" t="n"/>
      <c r="S402" s="32">
        <f>IF($F402="","",IF(IFERROR(VLOOKUP($F402,'维度字典'!$I$2:$J$50,2,0),"求和")="手工录入","",IF(IFERROR(VLOOKUP($F402,'维度字典'!$I$2:$J$50,2,0),"求和")="最新值",IFERROR(LOOKUP(9.99E+307,G402:R402),""),SUM(G402:R402))))</f>
        <v/>
      </c>
      <c r="T402" s="33" t="n"/>
      <c r="U402" s="33" t="n"/>
    </row>
    <row r="403">
      <c r="A403" s="26">
        <f>IF($B403="","",ROW()-3)</f>
        <v/>
      </c>
      <c r="B403" s="27" t="n"/>
      <c r="C403" s="27" t="n"/>
      <c r="D403" s="28" t="n"/>
      <c r="E403" s="29" t="n"/>
      <c r="F403" s="30" t="n"/>
      <c r="G403" s="31" t="n"/>
      <c r="H403" s="31" t="n"/>
      <c r="I403" s="31" t="n"/>
      <c r="J403" s="31" t="n"/>
      <c r="K403" s="31" t="n"/>
      <c r="L403" s="31" t="n"/>
      <c r="M403" s="31" t="n"/>
      <c r="N403" s="31" t="n"/>
      <c r="O403" s="31" t="n"/>
      <c r="P403" s="31" t="n"/>
      <c r="Q403" s="31" t="n"/>
      <c r="R403" s="31" t="n"/>
      <c r="S403" s="32">
        <f>IF($F403="","",IF(IFERROR(VLOOKUP($F403,'维度字典'!$I$2:$J$50,2,0),"求和")="手工录入","",IF(IFERROR(VLOOKUP($F403,'维度字典'!$I$2:$J$50,2,0),"求和")="最新值",IFERROR(LOOKUP(9.99E+307,G403:R403),""),SUM(G403:R403))))</f>
        <v/>
      </c>
      <c r="T403" s="33" t="n"/>
      <c r="U403" s="33" t="n"/>
    </row>
    <row r="404">
      <c r="A404" s="26">
        <f>IF($B404="","",ROW()-3)</f>
        <v/>
      </c>
      <c r="B404" s="27" t="n"/>
      <c r="C404" s="27" t="n"/>
      <c r="D404" s="28" t="n"/>
      <c r="E404" s="29" t="n"/>
      <c r="F404" s="30" t="n"/>
      <c r="G404" s="31" t="n"/>
      <c r="H404" s="31" t="n"/>
      <c r="I404" s="31" t="n"/>
      <c r="J404" s="31" t="n"/>
      <c r="K404" s="31" t="n"/>
      <c r="L404" s="31" t="n"/>
      <c r="M404" s="31" t="n"/>
      <c r="N404" s="31" t="n"/>
      <c r="O404" s="31" t="n"/>
      <c r="P404" s="31" t="n"/>
      <c r="Q404" s="31" t="n"/>
      <c r="R404" s="31" t="n"/>
      <c r="S404" s="32">
        <f>IF($F404="","",IF(IFERROR(VLOOKUP($F404,'维度字典'!$I$2:$J$50,2,0),"求和")="手工录入","",IF(IFERROR(VLOOKUP($F404,'维度字典'!$I$2:$J$50,2,0),"求和")="最新值",IFERROR(LOOKUP(9.99E+307,G404:R404),""),SUM(G404:R404))))</f>
        <v/>
      </c>
      <c r="T404" s="33" t="n"/>
      <c r="U404" s="33" t="n"/>
    </row>
    <row r="405">
      <c r="A405" s="26">
        <f>IF($B405="","",ROW()-3)</f>
        <v/>
      </c>
      <c r="B405" s="27" t="n"/>
      <c r="C405" s="27" t="n"/>
      <c r="D405" s="28" t="n"/>
      <c r="E405" s="29" t="n"/>
      <c r="F405" s="30" t="n"/>
      <c r="G405" s="31" t="n"/>
      <c r="H405" s="31" t="n"/>
      <c r="I405" s="31" t="n"/>
      <c r="J405" s="31" t="n"/>
      <c r="K405" s="31" t="n"/>
      <c r="L405" s="31" t="n"/>
      <c r="M405" s="31" t="n"/>
      <c r="N405" s="31" t="n"/>
      <c r="O405" s="31" t="n"/>
      <c r="P405" s="31" t="n"/>
      <c r="Q405" s="31" t="n"/>
      <c r="R405" s="31" t="n"/>
      <c r="S405" s="32">
        <f>IF($F405="","",IF(IFERROR(VLOOKUP($F405,'维度字典'!$I$2:$J$50,2,0),"求和")="手工录入","",IF(IFERROR(VLOOKUP($F405,'维度字典'!$I$2:$J$50,2,0),"求和")="最新值",IFERROR(LOOKUP(9.99E+307,G405:R405),""),SUM(G405:R405))))</f>
        <v/>
      </c>
      <c r="T405" s="33" t="n"/>
      <c r="U405" s="33" t="n"/>
    </row>
    <row r="406">
      <c r="A406" s="26">
        <f>IF($B406="","",ROW()-3)</f>
        <v/>
      </c>
      <c r="B406" s="27" t="n"/>
      <c r="C406" s="27" t="n"/>
      <c r="D406" s="28" t="n"/>
      <c r="E406" s="29" t="n"/>
      <c r="F406" s="30" t="n"/>
      <c r="G406" s="31" t="n"/>
      <c r="H406" s="31" t="n"/>
      <c r="I406" s="31" t="n"/>
      <c r="J406" s="31" t="n"/>
      <c r="K406" s="31" t="n"/>
      <c r="L406" s="31" t="n"/>
      <c r="M406" s="31" t="n"/>
      <c r="N406" s="31" t="n"/>
      <c r="O406" s="31" t="n"/>
      <c r="P406" s="31" t="n"/>
      <c r="Q406" s="31" t="n"/>
      <c r="R406" s="31" t="n"/>
      <c r="S406" s="32">
        <f>IF($F406="","",IF(IFERROR(VLOOKUP($F406,'维度字典'!$I$2:$J$50,2,0),"求和")="手工录入","",IF(IFERROR(VLOOKUP($F406,'维度字典'!$I$2:$J$50,2,0),"求和")="最新值",IFERROR(LOOKUP(9.99E+307,G406:R406),""),SUM(G406:R406))))</f>
        <v/>
      </c>
      <c r="T406" s="33" t="n"/>
      <c r="U406" s="33" t="n"/>
    </row>
    <row r="407">
      <c r="A407" s="26">
        <f>IF($B407="","",ROW()-3)</f>
        <v/>
      </c>
      <c r="B407" s="27" t="n"/>
      <c r="C407" s="27" t="n"/>
      <c r="D407" s="28" t="n"/>
      <c r="E407" s="29" t="n"/>
      <c r="F407" s="30" t="n"/>
      <c r="G407" s="31" t="n"/>
      <c r="H407" s="31" t="n"/>
      <c r="I407" s="31" t="n"/>
      <c r="J407" s="31" t="n"/>
      <c r="K407" s="31" t="n"/>
      <c r="L407" s="31" t="n"/>
      <c r="M407" s="31" t="n"/>
      <c r="N407" s="31" t="n"/>
      <c r="O407" s="31" t="n"/>
      <c r="P407" s="31" t="n"/>
      <c r="Q407" s="31" t="n"/>
      <c r="R407" s="31" t="n"/>
      <c r="S407" s="32">
        <f>IF($F407="","",IF(IFERROR(VLOOKUP($F407,'维度字典'!$I$2:$J$50,2,0),"求和")="手工录入","",IF(IFERROR(VLOOKUP($F407,'维度字典'!$I$2:$J$50,2,0),"求和")="最新值",IFERROR(LOOKUP(9.99E+307,G407:R407),""),SUM(G407:R407))))</f>
        <v/>
      </c>
      <c r="T407" s="33" t="n"/>
      <c r="U407" s="33" t="n"/>
    </row>
    <row r="408">
      <c r="A408" s="26">
        <f>IF($B408="","",ROW()-3)</f>
        <v/>
      </c>
      <c r="B408" s="27" t="n"/>
      <c r="C408" s="27" t="n"/>
      <c r="D408" s="28" t="n"/>
      <c r="E408" s="29" t="n"/>
      <c r="F408" s="30" t="n"/>
      <c r="G408" s="31" t="n"/>
      <c r="H408" s="31" t="n"/>
      <c r="I408" s="31" t="n"/>
      <c r="J408" s="31" t="n"/>
      <c r="K408" s="31" t="n"/>
      <c r="L408" s="31" t="n"/>
      <c r="M408" s="31" t="n"/>
      <c r="N408" s="31" t="n"/>
      <c r="O408" s="31" t="n"/>
      <c r="P408" s="31" t="n"/>
      <c r="Q408" s="31" t="n"/>
      <c r="R408" s="31" t="n"/>
      <c r="S408" s="32">
        <f>IF($F408="","",IF(IFERROR(VLOOKUP($F408,'维度字典'!$I$2:$J$50,2,0),"求和")="手工录入","",IF(IFERROR(VLOOKUP($F408,'维度字典'!$I$2:$J$50,2,0),"求和")="最新值",IFERROR(LOOKUP(9.99E+307,G408:R408),""),SUM(G408:R408))))</f>
        <v/>
      </c>
      <c r="T408" s="33" t="n"/>
      <c r="U408" s="33" t="n"/>
    </row>
    <row r="409">
      <c r="A409" s="26">
        <f>IF($B409="","",ROW()-3)</f>
        <v/>
      </c>
      <c r="B409" s="27" t="n"/>
      <c r="C409" s="27" t="n"/>
      <c r="D409" s="28" t="n"/>
      <c r="E409" s="29" t="n"/>
      <c r="F409" s="30" t="n"/>
      <c r="G409" s="31" t="n"/>
      <c r="H409" s="31" t="n"/>
      <c r="I409" s="31" t="n"/>
      <c r="J409" s="31" t="n"/>
      <c r="K409" s="31" t="n"/>
      <c r="L409" s="31" t="n"/>
      <c r="M409" s="31" t="n"/>
      <c r="N409" s="31" t="n"/>
      <c r="O409" s="31" t="n"/>
      <c r="P409" s="31" t="n"/>
      <c r="Q409" s="31" t="n"/>
      <c r="R409" s="31" t="n"/>
      <c r="S409" s="32">
        <f>IF($F409="","",IF(IFERROR(VLOOKUP($F409,'维度字典'!$I$2:$J$50,2,0),"求和")="手工录入","",IF(IFERROR(VLOOKUP($F409,'维度字典'!$I$2:$J$50,2,0),"求和")="最新值",IFERROR(LOOKUP(9.99E+307,G409:R409),""),SUM(G409:R409))))</f>
        <v/>
      </c>
      <c r="T409" s="33" t="n"/>
      <c r="U409" s="33" t="n"/>
    </row>
    <row r="410">
      <c r="A410" s="26">
        <f>IF($B410="","",ROW()-3)</f>
        <v/>
      </c>
      <c r="B410" s="27" t="n"/>
      <c r="C410" s="27" t="n"/>
      <c r="D410" s="28" t="n"/>
      <c r="E410" s="29" t="n"/>
      <c r="F410" s="30" t="n"/>
      <c r="G410" s="31" t="n"/>
      <c r="H410" s="31" t="n"/>
      <c r="I410" s="31" t="n"/>
      <c r="J410" s="31" t="n"/>
      <c r="K410" s="31" t="n"/>
      <c r="L410" s="31" t="n"/>
      <c r="M410" s="31" t="n"/>
      <c r="N410" s="31" t="n"/>
      <c r="O410" s="31" t="n"/>
      <c r="P410" s="31" t="n"/>
      <c r="Q410" s="31" t="n"/>
      <c r="R410" s="31" t="n"/>
      <c r="S410" s="32">
        <f>IF($F410="","",IF(IFERROR(VLOOKUP($F410,'维度字典'!$I$2:$J$50,2,0),"求和")="手工录入","",IF(IFERROR(VLOOKUP($F410,'维度字典'!$I$2:$J$50,2,0),"求和")="最新值",IFERROR(LOOKUP(9.99E+307,G410:R410),""),SUM(G410:R410))))</f>
        <v/>
      </c>
      <c r="T410" s="33" t="n"/>
      <c r="U410" s="33" t="n"/>
    </row>
    <row r="411">
      <c r="A411" s="26">
        <f>IF($B411="","",ROW()-3)</f>
        <v/>
      </c>
      <c r="B411" s="27" t="n"/>
      <c r="C411" s="27" t="n"/>
      <c r="D411" s="28" t="n"/>
      <c r="E411" s="29" t="n"/>
      <c r="F411" s="30" t="n"/>
      <c r="G411" s="31" t="n"/>
      <c r="H411" s="31" t="n"/>
      <c r="I411" s="31" t="n"/>
      <c r="J411" s="31" t="n"/>
      <c r="K411" s="31" t="n"/>
      <c r="L411" s="31" t="n"/>
      <c r="M411" s="31" t="n"/>
      <c r="N411" s="31" t="n"/>
      <c r="O411" s="31" t="n"/>
      <c r="P411" s="31" t="n"/>
      <c r="Q411" s="31" t="n"/>
      <c r="R411" s="31" t="n"/>
      <c r="S411" s="32">
        <f>IF($F411="","",IF(IFERROR(VLOOKUP($F411,'维度字典'!$I$2:$J$50,2,0),"求和")="手工录入","",IF(IFERROR(VLOOKUP($F411,'维度字典'!$I$2:$J$50,2,0),"求和")="最新值",IFERROR(LOOKUP(9.99E+307,G411:R411),""),SUM(G411:R411))))</f>
        <v/>
      </c>
      <c r="T411" s="33" t="n"/>
      <c r="U411" s="33" t="n"/>
    </row>
    <row r="412">
      <c r="A412" s="26">
        <f>IF($B412="","",ROW()-3)</f>
        <v/>
      </c>
      <c r="B412" s="27" t="n"/>
      <c r="C412" s="27" t="n"/>
      <c r="D412" s="28" t="n"/>
      <c r="E412" s="29" t="n"/>
      <c r="F412" s="30" t="n"/>
      <c r="G412" s="31" t="n"/>
      <c r="H412" s="31" t="n"/>
      <c r="I412" s="31" t="n"/>
      <c r="J412" s="31" t="n"/>
      <c r="K412" s="31" t="n"/>
      <c r="L412" s="31" t="n"/>
      <c r="M412" s="31" t="n"/>
      <c r="N412" s="31" t="n"/>
      <c r="O412" s="31" t="n"/>
      <c r="P412" s="31" t="n"/>
      <c r="Q412" s="31" t="n"/>
      <c r="R412" s="31" t="n"/>
      <c r="S412" s="32">
        <f>IF($F412="","",IF(IFERROR(VLOOKUP($F412,'维度字典'!$I$2:$J$50,2,0),"求和")="手工录入","",IF(IFERROR(VLOOKUP($F412,'维度字典'!$I$2:$J$50,2,0),"求和")="最新值",IFERROR(LOOKUP(9.99E+307,G412:R412),""),SUM(G412:R412))))</f>
        <v/>
      </c>
      <c r="T412" s="33" t="n"/>
      <c r="U412" s="33" t="n"/>
    </row>
    <row r="413">
      <c r="A413" s="26">
        <f>IF($B413="","",ROW()-3)</f>
        <v/>
      </c>
      <c r="B413" s="27" t="n"/>
      <c r="C413" s="27" t="n"/>
      <c r="D413" s="28" t="n"/>
      <c r="E413" s="29" t="n"/>
      <c r="F413" s="30" t="n"/>
      <c r="G413" s="31" t="n"/>
      <c r="H413" s="31" t="n"/>
      <c r="I413" s="31" t="n"/>
      <c r="J413" s="31" t="n"/>
      <c r="K413" s="31" t="n"/>
      <c r="L413" s="31" t="n"/>
      <c r="M413" s="31" t="n"/>
      <c r="N413" s="31" t="n"/>
      <c r="O413" s="31" t="n"/>
      <c r="P413" s="31" t="n"/>
      <c r="Q413" s="31" t="n"/>
      <c r="R413" s="31" t="n"/>
      <c r="S413" s="32">
        <f>IF($F413="","",IF(IFERROR(VLOOKUP($F413,'维度字典'!$I$2:$J$50,2,0),"求和")="手工录入","",IF(IFERROR(VLOOKUP($F413,'维度字典'!$I$2:$J$50,2,0),"求和")="最新值",IFERROR(LOOKUP(9.99E+307,G413:R413),""),SUM(G413:R413))))</f>
        <v/>
      </c>
      <c r="T413" s="33" t="n"/>
      <c r="U413" s="33" t="n"/>
    </row>
    <row r="414">
      <c r="A414" s="26">
        <f>IF($B414="","",ROW()-3)</f>
        <v/>
      </c>
      <c r="B414" s="27" t="n"/>
      <c r="C414" s="27" t="n"/>
      <c r="D414" s="28" t="n"/>
      <c r="E414" s="29" t="n"/>
      <c r="F414" s="30" t="n"/>
      <c r="G414" s="31" t="n"/>
      <c r="H414" s="31" t="n"/>
      <c r="I414" s="31" t="n"/>
      <c r="J414" s="31" t="n"/>
      <c r="K414" s="31" t="n"/>
      <c r="L414" s="31" t="n"/>
      <c r="M414" s="31" t="n"/>
      <c r="N414" s="31" t="n"/>
      <c r="O414" s="31" t="n"/>
      <c r="P414" s="31" t="n"/>
      <c r="Q414" s="31" t="n"/>
      <c r="R414" s="31" t="n"/>
      <c r="S414" s="32">
        <f>IF($F414="","",IF(IFERROR(VLOOKUP($F414,'维度字典'!$I$2:$J$50,2,0),"求和")="手工录入","",IF(IFERROR(VLOOKUP($F414,'维度字典'!$I$2:$J$50,2,0),"求和")="最新值",IFERROR(LOOKUP(9.99E+307,G414:R414),""),SUM(G414:R414))))</f>
        <v/>
      </c>
      <c r="T414" s="33" t="n"/>
      <c r="U414" s="33" t="n"/>
    </row>
    <row r="415">
      <c r="A415" s="26">
        <f>IF($B415="","",ROW()-3)</f>
        <v/>
      </c>
      <c r="B415" s="27" t="n"/>
      <c r="C415" s="27" t="n"/>
      <c r="D415" s="28" t="n"/>
      <c r="E415" s="29" t="n"/>
      <c r="F415" s="30" t="n"/>
      <c r="G415" s="31" t="n"/>
      <c r="H415" s="31" t="n"/>
      <c r="I415" s="31" t="n"/>
      <c r="J415" s="31" t="n"/>
      <c r="K415" s="31" t="n"/>
      <c r="L415" s="31" t="n"/>
      <c r="M415" s="31" t="n"/>
      <c r="N415" s="31" t="n"/>
      <c r="O415" s="31" t="n"/>
      <c r="P415" s="31" t="n"/>
      <c r="Q415" s="31" t="n"/>
      <c r="R415" s="31" t="n"/>
      <c r="S415" s="32">
        <f>IF($F415="","",IF(IFERROR(VLOOKUP($F415,'维度字典'!$I$2:$J$50,2,0),"求和")="手工录入","",IF(IFERROR(VLOOKUP($F415,'维度字典'!$I$2:$J$50,2,0),"求和")="最新值",IFERROR(LOOKUP(9.99E+307,G415:R415),""),SUM(G415:R415))))</f>
        <v/>
      </c>
      <c r="T415" s="33" t="n"/>
      <c r="U415" s="33" t="n"/>
    </row>
    <row r="416">
      <c r="A416" s="26">
        <f>IF($B416="","",ROW()-3)</f>
        <v/>
      </c>
      <c r="B416" s="27" t="n"/>
      <c r="C416" s="27" t="n"/>
      <c r="D416" s="28" t="n"/>
      <c r="E416" s="29" t="n"/>
      <c r="F416" s="30" t="n"/>
      <c r="G416" s="31" t="n"/>
      <c r="H416" s="31" t="n"/>
      <c r="I416" s="31" t="n"/>
      <c r="J416" s="31" t="n"/>
      <c r="K416" s="31" t="n"/>
      <c r="L416" s="31" t="n"/>
      <c r="M416" s="31" t="n"/>
      <c r="N416" s="31" t="n"/>
      <c r="O416" s="31" t="n"/>
      <c r="P416" s="31" t="n"/>
      <c r="Q416" s="31" t="n"/>
      <c r="R416" s="31" t="n"/>
      <c r="S416" s="32">
        <f>IF($F416="","",IF(IFERROR(VLOOKUP($F416,'维度字典'!$I$2:$J$50,2,0),"求和")="手工录入","",IF(IFERROR(VLOOKUP($F416,'维度字典'!$I$2:$J$50,2,0),"求和")="最新值",IFERROR(LOOKUP(9.99E+307,G416:R416),""),SUM(G416:R416))))</f>
        <v/>
      </c>
      <c r="T416" s="33" t="n"/>
      <c r="U416" s="33" t="n"/>
    </row>
    <row r="417">
      <c r="A417" s="26">
        <f>IF($B417="","",ROW()-3)</f>
        <v/>
      </c>
      <c r="B417" s="27" t="n"/>
      <c r="C417" s="27" t="n"/>
      <c r="D417" s="28" t="n"/>
      <c r="E417" s="29" t="n"/>
      <c r="F417" s="30" t="n"/>
      <c r="G417" s="31" t="n"/>
      <c r="H417" s="31" t="n"/>
      <c r="I417" s="31" t="n"/>
      <c r="J417" s="31" t="n"/>
      <c r="K417" s="31" t="n"/>
      <c r="L417" s="31" t="n"/>
      <c r="M417" s="31" t="n"/>
      <c r="N417" s="31" t="n"/>
      <c r="O417" s="31" t="n"/>
      <c r="P417" s="31" t="n"/>
      <c r="Q417" s="31" t="n"/>
      <c r="R417" s="31" t="n"/>
      <c r="S417" s="32">
        <f>IF($F417="","",IF(IFERROR(VLOOKUP($F417,'维度字典'!$I$2:$J$50,2,0),"求和")="手工录入","",IF(IFERROR(VLOOKUP($F417,'维度字典'!$I$2:$J$50,2,0),"求和")="最新值",IFERROR(LOOKUP(9.99E+307,G417:R417),""),SUM(G417:R417))))</f>
        <v/>
      </c>
      <c r="T417" s="33" t="n"/>
      <c r="U417" s="33" t="n"/>
    </row>
    <row r="418">
      <c r="A418" s="26">
        <f>IF($B418="","",ROW()-3)</f>
        <v/>
      </c>
      <c r="B418" s="27" t="n"/>
      <c r="C418" s="27" t="n"/>
      <c r="D418" s="28" t="n"/>
      <c r="E418" s="29" t="n"/>
      <c r="F418" s="30" t="n"/>
      <c r="G418" s="31" t="n"/>
      <c r="H418" s="31" t="n"/>
      <c r="I418" s="31" t="n"/>
      <c r="J418" s="31" t="n"/>
      <c r="K418" s="31" t="n"/>
      <c r="L418" s="31" t="n"/>
      <c r="M418" s="31" t="n"/>
      <c r="N418" s="31" t="n"/>
      <c r="O418" s="31" t="n"/>
      <c r="P418" s="31" t="n"/>
      <c r="Q418" s="31" t="n"/>
      <c r="R418" s="31" t="n"/>
      <c r="S418" s="32">
        <f>IF($F418="","",IF(IFERROR(VLOOKUP($F418,'维度字典'!$I$2:$J$50,2,0),"求和")="手工录入","",IF(IFERROR(VLOOKUP($F418,'维度字典'!$I$2:$J$50,2,0),"求和")="最新值",IFERROR(LOOKUP(9.99E+307,G418:R418),""),SUM(G418:R418))))</f>
        <v/>
      </c>
      <c r="T418" s="33" t="n"/>
      <c r="U418" s="33" t="n"/>
    </row>
    <row r="419">
      <c r="A419" s="26">
        <f>IF($B419="","",ROW()-3)</f>
        <v/>
      </c>
      <c r="B419" s="27" t="n"/>
      <c r="C419" s="27" t="n"/>
      <c r="D419" s="28" t="n"/>
      <c r="E419" s="29" t="n"/>
      <c r="F419" s="30" t="n"/>
      <c r="G419" s="31" t="n"/>
      <c r="H419" s="31" t="n"/>
      <c r="I419" s="31" t="n"/>
      <c r="J419" s="31" t="n"/>
      <c r="K419" s="31" t="n"/>
      <c r="L419" s="31" t="n"/>
      <c r="M419" s="31" t="n"/>
      <c r="N419" s="31" t="n"/>
      <c r="O419" s="31" t="n"/>
      <c r="P419" s="31" t="n"/>
      <c r="Q419" s="31" t="n"/>
      <c r="R419" s="31" t="n"/>
      <c r="S419" s="32">
        <f>IF($F419="","",IF(IFERROR(VLOOKUP($F419,'维度字典'!$I$2:$J$50,2,0),"求和")="手工录入","",IF(IFERROR(VLOOKUP($F419,'维度字典'!$I$2:$J$50,2,0),"求和")="最新值",IFERROR(LOOKUP(9.99E+307,G419:R419),""),SUM(G419:R419))))</f>
        <v/>
      </c>
      <c r="T419" s="33" t="n"/>
      <c r="U419" s="33" t="n"/>
    </row>
    <row r="420">
      <c r="A420" s="26">
        <f>IF($B420="","",ROW()-3)</f>
        <v/>
      </c>
      <c r="B420" s="27" t="n"/>
      <c r="C420" s="27" t="n"/>
      <c r="D420" s="28" t="n"/>
      <c r="E420" s="29" t="n"/>
      <c r="F420" s="30" t="n"/>
      <c r="G420" s="31" t="n"/>
      <c r="H420" s="31" t="n"/>
      <c r="I420" s="31" t="n"/>
      <c r="J420" s="31" t="n"/>
      <c r="K420" s="31" t="n"/>
      <c r="L420" s="31" t="n"/>
      <c r="M420" s="31" t="n"/>
      <c r="N420" s="31" t="n"/>
      <c r="O420" s="31" t="n"/>
      <c r="P420" s="31" t="n"/>
      <c r="Q420" s="31" t="n"/>
      <c r="R420" s="31" t="n"/>
      <c r="S420" s="32">
        <f>IF($F420="","",IF(IFERROR(VLOOKUP($F420,'维度字典'!$I$2:$J$50,2,0),"求和")="手工录入","",IF(IFERROR(VLOOKUP($F420,'维度字典'!$I$2:$J$50,2,0),"求和")="最新值",IFERROR(LOOKUP(9.99E+307,G420:R420),""),SUM(G420:R420))))</f>
        <v/>
      </c>
      <c r="T420" s="33" t="n"/>
      <c r="U420" s="33" t="n"/>
    </row>
    <row r="421">
      <c r="A421" s="26">
        <f>IF($B421="","",ROW()-3)</f>
        <v/>
      </c>
      <c r="B421" s="27" t="n"/>
      <c r="C421" s="27" t="n"/>
      <c r="D421" s="28" t="n"/>
      <c r="E421" s="29" t="n"/>
      <c r="F421" s="30" t="n"/>
      <c r="G421" s="31" t="n"/>
      <c r="H421" s="31" t="n"/>
      <c r="I421" s="31" t="n"/>
      <c r="J421" s="31" t="n"/>
      <c r="K421" s="31" t="n"/>
      <c r="L421" s="31" t="n"/>
      <c r="M421" s="31" t="n"/>
      <c r="N421" s="31" t="n"/>
      <c r="O421" s="31" t="n"/>
      <c r="P421" s="31" t="n"/>
      <c r="Q421" s="31" t="n"/>
      <c r="R421" s="31" t="n"/>
      <c r="S421" s="32">
        <f>IF($F421="","",IF(IFERROR(VLOOKUP($F421,'维度字典'!$I$2:$J$50,2,0),"求和")="手工录入","",IF(IFERROR(VLOOKUP($F421,'维度字典'!$I$2:$J$50,2,0),"求和")="最新值",IFERROR(LOOKUP(9.99E+307,G421:R421),""),SUM(G421:R421))))</f>
        <v/>
      </c>
      <c r="T421" s="33" t="n"/>
      <c r="U421" s="33" t="n"/>
    </row>
    <row r="422">
      <c r="A422" s="26">
        <f>IF($B422="","",ROW()-3)</f>
        <v/>
      </c>
      <c r="B422" s="27" t="n"/>
      <c r="C422" s="27" t="n"/>
      <c r="D422" s="28" t="n"/>
      <c r="E422" s="29" t="n"/>
      <c r="F422" s="30" t="n"/>
      <c r="G422" s="31" t="n"/>
      <c r="H422" s="31" t="n"/>
      <c r="I422" s="31" t="n"/>
      <c r="J422" s="31" t="n"/>
      <c r="K422" s="31" t="n"/>
      <c r="L422" s="31" t="n"/>
      <c r="M422" s="31" t="n"/>
      <c r="N422" s="31" t="n"/>
      <c r="O422" s="31" t="n"/>
      <c r="P422" s="31" t="n"/>
      <c r="Q422" s="31" t="n"/>
      <c r="R422" s="31" t="n"/>
      <c r="S422" s="32">
        <f>IF($F422="","",IF(IFERROR(VLOOKUP($F422,'维度字典'!$I$2:$J$50,2,0),"求和")="手工录入","",IF(IFERROR(VLOOKUP($F422,'维度字典'!$I$2:$J$50,2,0),"求和")="最新值",IFERROR(LOOKUP(9.99E+307,G422:R422),""),SUM(G422:R422))))</f>
        <v/>
      </c>
      <c r="T422" s="33" t="n"/>
      <c r="U422" s="33" t="n"/>
    </row>
    <row r="423">
      <c r="A423" s="26">
        <f>IF($B423="","",ROW()-3)</f>
        <v/>
      </c>
      <c r="B423" s="27" t="n"/>
      <c r="C423" s="27" t="n"/>
      <c r="D423" s="28" t="n"/>
      <c r="E423" s="29" t="n"/>
      <c r="F423" s="30" t="n"/>
      <c r="G423" s="31" t="n"/>
      <c r="H423" s="31" t="n"/>
      <c r="I423" s="31" t="n"/>
      <c r="J423" s="31" t="n"/>
      <c r="K423" s="31" t="n"/>
      <c r="L423" s="31" t="n"/>
      <c r="M423" s="31" t="n"/>
      <c r="N423" s="31" t="n"/>
      <c r="O423" s="31" t="n"/>
      <c r="P423" s="31" t="n"/>
      <c r="Q423" s="31" t="n"/>
      <c r="R423" s="31" t="n"/>
      <c r="S423" s="32">
        <f>IF($F423="","",IF(IFERROR(VLOOKUP($F423,'维度字典'!$I$2:$J$50,2,0),"求和")="手工录入","",IF(IFERROR(VLOOKUP($F423,'维度字典'!$I$2:$J$50,2,0),"求和")="最新值",IFERROR(LOOKUP(9.99E+307,G423:R423),""),SUM(G423:R423))))</f>
        <v/>
      </c>
      <c r="T423" s="33" t="n"/>
      <c r="U423" s="33" t="n"/>
    </row>
    <row r="424">
      <c r="A424" s="26">
        <f>IF($B424="","",ROW()-3)</f>
        <v/>
      </c>
      <c r="B424" s="27" t="n"/>
      <c r="C424" s="27" t="n"/>
      <c r="D424" s="28" t="n"/>
      <c r="E424" s="29" t="n"/>
      <c r="F424" s="30" t="n"/>
      <c r="G424" s="31" t="n"/>
      <c r="H424" s="31" t="n"/>
      <c r="I424" s="31" t="n"/>
      <c r="J424" s="31" t="n"/>
      <c r="K424" s="31" t="n"/>
      <c r="L424" s="31" t="n"/>
      <c r="M424" s="31" t="n"/>
      <c r="N424" s="31" t="n"/>
      <c r="O424" s="31" t="n"/>
      <c r="P424" s="31" t="n"/>
      <c r="Q424" s="31" t="n"/>
      <c r="R424" s="31" t="n"/>
      <c r="S424" s="32">
        <f>IF($F424="","",IF(IFERROR(VLOOKUP($F424,'维度字典'!$I$2:$J$50,2,0),"求和")="手工录入","",IF(IFERROR(VLOOKUP($F424,'维度字典'!$I$2:$J$50,2,0),"求和")="最新值",IFERROR(LOOKUP(9.99E+307,G424:R424),""),SUM(G424:R424))))</f>
        <v/>
      </c>
      <c r="T424" s="33" t="n"/>
      <c r="U424" s="33" t="n"/>
    </row>
    <row r="425">
      <c r="A425" s="26">
        <f>IF($B425="","",ROW()-3)</f>
        <v/>
      </c>
      <c r="B425" s="27" t="n"/>
      <c r="C425" s="27" t="n"/>
      <c r="D425" s="28" t="n"/>
      <c r="E425" s="29" t="n"/>
      <c r="F425" s="30" t="n"/>
      <c r="G425" s="31" t="n"/>
      <c r="H425" s="31" t="n"/>
      <c r="I425" s="31" t="n"/>
      <c r="J425" s="31" t="n"/>
      <c r="K425" s="31" t="n"/>
      <c r="L425" s="31" t="n"/>
      <c r="M425" s="31" t="n"/>
      <c r="N425" s="31" t="n"/>
      <c r="O425" s="31" t="n"/>
      <c r="P425" s="31" t="n"/>
      <c r="Q425" s="31" t="n"/>
      <c r="R425" s="31" t="n"/>
      <c r="S425" s="32">
        <f>IF($F425="","",IF(IFERROR(VLOOKUP($F425,'维度字典'!$I$2:$J$50,2,0),"求和")="手工录入","",IF(IFERROR(VLOOKUP($F425,'维度字典'!$I$2:$J$50,2,0),"求和")="最新值",IFERROR(LOOKUP(9.99E+307,G425:R425),""),SUM(G425:R425))))</f>
        <v/>
      </c>
      <c r="T425" s="33" t="n"/>
      <c r="U425" s="33" t="n"/>
    </row>
    <row r="426">
      <c r="A426" s="26">
        <f>IF($B426="","",ROW()-3)</f>
        <v/>
      </c>
      <c r="B426" s="27" t="n"/>
      <c r="C426" s="27" t="n"/>
      <c r="D426" s="28" t="n"/>
      <c r="E426" s="29" t="n"/>
      <c r="F426" s="30" t="n"/>
      <c r="G426" s="31" t="n"/>
      <c r="H426" s="31" t="n"/>
      <c r="I426" s="31" t="n"/>
      <c r="J426" s="31" t="n"/>
      <c r="K426" s="31" t="n"/>
      <c r="L426" s="31" t="n"/>
      <c r="M426" s="31" t="n"/>
      <c r="N426" s="31" t="n"/>
      <c r="O426" s="31" t="n"/>
      <c r="P426" s="31" t="n"/>
      <c r="Q426" s="31" t="n"/>
      <c r="R426" s="31" t="n"/>
      <c r="S426" s="32">
        <f>IF($F426="","",IF(IFERROR(VLOOKUP($F426,'维度字典'!$I$2:$J$50,2,0),"求和")="手工录入","",IF(IFERROR(VLOOKUP($F426,'维度字典'!$I$2:$J$50,2,0),"求和")="最新值",IFERROR(LOOKUP(9.99E+307,G426:R426),""),SUM(G426:R426))))</f>
        <v/>
      </c>
      <c r="T426" s="33" t="n"/>
      <c r="U426" s="33" t="n"/>
    </row>
    <row r="427">
      <c r="A427" s="26">
        <f>IF($B427="","",ROW()-3)</f>
        <v/>
      </c>
      <c r="B427" s="27" t="n"/>
      <c r="C427" s="27" t="n"/>
      <c r="D427" s="28" t="n"/>
      <c r="E427" s="29" t="n"/>
      <c r="F427" s="30" t="n"/>
      <c r="G427" s="31" t="n"/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n"/>
      <c r="R427" s="31" t="n"/>
      <c r="S427" s="32">
        <f>IF($F427="","",IF(IFERROR(VLOOKUP($F427,'维度字典'!$I$2:$J$50,2,0),"求和")="手工录入","",IF(IFERROR(VLOOKUP($F427,'维度字典'!$I$2:$J$50,2,0),"求和")="最新值",IFERROR(LOOKUP(9.99E+307,G427:R427),""),SUM(G427:R427))))</f>
        <v/>
      </c>
      <c r="T427" s="33" t="n"/>
      <c r="U427" s="33" t="n"/>
    </row>
    <row r="428">
      <c r="A428" s="26">
        <f>IF($B428="","",ROW()-3)</f>
        <v/>
      </c>
      <c r="B428" s="27" t="n"/>
      <c r="C428" s="27" t="n"/>
      <c r="D428" s="28" t="n"/>
      <c r="E428" s="29" t="n"/>
      <c r="F428" s="30" t="n"/>
      <c r="G428" s="31" t="n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n"/>
      <c r="R428" s="31" t="n"/>
      <c r="S428" s="32">
        <f>IF($F428="","",IF(IFERROR(VLOOKUP($F428,'维度字典'!$I$2:$J$50,2,0),"求和")="手工录入","",IF(IFERROR(VLOOKUP($F428,'维度字典'!$I$2:$J$50,2,0),"求和")="最新值",IFERROR(LOOKUP(9.99E+307,G428:R428),""),SUM(G428:R428))))</f>
        <v/>
      </c>
      <c r="T428" s="33" t="n"/>
      <c r="U428" s="33" t="n"/>
    </row>
    <row r="429">
      <c r="A429" s="26">
        <f>IF($B429="","",ROW()-3)</f>
        <v/>
      </c>
      <c r="B429" s="27" t="n"/>
      <c r="C429" s="27" t="n"/>
      <c r="D429" s="28" t="n"/>
      <c r="E429" s="29" t="n"/>
      <c r="F429" s="30" t="n"/>
      <c r="G429" s="31" t="n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n"/>
      <c r="R429" s="31" t="n"/>
      <c r="S429" s="32">
        <f>IF($F429="","",IF(IFERROR(VLOOKUP($F429,'维度字典'!$I$2:$J$50,2,0),"求和")="手工录入","",IF(IFERROR(VLOOKUP($F429,'维度字典'!$I$2:$J$50,2,0),"求和")="最新值",IFERROR(LOOKUP(9.99E+307,G429:R429),""),SUM(G429:R429))))</f>
        <v/>
      </c>
      <c r="T429" s="33" t="n"/>
      <c r="U429" s="33" t="n"/>
    </row>
    <row r="430">
      <c r="A430" s="26">
        <f>IF($B430="","",ROW()-3)</f>
        <v/>
      </c>
      <c r="B430" s="27" t="n"/>
      <c r="C430" s="27" t="n"/>
      <c r="D430" s="28" t="n"/>
      <c r="E430" s="29" t="n"/>
      <c r="F430" s="30" t="n"/>
      <c r="G430" s="31" t="n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n"/>
      <c r="R430" s="31" t="n"/>
      <c r="S430" s="32">
        <f>IF($F430="","",IF(IFERROR(VLOOKUP($F430,'维度字典'!$I$2:$J$50,2,0),"求和")="手工录入","",IF(IFERROR(VLOOKUP($F430,'维度字典'!$I$2:$J$50,2,0),"求和")="最新值",IFERROR(LOOKUP(9.99E+307,G430:R430),""),SUM(G430:R430))))</f>
        <v/>
      </c>
      <c r="T430" s="33" t="n"/>
      <c r="U430" s="33" t="n"/>
    </row>
    <row r="431">
      <c r="A431" s="26">
        <f>IF($B431="","",ROW()-3)</f>
        <v/>
      </c>
      <c r="B431" s="27" t="n"/>
      <c r="C431" s="27" t="n"/>
      <c r="D431" s="28" t="n"/>
      <c r="E431" s="29" t="n"/>
      <c r="F431" s="30" t="n"/>
      <c r="G431" s="31" t="n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n"/>
      <c r="R431" s="31" t="n"/>
      <c r="S431" s="32">
        <f>IF($F431="","",IF(IFERROR(VLOOKUP($F431,'维度字典'!$I$2:$J$50,2,0),"求和")="手工录入","",IF(IFERROR(VLOOKUP($F431,'维度字典'!$I$2:$J$50,2,0),"求和")="最新值",IFERROR(LOOKUP(9.99E+307,G431:R431),""),SUM(G431:R431))))</f>
        <v/>
      </c>
      <c r="T431" s="33" t="n"/>
      <c r="U431" s="33" t="n"/>
    </row>
    <row r="432">
      <c r="A432" s="26">
        <f>IF($B432="","",ROW()-3)</f>
        <v/>
      </c>
      <c r="B432" s="27" t="n"/>
      <c r="C432" s="27" t="n"/>
      <c r="D432" s="28" t="n"/>
      <c r="E432" s="29" t="n"/>
      <c r="F432" s="30" t="n"/>
      <c r="G432" s="31" t="n"/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n"/>
      <c r="R432" s="31" t="n"/>
      <c r="S432" s="32">
        <f>IF($F432="","",IF(IFERROR(VLOOKUP($F432,'维度字典'!$I$2:$J$50,2,0),"求和")="手工录入","",IF(IFERROR(VLOOKUP($F432,'维度字典'!$I$2:$J$50,2,0),"求和")="最新值",IFERROR(LOOKUP(9.99E+307,G432:R432),""),SUM(G432:R432))))</f>
        <v/>
      </c>
      <c r="T432" s="33" t="n"/>
      <c r="U432" s="33" t="n"/>
    </row>
    <row r="433">
      <c r="A433" s="26">
        <f>IF($B433="","",ROW()-3)</f>
        <v/>
      </c>
      <c r="B433" s="27" t="n"/>
      <c r="C433" s="27" t="n"/>
      <c r="D433" s="28" t="n"/>
      <c r="E433" s="29" t="n"/>
      <c r="F433" s="30" t="n"/>
      <c r="G433" s="31" t="n"/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n"/>
      <c r="R433" s="31" t="n"/>
      <c r="S433" s="32">
        <f>IF($F433="","",IF(IFERROR(VLOOKUP($F433,'维度字典'!$I$2:$J$50,2,0),"求和")="手工录入","",IF(IFERROR(VLOOKUP($F433,'维度字典'!$I$2:$J$50,2,0),"求和")="最新值",IFERROR(LOOKUP(9.99E+307,G433:R433),""),SUM(G433:R433))))</f>
        <v/>
      </c>
      <c r="T433" s="33" t="n"/>
      <c r="U433" s="33" t="n"/>
    </row>
    <row r="434">
      <c r="A434" s="26">
        <f>IF($B434="","",ROW()-3)</f>
        <v/>
      </c>
      <c r="B434" s="27" t="n"/>
      <c r="C434" s="27" t="n"/>
      <c r="D434" s="28" t="n"/>
      <c r="E434" s="29" t="n"/>
      <c r="F434" s="30" t="n"/>
      <c r="G434" s="31" t="n"/>
      <c r="H434" s="31" t="n"/>
      <c r="I434" s="31" t="n"/>
      <c r="J434" s="31" t="n"/>
      <c r="K434" s="31" t="n"/>
      <c r="L434" s="31" t="n"/>
      <c r="M434" s="31" t="n"/>
      <c r="N434" s="31" t="n"/>
      <c r="O434" s="31" t="n"/>
      <c r="P434" s="31" t="n"/>
      <c r="Q434" s="31" t="n"/>
      <c r="R434" s="31" t="n"/>
      <c r="S434" s="32">
        <f>IF($F434="","",IF(IFERROR(VLOOKUP($F434,'维度字典'!$I$2:$J$50,2,0),"求和")="手工录入","",IF(IFERROR(VLOOKUP($F434,'维度字典'!$I$2:$J$50,2,0),"求和")="最新值",IFERROR(LOOKUP(9.99E+307,G434:R434),""),SUM(G434:R434))))</f>
        <v/>
      </c>
      <c r="T434" s="33" t="n"/>
      <c r="U434" s="33" t="n"/>
    </row>
    <row r="435">
      <c r="A435" s="26">
        <f>IF($B435="","",ROW()-3)</f>
        <v/>
      </c>
      <c r="B435" s="27" t="n"/>
      <c r="C435" s="27" t="n"/>
      <c r="D435" s="28" t="n"/>
      <c r="E435" s="29" t="n"/>
      <c r="F435" s="30" t="n"/>
      <c r="G435" s="31" t="n"/>
      <c r="H435" s="31" t="n"/>
      <c r="I435" s="31" t="n"/>
      <c r="J435" s="31" t="n"/>
      <c r="K435" s="31" t="n"/>
      <c r="L435" s="31" t="n"/>
      <c r="M435" s="31" t="n"/>
      <c r="N435" s="31" t="n"/>
      <c r="O435" s="31" t="n"/>
      <c r="P435" s="31" t="n"/>
      <c r="Q435" s="31" t="n"/>
      <c r="R435" s="31" t="n"/>
      <c r="S435" s="32">
        <f>IF($F435="","",IF(IFERROR(VLOOKUP($F435,'维度字典'!$I$2:$J$50,2,0),"求和")="手工录入","",IF(IFERROR(VLOOKUP($F435,'维度字典'!$I$2:$J$50,2,0),"求和")="最新值",IFERROR(LOOKUP(9.99E+307,G435:R435),""),SUM(G435:R435))))</f>
        <v/>
      </c>
      <c r="T435" s="33" t="n"/>
      <c r="U435" s="33" t="n"/>
    </row>
    <row r="436">
      <c r="A436" s="26">
        <f>IF($B436="","",ROW()-3)</f>
        <v/>
      </c>
      <c r="B436" s="27" t="n"/>
      <c r="C436" s="27" t="n"/>
      <c r="D436" s="28" t="n"/>
      <c r="E436" s="29" t="n"/>
      <c r="F436" s="30" t="n"/>
      <c r="G436" s="31" t="n"/>
      <c r="H436" s="31" t="n"/>
      <c r="I436" s="31" t="n"/>
      <c r="J436" s="31" t="n"/>
      <c r="K436" s="31" t="n"/>
      <c r="L436" s="31" t="n"/>
      <c r="M436" s="31" t="n"/>
      <c r="N436" s="31" t="n"/>
      <c r="O436" s="31" t="n"/>
      <c r="P436" s="31" t="n"/>
      <c r="Q436" s="31" t="n"/>
      <c r="R436" s="31" t="n"/>
      <c r="S436" s="32">
        <f>IF($F436="","",IF(IFERROR(VLOOKUP($F436,'维度字典'!$I$2:$J$50,2,0),"求和")="手工录入","",IF(IFERROR(VLOOKUP($F436,'维度字典'!$I$2:$J$50,2,0),"求和")="最新值",IFERROR(LOOKUP(9.99E+307,G436:R436),""),SUM(G436:R436))))</f>
        <v/>
      </c>
      <c r="T436" s="33" t="n"/>
      <c r="U436" s="33" t="n"/>
    </row>
    <row r="437">
      <c r="A437" s="26">
        <f>IF($B437="","",ROW()-3)</f>
        <v/>
      </c>
      <c r="B437" s="27" t="n"/>
      <c r="C437" s="27" t="n"/>
      <c r="D437" s="28" t="n"/>
      <c r="E437" s="29" t="n"/>
      <c r="F437" s="30" t="n"/>
      <c r="G437" s="31" t="n"/>
      <c r="H437" s="31" t="n"/>
      <c r="I437" s="31" t="n"/>
      <c r="J437" s="31" t="n"/>
      <c r="K437" s="31" t="n"/>
      <c r="L437" s="31" t="n"/>
      <c r="M437" s="31" t="n"/>
      <c r="N437" s="31" t="n"/>
      <c r="O437" s="31" t="n"/>
      <c r="P437" s="31" t="n"/>
      <c r="Q437" s="31" t="n"/>
      <c r="R437" s="31" t="n"/>
      <c r="S437" s="32">
        <f>IF($F437="","",IF(IFERROR(VLOOKUP($F437,'维度字典'!$I$2:$J$50,2,0),"求和")="手工录入","",IF(IFERROR(VLOOKUP($F437,'维度字典'!$I$2:$J$50,2,0),"求和")="最新值",IFERROR(LOOKUP(9.99E+307,G437:R437),""),SUM(G437:R437))))</f>
        <v/>
      </c>
      <c r="T437" s="33" t="n"/>
      <c r="U437" s="33" t="n"/>
    </row>
    <row r="438">
      <c r="A438" s="26">
        <f>IF($B438="","",ROW()-3)</f>
        <v/>
      </c>
      <c r="B438" s="27" t="n"/>
      <c r="C438" s="27" t="n"/>
      <c r="D438" s="28" t="n"/>
      <c r="E438" s="29" t="n"/>
      <c r="F438" s="30" t="n"/>
      <c r="G438" s="31" t="n"/>
      <c r="H438" s="31" t="n"/>
      <c r="I438" s="31" t="n"/>
      <c r="J438" s="31" t="n"/>
      <c r="K438" s="31" t="n"/>
      <c r="L438" s="31" t="n"/>
      <c r="M438" s="31" t="n"/>
      <c r="N438" s="31" t="n"/>
      <c r="O438" s="31" t="n"/>
      <c r="P438" s="31" t="n"/>
      <c r="Q438" s="31" t="n"/>
      <c r="R438" s="31" t="n"/>
      <c r="S438" s="32">
        <f>IF($F438="","",IF(IFERROR(VLOOKUP($F438,'维度字典'!$I$2:$J$50,2,0),"求和")="手工录入","",IF(IFERROR(VLOOKUP($F438,'维度字典'!$I$2:$J$50,2,0),"求和")="最新值",IFERROR(LOOKUP(9.99E+307,G438:R438),""),SUM(G438:R438))))</f>
        <v/>
      </c>
      <c r="T438" s="33" t="n"/>
      <c r="U438" s="33" t="n"/>
    </row>
    <row r="439">
      <c r="A439" s="26">
        <f>IF($B439="","",ROW()-3)</f>
        <v/>
      </c>
      <c r="B439" s="27" t="n"/>
      <c r="C439" s="27" t="n"/>
      <c r="D439" s="28" t="n"/>
      <c r="E439" s="29" t="n"/>
      <c r="F439" s="30" t="n"/>
      <c r="G439" s="31" t="n"/>
      <c r="H439" s="31" t="n"/>
      <c r="I439" s="31" t="n"/>
      <c r="J439" s="31" t="n"/>
      <c r="K439" s="31" t="n"/>
      <c r="L439" s="31" t="n"/>
      <c r="M439" s="31" t="n"/>
      <c r="N439" s="31" t="n"/>
      <c r="O439" s="31" t="n"/>
      <c r="P439" s="31" t="n"/>
      <c r="Q439" s="31" t="n"/>
      <c r="R439" s="31" t="n"/>
      <c r="S439" s="32">
        <f>IF($F439="","",IF(IFERROR(VLOOKUP($F439,'维度字典'!$I$2:$J$50,2,0),"求和")="手工录入","",IF(IFERROR(VLOOKUP($F439,'维度字典'!$I$2:$J$50,2,0),"求和")="最新值",IFERROR(LOOKUP(9.99E+307,G439:R439),""),SUM(G439:R439))))</f>
        <v/>
      </c>
      <c r="T439" s="33" t="n"/>
      <c r="U439" s="33" t="n"/>
    </row>
    <row r="440">
      <c r="A440" s="26">
        <f>IF($B440="","",ROW()-3)</f>
        <v/>
      </c>
      <c r="B440" s="27" t="n"/>
      <c r="C440" s="27" t="n"/>
      <c r="D440" s="28" t="n"/>
      <c r="E440" s="29" t="n"/>
      <c r="F440" s="30" t="n"/>
      <c r="G440" s="31" t="n"/>
      <c r="H440" s="31" t="n"/>
      <c r="I440" s="31" t="n"/>
      <c r="J440" s="31" t="n"/>
      <c r="K440" s="31" t="n"/>
      <c r="L440" s="31" t="n"/>
      <c r="M440" s="31" t="n"/>
      <c r="N440" s="31" t="n"/>
      <c r="O440" s="31" t="n"/>
      <c r="P440" s="31" t="n"/>
      <c r="Q440" s="31" t="n"/>
      <c r="R440" s="31" t="n"/>
      <c r="S440" s="32">
        <f>IF($F440="","",IF(IFERROR(VLOOKUP($F440,'维度字典'!$I$2:$J$50,2,0),"求和")="手工录入","",IF(IFERROR(VLOOKUP($F440,'维度字典'!$I$2:$J$50,2,0),"求和")="最新值",IFERROR(LOOKUP(9.99E+307,G440:R440),""),SUM(G440:R440))))</f>
        <v/>
      </c>
      <c r="T440" s="33" t="n"/>
      <c r="U440" s="33" t="n"/>
    </row>
    <row r="441">
      <c r="A441" s="26">
        <f>IF($B441="","",ROW()-3)</f>
        <v/>
      </c>
      <c r="B441" s="27" t="n"/>
      <c r="C441" s="27" t="n"/>
      <c r="D441" s="28" t="n"/>
      <c r="E441" s="29" t="n"/>
      <c r="F441" s="30" t="n"/>
      <c r="G441" s="31" t="n"/>
      <c r="H441" s="31" t="n"/>
      <c r="I441" s="31" t="n"/>
      <c r="J441" s="31" t="n"/>
      <c r="K441" s="31" t="n"/>
      <c r="L441" s="31" t="n"/>
      <c r="M441" s="31" t="n"/>
      <c r="N441" s="31" t="n"/>
      <c r="O441" s="31" t="n"/>
      <c r="P441" s="31" t="n"/>
      <c r="Q441" s="31" t="n"/>
      <c r="R441" s="31" t="n"/>
      <c r="S441" s="32">
        <f>IF($F441="","",IF(IFERROR(VLOOKUP($F441,'维度字典'!$I$2:$J$50,2,0),"求和")="手工录入","",IF(IFERROR(VLOOKUP($F441,'维度字典'!$I$2:$J$50,2,0),"求和")="最新值",IFERROR(LOOKUP(9.99E+307,G441:R441),""),SUM(G441:R441))))</f>
        <v/>
      </c>
      <c r="T441" s="33" t="n"/>
      <c r="U441" s="33" t="n"/>
    </row>
    <row r="442">
      <c r="A442" s="26">
        <f>IF($B442="","",ROW()-3)</f>
        <v/>
      </c>
      <c r="B442" s="27" t="n"/>
      <c r="C442" s="27" t="n"/>
      <c r="D442" s="28" t="n"/>
      <c r="E442" s="29" t="n"/>
      <c r="F442" s="30" t="n"/>
      <c r="G442" s="31" t="n"/>
      <c r="H442" s="31" t="n"/>
      <c r="I442" s="31" t="n"/>
      <c r="J442" s="31" t="n"/>
      <c r="K442" s="31" t="n"/>
      <c r="L442" s="31" t="n"/>
      <c r="M442" s="31" t="n"/>
      <c r="N442" s="31" t="n"/>
      <c r="O442" s="31" t="n"/>
      <c r="P442" s="31" t="n"/>
      <c r="Q442" s="31" t="n"/>
      <c r="R442" s="31" t="n"/>
      <c r="S442" s="32">
        <f>IF($F442="","",IF(IFERROR(VLOOKUP($F442,'维度字典'!$I$2:$J$50,2,0),"求和")="手工录入","",IF(IFERROR(VLOOKUP($F442,'维度字典'!$I$2:$J$50,2,0),"求和")="最新值",IFERROR(LOOKUP(9.99E+307,G442:R442),""),SUM(G442:R442))))</f>
        <v/>
      </c>
      <c r="T442" s="33" t="n"/>
      <c r="U442" s="33" t="n"/>
    </row>
    <row r="443">
      <c r="A443" s="26">
        <f>IF($B443="","",ROW()-3)</f>
        <v/>
      </c>
      <c r="B443" s="27" t="n"/>
      <c r="C443" s="27" t="n"/>
      <c r="D443" s="28" t="n"/>
      <c r="E443" s="29" t="n"/>
      <c r="F443" s="30" t="n"/>
      <c r="G443" s="31" t="n"/>
      <c r="H443" s="31" t="n"/>
      <c r="I443" s="31" t="n"/>
      <c r="J443" s="31" t="n"/>
      <c r="K443" s="31" t="n"/>
      <c r="L443" s="31" t="n"/>
      <c r="M443" s="31" t="n"/>
      <c r="N443" s="31" t="n"/>
      <c r="O443" s="31" t="n"/>
      <c r="P443" s="31" t="n"/>
      <c r="Q443" s="31" t="n"/>
      <c r="R443" s="31" t="n"/>
      <c r="S443" s="32">
        <f>IF($F443="","",IF(IFERROR(VLOOKUP($F443,'维度字典'!$I$2:$J$50,2,0),"求和")="手工录入","",IF(IFERROR(VLOOKUP($F443,'维度字典'!$I$2:$J$50,2,0),"求和")="最新值",IFERROR(LOOKUP(9.99E+307,G443:R443),""),SUM(G443:R443))))</f>
        <v/>
      </c>
      <c r="T443" s="33" t="n"/>
      <c r="U443" s="33" t="n"/>
    </row>
    <row r="444">
      <c r="A444" s="26">
        <f>IF($B444="","",ROW()-3)</f>
        <v/>
      </c>
      <c r="B444" s="27" t="n"/>
      <c r="C444" s="27" t="n"/>
      <c r="D444" s="28" t="n"/>
      <c r="E444" s="29" t="n"/>
      <c r="F444" s="30" t="n"/>
      <c r="G444" s="31" t="n"/>
      <c r="H444" s="31" t="n"/>
      <c r="I444" s="31" t="n"/>
      <c r="J444" s="31" t="n"/>
      <c r="K444" s="31" t="n"/>
      <c r="L444" s="31" t="n"/>
      <c r="M444" s="31" t="n"/>
      <c r="N444" s="31" t="n"/>
      <c r="O444" s="31" t="n"/>
      <c r="P444" s="31" t="n"/>
      <c r="Q444" s="31" t="n"/>
      <c r="R444" s="31" t="n"/>
      <c r="S444" s="32">
        <f>IF($F444="","",IF(IFERROR(VLOOKUP($F444,'维度字典'!$I$2:$J$50,2,0),"求和")="手工录入","",IF(IFERROR(VLOOKUP($F444,'维度字典'!$I$2:$J$50,2,0),"求和")="最新值",IFERROR(LOOKUP(9.99E+307,G444:R444),""),SUM(G444:R444))))</f>
        <v/>
      </c>
      <c r="T444" s="33" t="n"/>
      <c r="U444" s="33" t="n"/>
    </row>
    <row r="445">
      <c r="A445" s="26">
        <f>IF($B445="","",ROW()-3)</f>
        <v/>
      </c>
      <c r="B445" s="27" t="n"/>
      <c r="C445" s="27" t="n"/>
      <c r="D445" s="28" t="n"/>
      <c r="E445" s="29" t="n"/>
      <c r="F445" s="30" t="n"/>
      <c r="G445" s="31" t="n"/>
      <c r="H445" s="31" t="n"/>
      <c r="I445" s="31" t="n"/>
      <c r="J445" s="31" t="n"/>
      <c r="K445" s="31" t="n"/>
      <c r="L445" s="31" t="n"/>
      <c r="M445" s="31" t="n"/>
      <c r="N445" s="31" t="n"/>
      <c r="O445" s="31" t="n"/>
      <c r="P445" s="31" t="n"/>
      <c r="Q445" s="31" t="n"/>
      <c r="R445" s="31" t="n"/>
      <c r="S445" s="32">
        <f>IF($F445="","",IF(IFERROR(VLOOKUP($F445,'维度字典'!$I$2:$J$50,2,0),"求和")="手工录入","",IF(IFERROR(VLOOKUP($F445,'维度字典'!$I$2:$J$50,2,0),"求和")="最新值",IFERROR(LOOKUP(9.99E+307,G445:R445),""),SUM(G445:R445))))</f>
        <v/>
      </c>
      <c r="T445" s="33" t="n"/>
      <c r="U445" s="33" t="n"/>
    </row>
    <row r="446">
      <c r="A446" s="26">
        <f>IF($B446="","",ROW()-3)</f>
        <v/>
      </c>
      <c r="B446" s="27" t="n"/>
      <c r="C446" s="27" t="n"/>
      <c r="D446" s="28" t="n"/>
      <c r="E446" s="29" t="n"/>
      <c r="F446" s="30" t="n"/>
      <c r="G446" s="31" t="n"/>
      <c r="H446" s="31" t="n"/>
      <c r="I446" s="31" t="n"/>
      <c r="J446" s="31" t="n"/>
      <c r="K446" s="31" t="n"/>
      <c r="L446" s="31" t="n"/>
      <c r="M446" s="31" t="n"/>
      <c r="N446" s="31" t="n"/>
      <c r="O446" s="31" t="n"/>
      <c r="P446" s="31" t="n"/>
      <c r="Q446" s="31" t="n"/>
      <c r="R446" s="31" t="n"/>
      <c r="S446" s="32">
        <f>IF($F446="","",IF(IFERROR(VLOOKUP($F446,'维度字典'!$I$2:$J$50,2,0),"求和")="手工录入","",IF(IFERROR(VLOOKUP($F446,'维度字典'!$I$2:$J$50,2,0),"求和")="最新值",IFERROR(LOOKUP(9.99E+307,G446:R446),""),SUM(G446:R446))))</f>
        <v/>
      </c>
      <c r="T446" s="33" t="n"/>
      <c r="U446" s="33" t="n"/>
    </row>
    <row r="447">
      <c r="A447" s="26">
        <f>IF($B447="","",ROW()-3)</f>
        <v/>
      </c>
      <c r="B447" s="27" t="n"/>
      <c r="C447" s="27" t="n"/>
      <c r="D447" s="28" t="n"/>
      <c r="E447" s="29" t="n"/>
      <c r="F447" s="30" t="n"/>
      <c r="G447" s="31" t="n"/>
      <c r="H447" s="31" t="n"/>
      <c r="I447" s="31" t="n"/>
      <c r="J447" s="31" t="n"/>
      <c r="K447" s="31" t="n"/>
      <c r="L447" s="31" t="n"/>
      <c r="M447" s="31" t="n"/>
      <c r="N447" s="31" t="n"/>
      <c r="O447" s="31" t="n"/>
      <c r="P447" s="31" t="n"/>
      <c r="Q447" s="31" t="n"/>
      <c r="R447" s="31" t="n"/>
      <c r="S447" s="32">
        <f>IF($F447="","",IF(IFERROR(VLOOKUP($F447,'维度字典'!$I$2:$J$50,2,0),"求和")="手工录入","",IF(IFERROR(VLOOKUP($F447,'维度字典'!$I$2:$J$50,2,0),"求和")="最新值",IFERROR(LOOKUP(9.99E+307,G447:R447),""),SUM(G447:R447))))</f>
        <v/>
      </c>
      <c r="T447" s="33" t="n"/>
      <c r="U447" s="33" t="n"/>
    </row>
    <row r="448">
      <c r="A448" s="26">
        <f>IF($B448="","",ROW()-3)</f>
        <v/>
      </c>
      <c r="B448" s="27" t="n"/>
      <c r="C448" s="27" t="n"/>
      <c r="D448" s="28" t="n"/>
      <c r="E448" s="29" t="n"/>
      <c r="F448" s="30" t="n"/>
      <c r="G448" s="31" t="n"/>
      <c r="H448" s="31" t="n"/>
      <c r="I448" s="31" t="n"/>
      <c r="J448" s="31" t="n"/>
      <c r="K448" s="31" t="n"/>
      <c r="L448" s="31" t="n"/>
      <c r="M448" s="31" t="n"/>
      <c r="N448" s="31" t="n"/>
      <c r="O448" s="31" t="n"/>
      <c r="P448" s="31" t="n"/>
      <c r="Q448" s="31" t="n"/>
      <c r="R448" s="31" t="n"/>
      <c r="S448" s="32">
        <f>IF($F448="","",IF(IFERROR(VLOOKUP($F448,'维度字典'!$I$2:$J$50,2,0),"求和")="手工录入","",IF(IFERROR(VLOOKUP($F448,'维度字典'!$I$2:$J$50,2,0),"求和")="最新值",IFERROR(LOOKUP(9.99E+307,G448:R448),""),SUM(G448:R448))))</f>
        <v/>
      </c>
      <c r="T448" s="33" t="n"/>
      <c r="U448" s="33" t="n"/>
    </row>
    <row r="449">
      <c r="A449" s="26">
        <f>IF($B449="","",ROW()-3)</f>
        <v/>
      </c>
      <c r="B449" s="27" t="n"/>
      <c r="C449" s="27" t="n"/>
      <c r="D449" s="28" t="n"/>
      <c r="E449" s="29" t="n"/>
      <c r="F449" s="30" t="n"/>
      <c r="G449" s="31" t="n"/>
      <c r="H449" s="31" t="n"/>
      <c r="I449" s="31" t="n"/>
      <c r="J449" s="31" t="n"/>
      <c r="K449" s="31" t="n"/>
      <c r="L449" s="31" t="n"/>
      <c r="M449" s="31" t="n"/>
      <c r="N449" s="31" t="n"/>
      <c r="O449" s="31" t="n"/>
      <c r="P449" s="31" t="n"/>
      <c r="Q449" s="31" t="n"/>
      <c r="R449" s="31" t="n"/>
      <c r="S449" s="32">
        <f>IF($F449="","",IF(IFERROR(VLOOKUP($F449,'维度字典'!$I$2:$J$50,2,0),"求和")="手工录入","",IF(IFERROR(VLOOKUP($F449,'维度字典'!$I$2:$J$50,2,0),"求和")="最新值",IFERROR(LOOKUP(9.99E+307,G449:R449),""),SUM(G449:R449))))</f>
        <v/>
      </c>
      <c r="T449" s="33" t="n"/>
      <c r="U449" s="33" t="n"/>
    </row>
    <row r="450">
      <c r="A450" s="26">
        <f>IF($B450="","",ROW()-3)</f>
        <v/>
      </c>
      <c r="B450" s="27" t="n"/>
      <c r="C450" s="27" t="n"/>
      <c r="D450" s="28" t="n"/>
      <c r="E450" s="29" t="n"/>
      <c r="F450" s="30" t="n"/>
      <c r="G450" s="31" t="n"/>
      <c r="H450" s="31" t="n"/>
      <c r="I450" s="31" t="n"/>
      <c r="J450" s="31" t="n"/>
      <c r="K450" s="31" t="n"/>
      <c r="L450" s="31" t="n"/>
      <c r="M450" s="31" t="n"/>
      <c r="N450" s="31" t="n"/>
      <c r="O450" s="31" t="n"/>
      <c r="P450" s="31" t="n"/>
      <c r="Q450" s="31" t="n"/>
      <c r="R450" s="31" t="n"/>
      <c r="S450" s="32">
        <f>IF($F450="","",IF(IFERROR(VLOOKUP($F450,'维度字典'!$I$2:$J$50,2,0),"求和")="手工录入","",IF(IFERROR(VLOOKUP($F450,'维度字典'!$I$2:$J$50,2,0),"求和")="最新值",IFERROR(LOOKUP(9.99E+307,G450:R450),""),SUM(G450:R450))))</f>
        <v/>
      </c>
      <c r="T450" s="33" t="n"/>
      <c r="U450" s="33" t="n"/>
    </row>
    <row r="451">
      <c r="A451" s="26">
        <f>IF($B451="","",ROW()-3)</f>
        <v/>
      </c>
      <c r="B451" s="27" t="n"/>
      <c r="C451" s="27" t="n"/>
      <c r="D451" s="28" t="n"/>
      <c r="E451" s="29" t="n"/>
      <c r="F451" s="30" t="n"/>
      <c r="G451" s="31" t="n"/>
      <c r="H451" s="31" t="n"/>
      <c r="I451" s="31" t="n"/>
      <c r="J451" s="31" t="n"/>
      <c r="K451" s="31" t="n"/>
      <c r="L451" s="31" t="n"/>
      <c r="M451" s="31" t="n"/>
      <c r="N451" s="31" t="n"/>
      <c r="O451" s="31" t="n"/>
      <c r="P451" s="31" t="n"/>
      <c r="Q451" s="31" t="n"/>
      <c r="R451" s="31" t="n"/>
      <c r="S451" s="32">
        <f>IF($F451="","",IF(IFERROR(VLOOKUP($F451,'维度字典'!$I$2:$J$50,2,0),"求和")="手工录入","",IF(IFERROR(VLOOKUP($F451,'维度字典'!$I$2:$J$50,2,0),"求和")="最新值",IFERROR(LOOKUP(9.99E+307,G451:R451),""),SUM(G451:R451))))</f>
        <v/>
      </c>
      <c r="T451" s="33" t="n"/>
      <c r="U451" s="33" t="n"/>
    </row>
    <row r="452">
      <c r="A452" s="26">
        <f>IF($B452="","",ROW()-3)</f>
        <v/>
      </c>
      <c r="B452" s="27" t="n"/>
      <c r="C452" s="27" t="n"/>
      <c r="D452" s="28" t="n"/>
      <c r="E452" s="29" t="n"/>
      <c r="F452" s="30" t="n"/>
      <c r="G452" s="31" t="n"/>
      <c r="H452" s="31" t="n"/>
      <c r="I452" s="31" t="n"/>
      <c r="J452" s="31" t="n"/>
      <c r="K452" s="31" t="n"/>
      <c r="L452" s="31" t="n"/>
      <c r="M452" s="31" t="n"/>
      <c r="N452" s="31" t="n"/>
      <c r="O452" s="31" t="n"/>
      <c r="P452" s="31" t="n"/>
      <c r="Q452" s="31" t="n"/>
      <c r="R452" s="31" t="n"/>
      <c r="S452" s="32">
        <f>IF($F452="","",IF(IFERROR(VLOOKUP($F452,'维度字典'!$I$2:$J$50,2,0),"求和")="手工录入","",IF(IFERROR(VLOOKUP($F452,'维度字典'!$I$2:$J$50,2,0),"求和")="最新值",IFERROR(LOOKUP(9.99E+307,G452:R452),""),SUM(G452:R452))))</f>
        <v/>
      </c>
      <c r="T452" s="33" t="n"/>
      <c r="U452" s="33" t="n"/>
    </row>
    <row r="453">
      <c r="A453" s="26">
        <f>IF($B453="","",ROW()-3)</f>
        <v/>
      </c>
      <c r="B453" s="27" t="n"/>
      <c r="C453" s="27" t="n"/>
      <c r="D453" s="28" t="n"/>
      <c r="E453" s="29" t="n"/>
      <c r="F453" s="30" t="n"/>
      <c r="G453" s="31" t="n"/>
      <c r="H453" s="31" t="n"/>
      <c r="I453" s="31" t="n"/>
      <c r="J453" s="31" t="n"/>
      <c r="K453" s="31" t="n"/>
      <c r="L453" s="31" t="n"/>
      <c r="M453" s="31" t="n"/>
      <c r="N453" s="31" t="n"/>
      <c r="O453" s="31" t="n"/>
      <c r="P453" s="31" t="n"/>
      <c r="Q453" s="31" t="n"/>
      <c r="R453" s="31" t="n"/>
      <c r="S453" s="32">
        <f>IF($F453="","",IF(IFERROR(VLOOKUP($F453,'维度字典'!$I$2:$J$50,2,0),"求和")="手工录入","",IF(IFERROR(VLOOKUP($F453,'维度字典'!$I$2:$J$50,2,0),"求和")="最新值",IFERROR(LOOKUP(9.99E+307,G453:R453),""),SUM(G453:R453))))</f>
        <v/>
      </c>
      <c r="T453" s="33" t="n"/>
      <c r="U453" s="33" t="n"/>
    </row>
    <row r="454">
      <c r="A454" s="26">
        <f>IF($B454="","",ROW()-3)</f>
        <v/>
      </c>
      <c r="B454" s="27" t="n"/>
      <c r="C454" s="27" t="n"/>
      <c r="D454" s="28" t="n"/>
      <c r="E454" s="29" t="n"/>
      <c r="F454" s="30" t="n"/>
      <c r="G454" s="31" t="n"/>
      <c r="H454" s="31" t="n"/>
      <c r="I454" s="31" t="n"/>
      <c r="J454" s="31" t="n"/>
      <c r="K454" s="31" t="n"/>
      <c r="L454" s="31" t="n"/>
      <c r="M454" s="31" t="n"/>
      <c r="N454" s="31" t="n"/>
      <c r="O454" s="31" t="n"/>
      <c r="P454" s="31" t="n"/>
      <c r="Q454" s="31" t="n"/>
      <c r="R454" s="31" t="n"/>
      <c r="S454" s="32">
        <f>IF($F454="","",IF(IFERROR(VLOOKUP($F454,'维度字典'!$I$2:$J$50,2,0),"求和")="手工录入","",IF(IFERROR(VLOOKUP($F454,'维度字典'!$I$2:$J$50,2,0),"求和")="最新值",IFERROR(LOOKUP(9.99E+307,G454:R454),""),SUM(G454:R454))))</f>
        <v/>
      </c>
      <c r="T454" s="33" t="n"/>
      <c r="U454" s="33" t="n"/>
    </row>
    <row r="455">
      <c r="A455" s="26">
        <f>IF($B455="","",ROW()-3)</f>
        <v/>
      </c>
      <c r="B455" s="27" t="n"/>
      <c r="C455" s="27" t="n"/>
      <c r="D455" s="28" t="n"/>
      <c r="E455" s="29" t="n"/>
      <c r="F455" s="30" t="n"/>
      <c r="G455" s="31" t="n"/>
      <c r="H455" s="31" t="n"/>
      <c r="I455" s="31" t="n"/>
      <c r="J455" s="31" t="n"/>
      <c r="K455" s="31" t="n"/>
      <c r="L455" s="31" t="n"/>
      <c r="M455" s="31" t="n"/>
      <c r="N455" s="31" t="n"/>
      <c r="O455" s="31" t="n"/>
      <c r="P455" s="31" t="n"/>
      <c r="Q455" s="31" t="n"/>
      <c r="R455" s="31" t="n"/>
      <c r="S455" s="32">
        <f>IF($F455="","",IF(IFERROR(VLOOKUP($F455,'维度字典'!$I$2:$J$50,2,0),"求和")="手工录入","",IF(IFERROR(VLOOKUP($F455,'维度字典'!$I$2:$J$50,2,0),"求和")="最新值",IFERROR(LOOKUP(9.99E+307,G455:R455),""),SUM(G455:R455))))</f>
        <v/>
      </c>
      <c r="T455" s="33" t="n"/>
      <c r="U455" s="33" t="n"/>
    </row>
    <row r="456">
      <c r="A456" s="26">
        <f>IF($B456="","",ROW()-3)</f>
        <v/>
      </c>
      <c r="B456" s="27" t="n"/>
      <c r="C456" s="27" t="n"/>
      <c r="D456" s="28" t="n"/>
      <c r="E456" s="29" t="n"/>
      <c r="F456" s="30" t="n"/>
      <c r="G456" s="31" t="n"/>
      <c r="H456" s="31" t="n"/>
      <c r="I456" s="31" t="n"/>
      <c r="J456" s="31" t="n"/>
      <c r="K456" s="31" t="n"/>
      <c r="L456" s="31" t="n"/>
      <c r="M456" s="31" t="n"/>
      <c r="N456" s="31" t="n"/>
      <c r="O456" s="31" t="n"/>
      <c r="P456" s="31" t="n"/>
      <c r="Q456" s="31" t="n"/>
      <c r="R456" s="31" t="n"/>
      <c r="S456" s="32">
        <f>IF($F456="","",IF(IFERROR(VLOOKUP($F456,'维度字典'!$I$2:$J$50,2,0),"求和")="手工录入","",IF(IFERROR(VLOOKUP($F456,'维度字典'!$I$2:$J$50,2,0),"求和")="最新值",IFERROR(LOOKUP(9.99E+307,G456:R456),""),SUM(G456:R456))))</f>
        <v/>
      </c>
      <c r="T456" s="33" t="n"/>
      <c r="U456" s="33" t="n"/>
    </row>
    <row r="457">
      <c r="A457" s="26">
        <f>IF($B457="","",ROW()-3)</f>
        <v/>
      </c>
      <c r="B457" s="27" t="n"/>
      <c r="C457" s="27" t="n"/>
      <c r="D457" s="28" t="n"/>
      <c r="E457" s="29" t="n"/>
      <c r="F457" s="30" t="n"/>
      <c r="G457" s="31" t="n"/>
      <c r="H457" s="31" t="n"/>
      <c r="I457" s="31" t="n"/>
      <c r="J457" s="31" t="n"/>
      <c r="K457" s="31" t="n"/>
      <c r="L457" s="31" t="n"/>
      <c r="M457" s="31" t="n"/>
      <c r="N457" s="31" t="n"/>
      <c r="O457" s="31" t="n"/>
      <c r="P457" s="31" t="n"/>
      <c r="Q457" s="31" t="n"/>
      <c r="R457" s="31" t="n"/>
      <c r="S457" s="32">
        <f>IF($F457="","",IF(IFERROR(VLOOKUP($F457,'维度字典'!$I$2:$J$50,2,0),"求和")="手工录入","",IF(IFERROR(VLOOKUP($F457,'维度字典'!$I$2:$J$50,2,0),"求和")="最新值",IFERROR(LOOKUP(9.99E+307,G457:R457),""),SUM(G457:R457))))</f>
        <v/>
      </c>
      <c r="T457" s="33" t="n"/>
      <c r="U457" s="33" t="n"/>
    </row>
    <row r="458">
      <c r="A458" s="26">
        <f>IF($B458="","",ROW()-3)</f>
        <v/>
      </c>
      <c r="B458" s="27" t="n"/>
      <c r="C458" s="27" t="n"/>
      <c r="D458" s="28" t="n"/>
      <c r="E458" s="29" t="n"/>
      <c r="F458" s="30" t="n"/>
      <c r="G458" s="31" t="n"/>
      <c r="H458" s="31" t="n"/>
      <c r="I458" s="31" t="n"/>
      <c r="J458" s="31" t="n"/>
      <c r="K458" s="31" t="n"/>
      <c r="L458" s="31" t="n"/>
      <c r="M458" s="31" t="n"/>
      <c r="N458" s="31" t="n"/>
      <c r="O458" s="31" t="n"/>
      <c r="P458" s="31" t="n"/>
      <c r="Q458" s="31" t="n"/>
      <c r="R458" s="31" t="n"/>
      <c r="S458" s="32">
        <f>IF($F458="","",IF(IFERROR(VLOOKUP($F458,'维度字典'!$I$2:$J$50,2,0),"求和")="手工录入","",IF(IFERROR(VLOOKUP($F458,'维度字典'!$I$2:$J$50,2,0),"求和")="最新值",IFERROR(LOOKUP(9.99E+307,G458:R458),""),SUM(G458:R458))))</f>
        <v/>
      </c>
      <c r="T458" s="33" t="n"/>
      <c r="U458" s="33" t="n"/>
    </row>
    <row r="459">
      <c r="A459" s="26">
        <f>IF($B459="","",ROW()-3)</f>
        <v/>
      </c>
      <c r="B459" s="27" t="n"/>
      <c r="C459" s="27" t="n"/>
      <c r="D459" s="28" t="n"/>
      <c r="E459" s="29" t="n"/>
      <c r="F459" s="30" t="n"/>
      <c r="G459" s="31" t="n"/>
      <c r="H459" s="31" t="n"/>
      <c r="I459" s="31" t="n"/>
      <c r="J459" s="31" t="n"/>
      <c r="K459" s="31" t="n"/>
      <c r="L459" s="31" t="n"/>
      <c r="M459" s="31" t="n"/>
      <c r="N459" s="31" t="n"/>
      <c r="O459" s="31" t="n"/>
      <c r="P459" s="31" t="n"/>
      <c r="Q459" s="31" t="n"/>
      <c r="R459" s="31" t="n"/>
      <c r="S459" s="32">
        <f>IF($F459="","",IF(IFERROR(VLOOKUP($F459,'维度字典'!$I$2:$J$50,2,0),"求和")="手工录入","",IF(IFERROR(VLOOKUP($F459,'维度字典'!$I$2:$J$50,2,0),"求和")="最新值",IFERROR(LOOKUP(9.99E+307,G459:R459),""),SUM(G459:R459))))</f>
        <v/>
      </c>
      <c r="T459" s="33" t="n"/>
      <c r="U459" s="33" t="n"/>
    </row>
    <row r="460">
      <c r="A460" s="26">
        <f>IF($B460="","",ROW()-3)</f>
        <v/>
      </c>
      <c r="B460" s="27" t="n"/>
      <c r="C460" s="27" t="n"/>
      <c r="D460" s="28" t="n"/>
      <c r="E460" s="29" t="n"/>
      <c r="F460" s="30" t="n"/>
      <c r="G460" s="31" t="n"/>
      <c r="H460" s="31" t="n"/>
      <c r="I460" s="31" t="n"/>
      <c r="J460" s="31" t="n"/>
      <c r="K460" s="31" t="n"/>
      <c r="L460" s="31" t="n"/>
      <c r="M460" s="31" t="n"/>
      <c r="N460" s="31" t="n"/>
      <c r="O460" s="31" t="n"/>
      <c r="P460" s="31" t="n"/>
      <c r="Q460" s="31" t="n"/>
      <c r="R460" s="31" t="n"/>
      <c r="S460" s="32">
        <f>IF($F460="","",IF(IFERROR(VLOOKUP($F460,'维度字典'!$I$2:$J$50,2,0),"求和")="手工录入","",IF(IFERROR(VLOOKUP($F460,'维度字典'!$I$2:$J$50,2,0),"求和")="最新值",IFERROR(LOOKUP(9.99E+307,G460:R460),""),SUM(G460:R460))))</f>
        <v/>
      </c>
      <c r="T460" s="33" t="n"/>
      <c r="U460" s="33" t="n"/>
    </row>
    <row r="461">
      <c r="A461" s="26">
        <f>IF($B461="","",ROW()-3)</f>
        <v/>
      </c>
      <c r="B461" s="27" t="n"/>
      <c r="C461" s="27" t="n"/>
      <c r="D461" s="28" t="n"/>
      <c r="E461" s="29" t="n"/>
      <c r="F461" s="30" t="n"/>
      <c r="G461" s="31" t="n"/>
      <c r="H461" s="31" t="n"/>
      <c r="I461" s="31" t="n"/>
      <c r="J461" s="31" t="n"/>
      <c r="K461" s="31" t="n"/>
      <c r="L461" s="31" t="n"/>
      <c r="M461" s="31" t="n"/>
      <c r="N461" s="31" t="n"/>
      <c r="O461" s="31" t="n"/>
      <c r="P461" s="31" t="n"/>
      <c r="Q461" s="31" t="n"/>
      <c r="R461" s="31" t="n"/>
      <c r="S461" s="32">
        <f>IF($F461="","",IF(IFERROR(VLOOKUP($F461,'维度字典'!$I$2:$J$50,2,0),"求和")="手工录入","",IF(IFERROR(VLOOKUP($F461,'维度字典'!$I$2:$J$50,2,0),"求和")="最新值",IFERROR(LOOKUP(9.99E+307,G461:R461),""),SUM(G461:R461))))</f>
        <v/>
      </c>
      <c r="T461" s="33" t="n"/>
      <c r="U461" s="33" t="n"/>
    </row>
    <row r="462">
      <c r="A462" s="26">
        <f>IF($B462="","",ROW()-3)</f>
        <v/>
      </c>
      <c r="B462" s="27" t="n"/>
      <c r="C462" s="27" t="n"/>
      <c r="D462" s="28" t="n"/>
      <c r="E462" s="29" t="n"/>
      <c r="F462" s="30" t="n"/>
      <c r="G462" s="31" t="n"/>
      <c r="H462" s="31" t="n"/>
      <c r="I462" s="31" t="n"/>
      <c r="J462" s="31" t="n"/>
      <c r="K462" s="31" t="n"/>
      <c r="L462" s="31" t="n"/>
      <c r="M462" s="31" t="n"/>
      <c r="N462" s="31" t="n"/>
      <c r="O462" s="31" t="n"/>
      <c r="P462" s="31" t="n"/>
      <c r="Q462" s="31" t="n"/>
      <c r="R462" s="31" t="n"/>
      <c r="S462" s="32">
        <f>IF($F462="","",IF(IFERROR(VLOOKUP($F462,'维度字典'!$I$2:$J$50,2,0),"求和")="手工录入","",IF(IFERROR(VLOOKUP($F462,'维度字典'!$I$2:$J$50,2,0),"求和")="最新值",IFERROR(LOOKUP(9.99E+307,G462:R462),""),SUM(G462:R462))))</f>
        <v/>
      </c>
      <c r="T462" s="33" t="n"/>
      <c r="U462" s="33" t="n"/>
    </row>
    <row r="463">
      <c r="A463" s="26">
        <f>IF($B463="","",ROW()-3)</f>
        <v/>
      </c>
      <c r="B463" s="27" t="n"/>
      <c r="C463" s="27" t="n"/>
      <c r="D463" s="28" t="n"/>
      <c r="E463" s="29" t="n"/>
      <c r="F463" s="30" t="n"/>
      <c r="G463" s="31" t="n"/>
      <c r="H463" s="31" t="n"/>
      <c r="I463" s="31" t="n"/>
      <c r="J463" s="31" t="n"/>
      <c r="K463" s="31" t="n"/>
      <c r="L463" s="31" t="n"/>
      <c r="M463" s="31" t="n"/>
      <c r="N463" s="31" t="n"/>
      <c r="O463" s="31" t="n"/>
      <c r="P463" s="31" t="n"/>
      <c r="Q463" s="31" t="n"/>
      <c r="R463" s="31" t="n"/>
      <c r="S463" s="32">
        <f>IF($F463="","",IF(IFERROR(VLOOKUP($F463,'维度字典'!$I$2:$J$50,2,0),"求和")="手工录入","",IF(IFERROR(VLOOKUP($F463,'维度字典'!$I$2:$J$50,2,0),"求和")="最新值",IFERROR(LOOKUP(9.99E+307,G463:R463),""),SUM(G463:R463))))</f>
        <v/>
      </c>
      <c r="T463" s="33" t="n"/>
      <c r="U463" s="33" t="n"/>
    </row>
    <row r="464">
      <c r="A464" s="26">
        <f>IF($B464="","",ROW()-3)</f>
        <v/>
      </c>
      <c r="B464" s="27" t="n"/>
      <c r="C464" s="27" t="n"/>
      <c r="D464" s="28" t="n"/>
      <c r="E464" s="29" t="n"/>
      <c r="F464" s="30" t="n"/>
      <c r="G464" s="31" t="n"/>
      <c r="H464" s="31" t="n"/>
      <c r="I464" s="31" t="n"/>
      <c r="J464" s="31" t="n"/>
      <c r="K464" s="31" t="n"/>
      <c r="L464" s="31" t="n"/>
      <c r="M464" s="31" t="n"/>
      <c r="N464" s="31" t="n"/>
      <c r="O464" s="31" t="n"/>
      <c r="P464" s="31" t="n"/>
      <c r="Q464" s="31" t="n"/>
      <c r="R464" s="31" t="n"/>
      <c r="S464" s="32">
        <f>IF($F464="","",IF(IFERROR(VLOOKUP($F464,'维度字典'!$I$2:$J$50,2,0),"求和")="手工录入","",IF(IFERROR(VLOOKUP($F464,'维度字典'!$I$2:$J$50,2,0),"求和")="最新值",IFERROR(LOOKUP(9.99E+307,G464:R464),""),SUM(G464:R464))))</f>
        <v/>
      </c>
      <c r="T464" s="33" t="n"/>
      <c r="U464" s="33" t="n"/>
    </row>
    <row r="465">
      <c r="A465" s="26">
        <f>IF($B465="","",ROW()-3)</f>
        <v/>
      </c>
      <c r="B465" s="27" t="n"/>
      <c r="C465" s="27" t="n"/>
      <c r="D465" s="28" t="n"/>
      <c r="E465" s="29" t="n"/>
      <c r="F465" s="30" t="n"/>
      <c r="G465" s="31" t="n"/>
      <c r="H465" s="31" t="n"/>
      <c r="I465" s="31" t="n"/>
      <c r="J465" s="31" t="n"/>
      <c r="K465" s="31" t="n"/>
      <c r="L465" s="31" t="n"/>
      <c r="M465" s="31" t="n"/>
      <c r="N465" s="31" t="n"/>
      <c r="O465" s="31" t="n"/>
      <c r="P465" s="31" t="n"/>
      <c r="Q465" s="31" t="n"/>
      <c r="R465" s="31" t="n"/>
      <c r="S465" s="32">
        <f>IF($F465="","",IF(IFERROR(VLOOKUP($F465,'维度字典'!$I$2:$J$50,2,0),"求和")="手工录入","",IF(IFERROR(VLOOKUP($F465,'维度字典'!$I$2:$J$50,2,0),"求和")="最新值",IFERROR(LOOKUP(9.99E+307,G465:R465),""),SUM(G465:R465))))</f>
        <v/>
      </c>
      <c r="T465" s="33" t="n"/>
      <c r="U465" s="33" t="n"/>
    </row>
    <row r="466">
      <c r="A466" s="26">
        <f>IF($B466="","",ROW()-3)</f>
        <v/>
      </c>
      <c r="B466" s="27" t="n"/>
      <c r="C466" s="27" t="n"/>
      <c r="D466" s="28" t="n"/>
      <c r="E466" s="29" t="n"/>
      <c r="F466" s="30" t="n"/>
      <c r="G466" s="31" t="n"/>
      <c r="H466" s="31" t="n"/>
      <c r="I466" s="31" t="n"/>
      <c r="J466" s="31" t="n"/>
      <c r="K466" s="31" t="n"/>
      <c r="L466" s="31" t="n"/>
      <c r="M466" s="31" t="n"/>
      <c r="N466" s="31" t="n"/>
      <c r="O466" s="31" t="n"/>
      <c r="P466" s="31" t="n"/>
      <c r="Q466" s="31" t="n"/>
      <c r="R466" s="31" t="n"/>
      <c r="S466" s="32">
        <f>IF($F466="","",IF(IFERROR(VLOOKUP($F466,'维度字典'!$I$2:$J$50,2,0),"求和")="手工录入","",IF(IFERROR(VLOOKUP($F466,'维度字典'!$I$2:$J$50,2,0),"求和")="最新值",IFERROR(LOOKUP(9.99E+307,G466:R466),""),SUM(G466:R466))))</f>
        <v/>
      </c>
      <c r="T466" s="33" t="n"/>
      <c r="U466" s="33" t="n"/>
    </row>
    <row r="467">
      <c r="A467" s="26">
        <f>IF($B467="","",ROW()-3)</f>
        <v/>
      </c>
      <c r="B467" s="27" t="n"/>
      <c r="C467" s="27" t="n"/>
      <c r="D467" s="28" t="n"/>
      <c r="E467" s="29" t="n"/>
      <c r="F467" s="30" t="n"/>
      <c r="G467" s="31" t="n"/>
      <c r="H467" s="31" t="n"/>
      <c r="I467" s="31" t="n"/>
      <c r="J467" s="31" t="n"/>
      <c r="K467" s="31" t="n"/>
      <c r="L467" s="31" t="n"/>
      <c r="M467" s="31" t="n"/>
      <c r="N467" s="31" t="n"/>
      <c r="O467" s="31" t="n"/>
      <c r="P467" s="31" t="n"/>
      <c r="Q467" s="31" t="n"/>
      <c r="R467" s="31" t="n"/>
      <c r="S467" s="32">
        <f>IF($F467="","",IF(IFERROR(VLOOKUP($F467,'维度字典'!$I$2:$J$50,2,0),"求和")="手工录入","",IF(IFERROR(VLOOKUP($F467,'维度字典'!$I$2:$J$50,2,0),"求和")="最新值",IFERROR(LOOKUP(9.99E+307,G467:R467),""),SUM(G467:R467))))</f>
        <v/>
      </c>
      <c r="T467" s="33" t="n"/>
      <c r="U467" s="33" t="n"/>
    </row>
    <row r="468">
      <c r="A468" s="26">
        <f>IF($B468="","",ROW()-3)</f>
        <v/>
      </c>
      <c r="B468" s="27" t="n"/>
      <c r="C468" s="27" t="n"/>
      <c r="D468" s="28" t="n"/>
      <c r="E468" s="29" t="n"/>
      <c r="F468" s="30" t="n"/>
      <c r="G468" s="31" t="n"/>
      <c r="H468" s="31" t="n"/>
      <c r="I468" s="31" t="n"/>
      <c r="J468" s="31" t="n"/>
      <c r="K468" s="31" t="n"/>
      <c r="L468" s="31" t="n"/>
      <c r="M468" s="31" t="n"/>
      <c r="N468" s="31" t="n"/>
      <c r="O468" s="31" t="n"/>
      <c r="P468" s="31" t="n"/>
      <c r="Q468" s="31" t="n"/>
      <c r="R468" s="31" t="n"/>
      <c r="S468" s="32">
        <f>IF($F468="","",IF(IFERROR(VLOOKUP($F468,'维度字典'!$I$2:$J$50,2,0),"求和")="手工录入","",IF(IFERROR(VLOOKUP($F468,'维度字典'!$I$2:$J$50,2,0),"求和")="最新值",IFERROR(LOOKUP(9.99E+307,G468:R468),""),SUM(G468:R468))))</f>
        <v/>
      </c>
      <c r="T468" s="33" t="n"/>
      <c r="U468" s="33" t="n"/>
    </row>
    <row r="469">
      <c r="A469" s="26">
        <f>IF($B469="","",ROW()-3)</f>
        <v/>
      </c>
      <c r="B469" s="27" t="n"/>
      <c r="C469" s="27" t="n"/>
      <c r="D469" s="28" t="n"/>
      <c r="E469" s="29" t="n"/>
      <c r="F469" s="30" t="n"/>
      <c r="G469" s="31" t="n"/>
      <c r="H469" s="31" t="n"/>
      <c r="I469" s="31" t="n"/>
      <c r="J469" s="31" t="n"/>
      <c r="K469" s="31" t="n"/>
      <c r="L469" s="31" t="n"/>
      <c r="M469" s="31" t="n"/>
      <c r="N469" s="31" t="n"/>
      <c r="O469" s="31" t="n"/>
      <c r="P469" s="31" t="n"/>
      <c r="Q469" s="31" t="n"/>
      <c r="R469" s="31" t="n"/>
      <c r="S469" s="32">
        <f>IF($F469="","",IF(IFERROR(VLOOKUP($F469,'维度字典'!$I$2:$J$50,2,0),"求和")="手工录入","",IF(IFERROR(VLOOKUP($F469,'维度字典'!$I$2:$J$50,2,0),"求和")="最新值",IFERROR(LOOKUP(9.99E+307,G469:R469),""),SUM(G469:R469))))</f>
        <v/>
      </c>
      <c r="T469" s="33" t="n"/>
      <c r="U469" s="33" t="n"/>
    </row>
    <row r="470">
      <c r="A470" s="26">
        <f>IF($B470="","",ROW()-3)</f>
        <v/>
      </c>
      <c r="B470" s="27" t="n"/>
      <c r="C470" s="27" t="n"/>
      <c r="D470" s="28" t="n"/>
      <c r="E470" s="29" t="n"/>
      <c r="F470" s="30" t="n"/>
      <c r="G470" s="31" t="n"/>
      <c r="H470" s="31" t="n"/>
      <c r="I470" s="31" t="n"/>
      <c r="J470" s="31" t="n"/>
      <c r="K470" s="31" t="n"/>
      <c r="L470" s="31" t="n"/>
      <c r="M470" s="31" t="n"/>
      <c r="N470" s="31" t="n"/>
      <c r="O470" s="31" t="n"/>
      <c r="P470" s="31" t="n"/>
      <c r="Q470" s="31" t="n"/>
      <c r="R470" s="31" t="n"/>
      <c r="S470" s="32">
        <f>IF($F470="","",IF(IFERROR(VLOOKUP($F470,'维度字典'!$I$2:$J$50,2,0),"求和")="手工录入","",IF(IFERROR(VLOOKUP($F470,'维度字典'!$I$2:$J$50,2,0),"求和")="最新值",IFERROR(LOOKUP(9.99E+307,G470:R470),""),SUM(G470:R470))))</f>
        <v/>
      </c>
      <c r="T470" s="33" t="n"/>
      <c r="U470" s="33" t="n"/>
    </row>
    <row r="471">
      <c r="A471" s="26">
        <f>IF($B471="","",ROW()-3)</f>
        <v/>
      </c>
      <c r="B471" s="27" t="n"/>
      <c r="C471" s="27" t="n"/>
      <c r="D471" s="28" t="n"/>
      <c r="E471" s="29" t="n"/>
      <c r="F471" s="30" t="n"/>
      <c r="G471" s="31" t="n"/>
      <c r="H471" s="31" t="n"/>
      <c r="I471" s="31" t="n"/>
      <c r="J471" s="31" t="n"/>
      <c r="K471" s="31" t="n"/>
      <c r="L471" s="31" t="n"/>
      <c r="M471" s="31" t="n"/>
      <c r="N471" s="31" t="n"/>
      <c r="O471" s="31" t="n"/>
      <c r="P471" s="31" t="n"/>
      <c r="Q471" s="31" t="n"/>
      <c r="R471" s="31" t="n"/>
      <c r="S471" s="32">
        <f>IF($F471="","",IF(IFERROR(VLOOKUP($F471,'维度字典'!$I$2:$J$50,2,0),"求和")="手工录入","",IF(IFERROR(VLOOKUP($F471,'维度字典'!$I$2:$J$50,2,0),"求和")="最新值",IFERROR(LOOKUP(9.99E+307,G471:R471),""),SUM(G471:R471))))</f>
        <v/>
      </c>
      <c r="T471" s="33" t="n"/>
      <c r="U471" s="33" t="n"/>
    </row>
    <row r="472">
      <c r="A472" s="26">
        <f>IF($B472="","",ROW()-3)</f>
        <v/>
      </c>
      <c r="B472" s="27" t="n"/>
      <c r="C472" s="27" t="n"/>
      <c r="D472" s="28" t="n"/>
      <c r="E472" s="29" t="n"/>
      <c r="F472" s="30" t="n"/>
      <c r="G472" s="31" t="n"/>
      <c r="H472" s="31" t="n"/>
      <c r="I472" s="31" t="n"/>
      <c r="J472" s="31" t="n"/>
      <c r="K472" s="31" t="n"/>
      <c r="L472" s="31" t="n"/>
      <c r="M472" s="31" t="n"/>
      <c r="N472" s="31" t="n"/>
      <c r="O472" s="31" t="n"/>
      <c r="P472" s="31" t="n"/>
      <c r="Q472" s="31" t="n"/>
      <c r="R472" s="31" t="n"/>
      <c r="S472" s="32">
        <f>IF($F472="","",IF(IFERROR(VLOOKUP($F472,'维度字典'!$I$2:$J$50,2,0),"求和")="手工录入","",IF(IFERROR(VLOOKUP($F472,'维度字典'!$I$2:$J$50,2,0),"求和")="最新值",IFERROR(LOOKUP(9.99E+307,G472:R472),""),SUM(G472:R472))))</f>
        <v/>
      </c>
      <c r="T472" s="33" t="n"/>
      <c r="U472" s="33" t="n"/>
    </row>
    <row r="473">
      <c r="A473" s="26">
        <f>IF($B473="","",ROW()-3)</f>
        <v/>
      </c>
      <c r="B473" s="27" t="n"/>
      <c r="C473" s="27" t="n"/>
      <c r="D473" s="28" t="n"/>
      <c r="E473" s="29" t="n"/>
      <c r="F473" s="30" t="n"/>
      <c r="G473" s="31" t="n"/>
      <c r="H473" s="31" t="n"/>
      <c r="I473" s="31" t="n"/>
      <c r="J473" s="31" t="n"/>
      <c r="K473" s="31" t="n"/>
      <c r="L473" s="31" t="n"/>
      <c r="M473" s="31" t="n"/>
      <c r="N473" s="31" t="n"/>
      <c r="O473" s="31" t="n"/>
      <c r="P473" s="31" t="n"/>
      <c r="Q473" s="31" t="n"/>
      <c r="R473" s="31" t="n"/>
      <c r="S473" s="32">
        <f>IF($F473="","",IF(IFERROR(VLOOKUP($F473,'维度字典'!$I$2:$J$50,2,0),"求和")="手工录入","",IF(IFERROR(VLOOKUP($F473,'维度字典'!$I$2:$J$50,2,0),"求和")="最新值",IFERROR(LOOKUP(9.99E+307,G473:R473),""),SUM(G473:R473))))</f>
        <v/>
      </c>
      <c r="T473" s="33" t="n"/>
      <c r="U473" s="33" t="n"/>
    </row>
    <row r="474">
      <c r="A474" s="26">
        <f>IF($B474="","",ROW()-3)</f>
        <v/>
      </c>
      <c r="B474" s="27" t="n"/>
      <c r="C474" s="27" t="n"/>
      <c r="D474" s="28" t="n"/>
      <c r="E474" s="29" t="n"/>
      <c r="F474" s="30" t="n"/>
      <c r="G474" s="31" t="n"/>
      <c r="H474" s="31" t="n"/>
      <c r="I474" s="31" t="n"/>
      <c r="J474" s="31" t="n"/>
      <c r="K474" s="31" t="n"/>
      <c r="L474" s="31" t="n"/>
      <c r="M474" s="31" t="n"/>
      <c r="N474" s="31" t="n"/>
      <c r="O474" s="31" t="n"/>
      <c r="P474" s="31" t="n"/>
      <c r="Q474" s="31" t="n"/>
      <c r="R474" s="31" t="n"/>
      <c r="S474" s="32">
        <f>IF($F474="","",IF(IFERROR(VLOOKUP($F474,'维度字典'!$I$2:$J$50,2,0),"求和")="手工录入","",IF(IFERROR(VLOOKUP($F474,'维度字典'!$I$2:$J$50,2,0),"求和")="最新值",IFERROR(LOOKUP(9.99E+307,G474:R474),""),SUM(G474:R474))))</f>
        <v/>
      </c>
      <c r="T474" s="33" t="n"/>
      <c r="U474" s="33" t="n"/>
    </row>
    <row r="475">
      <c r="A475" s="26">
        <f>IF($B475="","",ROW()-3)</f>
        <v/>
      </c>
      <c r="B475" s="27" t="n"/>
      <c r="C475" s="27" t="n"/>
      <c r="D475" s="28" t="n"/>
      <c r="E475" s="29" t="n"/>
      <c r="F475" s="30" t="n"/>
      <c r="G475" s="31" t="n"/>
      <c r="H475" s="31" t="n"/>
      <c r="I475" s="31" t="n"/>
      <c r="J475" s="31" t="n"/>
      <c r="K475" s="31" t="n"/>
      <c r="L475" s="31" t="n"/>
      <c r="M475" s="31" t="n"/>
      <c r="N475" s="31" t="n"/>
      <c r="O475" s="31" t="n"/>
      <c r="P475" s="31" t="n"/>
      <c r="Q475" s="31" t="n"/>
      <c r="R475" s="31" t="n"/>
      <c r="S475" s="32">
        <f>IF($F475="","",IF(IFERROR(VLOOKUP($F475,'维度字典'!$I$2:$J$50,2,0),"求和")="手工录入","",IF(IFERROR(VLOOKUP($F475,'维度字典'!$I$2:$J$50,2,0),"求和")="最新值",IFERROR(LOOKUP(9.99E+307,G475:R475),""),SUM(G475:R475))))</f>
        <v/>
      </c>
      <c r="T475" s="33" t="n"/>
      <c r="U475" s="33" t="n"/>
    </row>
    <row r="476">
      <c r="A476" s="26">
        <f>IF($B476="","",ROW()-3)</f>
        <v/>
      </c>
      <c r="B476" s="27" t="n"/>
      <c r="C476" s="27" t="n"/>
      <c r="D476" s="28" t="n"/>
      <c r="E476" s="29" t="n"/>
      <c r="F476" s="30" t="n"/>
      <c r="G476" s="31" t="n"/>
      <c r="H476" s="31" t="n"/>
      <c r="I476" s="31" t="n"/>
      <c r="J476" s="31" t="n"/>
      <c r="K476" s="31" t="n"/>
      <c r="L476" s="31" t="n"/>
      <c r="M476" s="31" t="n"/>
      <c r="N476" s="31" t="n"/>
      <c r="O476" s="31" t="n"/>
      <c r="P476" s="31" t="n"/>
      <c r="Q476" s="31" t="n"/>
      <c r="R476" s="31" t="n"/>
      <c r="S476" s="32">
        <f>IF($F476="","",IF(IFERROR(VLOOKUP($F476,'维度字典'!$I$2:$J$50,2,0),"求和")="手工录入","",IF(IFERROR(VLOOKUP($F476,'维度字典'!$I$2:$J$50,2,0),"求和")="最新值",IFERROR(LOOKUP(9.99E+307,G476:R476),""),SUM(G476:R476))))</f>
        <v/>
      </c>
      <c r="T476" s="33" t="n"/>
      <c r="U476" s="33" t="n"/>
    </row>
    <row r="477">
      <c r="A477" s="26">
        <f>IF($B477="","",ROW()-3)</f>
        <v/>
      </c>
      <c r="B477" s="27" t="n"/>
      <c r="C477" s="27" t="n"/>
      <c r="D477" s="28" t="n"/>
      <c r="E477" s="29" t="n"/>
      <c r="F477" s="30" t="n"/>
      <c r="G477" s="31" t="n"/>
      <c r="H477" s="31" t="n"/>
      <c r="I477" s="31" t="n"/>
      <c r="J477" s="31" t="n"/>
      <c r="K477" s="31" t="n"/>
      <c r="L477" s="31" t="n"/>
      <c r="M477" s="31" t="n"/>
      <c r="N477" s="31" t="n"/>
      <c r="O477" s="31" t="n"/>
      <c r="P477" s="31" t="n"/>
      <c r="Q477" s="31" t="n"/>
      <c r="R477" s="31" t="n"/>
      <c r="S477" s="32">
        <f>IF($F477="","",IF(IFERROR(VLOOKUP($F477,'维度字典'!$I$2:$J$50,2,0),"求和")="手工录入","",IF(IFERROR(VLOOKUP($F477,'维度字典'!$I$2:$J$50,2,0),"求和")="最新值",IFERROR(LOOKUP(9.99E+307,G477:R477),""),SUM(G477:R477))))</f>
        <v/>
      </c>
      <c r="T477" s="33" t="n"/>
      <c r="U477" s="33" t="n"/>
    </row>
    <row r="478">
      <c r="A478" s="26">
        <f>IF($B478="","",ROW()-3)</f>
        <v/>
      </c>
      <c r="B478" s="27" t="n"/>
      <c r="C478" s="27" t="n"/>
      <c r="D478" s="28" t="n"/>
      <c r="E478" s="29" t="n"/>
      <c r="F478" s="30" t="n"/>
      <c r="G478" s="31" t="n"/>
      <c r="H478" s="31" t="n"/>
      <c r="I478" s="31" t="n"/>
      <c r="J478" s="31" t="n"/>
      <c r="K478" s="31" t="n"/>
      <c r="L478" s="31" t="n"/>
      <c r="M478" s="31" t="n"/>
      <c r="N478" s="31" t="n"/>
      <c r="O478" s="31" t="n"/>
      <c r="P478" s="31" t="n"/>
      <c r="Q478" s="31" t="n"/>
      <c r="R478" s="31" t="n"/>
      <c r="S478" s="32">
        <f>IF($F478="","",IF(IFERROR(VLOOKUP($F478,'维度字典'!$I$2:$J$50,2,0),"求和")="手工录入","",IF(IFERROR(VLOOKUP($F478,'维度字典'!$I$2:$J$50,2,0),"求和")="最新值",IFERROR(LOOKUP(9.99E+307,G478:R478),""),SUM(G478:R478))))</f>
        <v/>
      </c>
      <c r="T478" s="33" t="n"/>
      <c r="U478" s="33" t="n"/>
    </row>
    <row r="479">
      <c r="A479" s="26">
        <f>IF($B479="","",ROW()-3)</f>
        <v/>
      </c>
      <c r="B479" s="27" t="n"/>
      <c r="C479" s="27" t="n"/>
      <c r="D479" s="28" t="n"/>
      <c r="E479" s="29" t="n"/>
      <c r="F479" s="30" t="n"/>
      <c r="G479" s="31" t="n"/>
      <c r="H479" s="31" t="n"/>
      <c r="I479" s="31" t="n"/>
      <c r="J479" s="31" t="n"/>
      <c r="K479" s="31" t="n"/>
      <c r="L479" s="31" t="n"/>
      <c r="M479" s="31" t="n"/>
      <c r="N479" s="31" t="n"/>
      <c r="O479" s="31" t="n"/>
      <c r="P479" s="31" t="n"/>
      <c r="Q479" s="31" t="n"/>
      <c r="R479" s="31" t="n"/>
      <c r="S479" s="32">
        <f>IF($F479="","",IF(IFERROR(VLOOKUP($F479,'维度字典'!$I$2:$J$50,2,0),"求和")="手工录入","",IF(IFERROR(VLOOKUP($F479,'维度字典'!$I$2:$J$50,2,0),"求和")="最新值",IFERROR(LOOKUP(9.99E+307,G479:R479),""),SUM(G479:R479))))</f>
        <v/>
      </c>
      <c r="T479" s="33" t="n"/>
      <c r="U479" s="33" t="n"/>
    </row>
    <row r="480">
      <c r="A480" s="26">
        <f>IF($B480="","",ROW()-3)</f>
        <v/>
      </c>
      <c r="B480" s="27" t="n"/>
      <c r="C480" s="27" t="n"/>
      <c r="D480" s="28" t="n"/>
      <c r="E480" s="29" t="n"/>
      <c r="F480" s="30" t="n"/>
      <c r="G480" s="31" t="n"/>
      <c r="H480" s="31" t="n"/>
      <c r="I480" s="31" t="n"/>
      <c r="J480" s="31" t="n"/>
      <c r="K480" s="31" t="n"/>
      <c r="L480" s="31" t="n"/>
      <c r="M480" s="31" t="n"/>
      <c r="N480" s="31" t="n"/>
      <c r="O480" s="31" t="n"/>
      <c r="P480" s="31" t="n"/>
      <c r="Q480" s="31" t="n"/>
      <c r="R480" s="31" t="n"/>
      <c r="S480" s="32">
        <f>IF($F480="","",IF(IFERROR(VLOOKUP($F480,'维度字典'!$I$2:$J$50,2,0),"求和")="手工录入","",IF(IFERROR(VLOOKUP($F480,'维度字典'!$I$2:$J$50,2,0),"求和")="最新值",IFERROR(LOOKUP(9.99E+307,G480:R480),""),SUM(G480:R480))))</f>
        <v/>
      </c>
      <c r="T480" s="33" t="n"/>
      <c r="U480" s="33" t="n"/>
    </row>
    <row r="481">
      <c r="A481" s="26">
        <f>IF($B481="","",ROW()-3)</f>
        <v/>
      </c>
      <c r="B481" s="27" t="n"/>
      <c r="C481" s="27" t="n"/>
      <c r="D481" s="28" t="n"/>
      <c r="E481" s="29" t="n"/>
      <c r="F481" s="30" t="n"/>
      <c r="G481" s="31" t="n"/>
      <c r="H481" s="31" t="n"/>
      <c r="I481" s="31" t="n"/>
      <c r="J481" s="31" t="n"/>
      <c r="K481" s="31" t="n"/>
      <c r="L481" s="31" t="n"/>
      <c r="M481" s="31" t="n"/>
      <c r="N481" s="31" t="n"/>
      <c r="O481" s="31" t="n"/>
      <c r="P481" s="31" t="n"/>
      <c r="Q481" s="31" t="n"/>
      <c r="R481" s="31" t="n"/>
      <c r="S481" s="32">
        <f>IF($F481="","",IF(IFERROR(VLOOKUP($F481,'维度字典'!$I$2:$J$50,2,0),"求和")="手工录入","",IF(IFERROR(VLOOKUP($F481,'维度字典'!$I$2:$J$50,2,0),"求和")="最新值",IFERROR(LOOKUP(9.99E+307,G481:R481),""),SUM(G481:R481))))</f>
        <v/>
      </c>
      <c r="T481" s="33" t="n"/>
      <c r="U481" s="33" t="n"/>
    </row>
    <row r="482">
      <c r="A482" s="26">
        <f>IF($B482="","",ROW()-3)</f>
        <v/>
      </c>
      <c r="B482" s="27" t="n"/>
      <c r="C482" s="27" t="n"/>
      <c r="D482" s="28" t="n"/>
      <c r="E482" s="29" t="n"/>
      <c r="F482" s="30" t="n"/>
      <c r="G482" s="31" t="n"/>
      <c r="H482" s="31" t="n"/>
      <c r="I482" s="31" t="n"/>
      <c r="J482" s="31" t="n"/>
      <c r="K482" s="31" t="n"/>
      <c r="L482" s="31" t="n"/>
      <c r="M482" s="31" t="n"/>
      <c r="N482" s="31" t="n"/>
      <c r="O482" s="31" t="n"/>
      <c r="P482" s="31" t="n"/>
      <c r="Q482" s="31" t="n"/>
      <c r="R482" s="31" t="n"/>
      <c r="S482" s="32">
        <f>IF($F482="","",IF(IFERROR(VLOOKUP($F482,'维度字典'!$I$2:$J$50,2,0),"求和")="手工录入","",IF(IFERROR(VLOOKUP($F482,'维度字典'!$I$2:$J$50,2,0),"求和")="最新值",IFERROR(LOOKUP(9.99E+307,G482:R482),""),SUM(G482:R482))))</f>
        <v/>
      </c>
      <c r="T482" s="33" t="n"/>
      <c r="U482" s="33" t="n"/>
    </row>
    <row r="483">
      <c r="A483" s="26">
        <f>IF($B483="","",ROW()-3)</f>
        <v/>
      </c>
      <c r="B483" s="27" t="n"/>
      <c r="C483" s="27" t="n"/>
      <c r="D483" s="28" t="n"/>
      <c r="E483" s="29" t="n"/>
      <c r="F483" s="30" t="n"/>
      <c r="G483" s="31" t="n"/>
      <c r="H483" s="31" t="n"/>
      <c r="I483" s="31" t="n"/>
      <c r="J483" s="31" t="n"/>
      <c r="K483" s="31" t="n"/>
      <c r="L483" s="31" t="n"/>
      <c r="M483" s="31" t="n"/>
      <c r="N483" s="31" t="n"/>
      <c r="O483" s="31" t="n"/>
      <c r="P483" s="31" t="n"/>
      <c r="Q483" s="31" t="n"/>
      <c r="R483" s="31" t="n"/>
      <c r="S483" s="32">
        <f>IF($F483="","",IF(IFERROR(VLOOKUP($F483,'维度字典'!$I$2:$J$50,2,0),"求和")="手工录入","",IF(IFERROR(VLOOKUP($F483,'维度字典'!$I$2:$J$50,2,0),"求和")="最新值",IFERROR(LOOKUP(9.99E+307,G483:R483),""),SUM(G483:R483))))</f>
        <v/>
      </c>
      <c r="T483" s="33" t="n"/>
      <c r="U483" s="33" t="n"/>
    </row>
    <row r="484">
      <c r="A484" s="26">
        <f>IF($B484="","",ROW()-3)</f>
        <v/>
      </c>
      <c r="B484" s="27" t="n"/>
      <c r="C484" s="27" t="n"/>
      <c r="D484" s="28" t="n"/>
      <c r="E484" s="29" t="n"/>
      <c r="F484" s="30" t="n"/>
      <c r="G484" s="31" t="n"/>
      <c r="H484" s="31" t="n"/>
      <c r="I484" s="31" t="n"/>
      <c r="J484" s="31" t="n"/>
      <c r="K484" s="31" t="n"/>
      <c r="L484" s="31" t="n"/>
      <c r="M484" s="31" t="n"/>
      <c r="N484" s="31" t="n"/>
      <c r="O484" s="31" t="n"/>
      <c r="P484" s="31" t="n"/>
      <c r="Q484" s="31" t="n"/>
      <c r="R484" s="31" t="n"/>
      <c r="S484" s="32">
        <f>IF($F484="","",IF(IFERROR(VLOOKUP($F484,'维度字典'!$I$2:$J$50,2,0),"求和")="手工录入","",IF(IFERROR(VLOOKUP($F484,'维度字典'!$I$2:$J$50,2,0),"求和")="最新值",IFERROR(LOOKUP(9.99E+307,G484:R484),""),SUM(G484:R484))))</f>
        <v/>
      </c>
      <c r="T484" s="33" t="n"/>
      <c r="U484" s="33" t="n"/>
    </row>
    <row r="485">
      <c r="A485" s="26">
        <f>IF($B485="","",ROW()-3)</f>
        <v/>
      </c>
      <c r="B485" s="27" t="n"/>
      <c r="C485" s="27" t="n"/>
      <c r="D485" s="28" t="n"/>
      <c r="E485" s="29" t="n"/>
      <c r="F485" s="30" t="n"/>
      <c r="G485" s="31" t="n"/>
      <c r="H485" s="31" t="n"/>
      <c r="I485" s="31" t="n"/>
      <c r="J485" s="31" t="n"/>
      <c r="K485" s="31" t="n"/>
      <c r="L485" s="31" t="n"/>
      <c r="M485" s="31" t="n"/>
      <c r="N485" s="31" t="n"/>
      <c r="O485" s="31" t="n"/>
      <c r="P485" s="31" t="n"/>
      <c r="Q485" s="31" t="n"/>
      <c r="R485" s="31" t="n"/>
      <c r="S485" s="32">
        <f>IF($F485="","",IF(IFERROR(VLOOKUP($F485,'维度字典'!$I$2:$J$50,2,0),"求和")="手工录入","",IF(IFERROR(VLOOKUP($F485,'维度字典'!$I$2:$J$50,2,0),"求和")="最新值",IFERROR(LOOKUP(9.99E+307,G485:R485),""),SUM(G485:R485))))</f>
        <v/>
      </c>
      <c r="T485" s="33" t="n"/>
      <c r="U485" s="33" t="n"/>
    </row>
    <row r="486">
      <c r="A486" s="26">
        <f>IF($B486="","",ROW()-3)</f>
        <v/>
      </c>
      <c r="B486" s="27" t="n"/>
      <c r="C486" s="27" t="n"/>
      <c r="D486" s="28" t="n"/>
      <c r="E486" s="29" t="n"/>
      <c r="F486" s="30" t="n"/>
      <c r="G486" s="31" t="n"/>
      <c r="H486" s="31" t="n"/>
      <c r="I486" s="31" t="n"/>
      <c r="J486" s="31" t="n"/>
      <c r="K486" s="31" t="n"/>
      <c r="L486" s="31" t="n"/>
      <c r="M486" s="31" t="n"/>
      <c r="N486" s="31" t="n"/>
      <c r="O486" s="31" t="n"/>
      <c r="P486" s="31" t="n"/>
      <c r="Q486" s="31" t="n"/>
      <c r="R486" s="31" t="n"/>
      <c r="S486" s="32">
        <f>IF($F486="","",IF(IFERROR(VLOOKUP($F486,'维度字典'!$I$2:$J$50,2,0),"求和")="手工录入","",IF(IFERROR(VLOOKUP($F486,'维度字典'!$I$2:$J$50,2,0),"求和")="最新值",IFERROR(LOOKUP(9.99E+307,G486:R486),""),SUM(G486:R486))))</f>
        <v/>
      </c>
      <c r="T486" s="33" t="n"/>
      <c r="U486" s="33" t="n"/>
    </row>
    <row r="487">
      <c r="A487" s="26">
        <f>IF($B487="","",ROW()-3)</f>
        <v/>
      </c>
      <c r="B487" s="27" t="n"/>
      <c r="C487" s="27" t="n"/>
      <c r="D487" s="28" t="n"/>
      <c r="E487" s="29" t="n"/>
      <c r="F487" s="30" t="n"/>
      <c r="G487" s="31" t="n"/>
      <c r="H487" s="31" t="n"/>
      <c r="I487" s="31" t="n"/>
      <c r="J487" s="31" t="n"/>
      <c r="K487" s="31" t="n"/>
      <c r="L487" s="31" t="n"/>
      <c r="M487" s="31" t="n"/>
      <c r="N487" s="31" t="n"/>
      <c r="O487" s="31" t="n"/>
      <c r="P487" s="31" t="n"/>
      <c r="Q487" s="31" t="n"/>
      <c r="R487" s="31" t="n"/>
      <c r="S487" s="32">
        <f>IF($F487="","",IF(IFERROR(VLOOKUP($F487,'维度字典'!$I$2:$J$50,2,0),"求和")="手工录入","",IF(IFERROR(VLOOKUP($F487,'维度字典'!$I$2:$J$50,2,0),"求和")="最新值",IFERROR(LOOKUP(9.99E+307,G487:R487),""),SUM(G487:R487))))</f>
        <v/>
      </c>
      <c r="T487" s="33" t="n"/>
      <c r="U487" s="33" t="n"/>
    </row>
    <row r="488">
      <c r="A488" s="26">
        <f>IF($B488="","",ROW()-3)</f>
        <v/>
      </c>
      <c r="B488" s="27" t="n"/>
      <c r="C488" s="27" t="n"/>
      <c r="D488" s="28" t="n"/>
      <c r="E488" s="29" t="n"/>
      <c r="F488" s="30" t="n"/>
      <c r="G488" s="31" t="n"/>
      <c r="H488" s="31" t="n"/>
      <c r="I488" s="31" t="n"/>
      <c r="J488" s="31" t="n"/>
      <c r="K488" s="31" t="n"/>
      <c r="L488" s="31" t="n"/>
      <c r="M488" s="31" t="n"/>
      <c r="N488" s="31" t="n"/>
      <c r="O488" s="31" t="n"/>
      <c r="P488" s="31" t="n"/>
      <c r="Q488" s="31" t="n"/>
      <c r="R488" s="31" t="n"/>
      <c r="S488" s="32">
        <f>IF($F488="","",IF(IFERROR(VLOOKUP($F488,'维度字典'!$I$2:$J$50,2,0),"求和")="手工录入","",IF(IFERROR(VLOOKUP($F488,'维度字典'!$I$2:$J$50,2,0),"求和")="最新值",IFERROR(LOOKUP(9.99E+307,G488:R488),""),SUM(G488:R488))))</f>
        <v/>
      </c>
      <c r="T488" s="33" t="n"/>
      <c r="U488" s="33" t="n"/>
    </row>
    <row r="489">
      <c r="A489" s="26">
        <f>IF($B489="","",ROW()-3)</f>
        <v/>
      </c>
      <c r="B489" s="27" t="n"/>
      <c r="C489" s="27" t="n"/>
      <c r="D489" s="28" t="n"/>
      <c r="E489" s="29" t="n"/>
      <c r="F489" s="30" t="n"/>
      <c r="G489" s="31" t="n"/>
      <c r="H489" s="31" t="n"/>
      <c r="I489" s="31" t="n"/>
      <c r="J489" s="31" t="n"/>
      <c r="K489" s="31" t="n"/>
      <c r="L489" s="31" t="n"/>
      <c r="M489" s="31" t="n"/>
      <c r="N489" s="31" t="n"/>
      <c r="O489" s="31" t="n"/>
      <c r="P489" s="31" t="n"/>
      <c r="Q489" s="31" t="n"/>
      <c r="R489" s="31" t="n"/>
      <c r="S489" s="32">
        <f>IF($F489="","",IF(IFERROR(VLOOKUP($F489,'维度字典'!$I$2:$J$50,2,0),"求和")="手工录入","",IF(IFERROR(VLOOKUP($F489,'维度字典'!$I$2:$J$50,2,0),"求和")="最新值",IFERROR(LOOKUP(9.99E+307,G489:R489),""),SUM(G489:R489))))</f>
        <v/>
      </c>
      <c r="T489" s="33" t="n"/>
      <c r="U489" s="33" t="n"/>
    </row>
    <row r="490">
      <c r="A490" s="26">
        <f>IF($B490="","",ROW()-3)</f>
        <v/>
      </c>
      <c r="B490" s="27" t="n"/>
      <c r="C490" s="27" t="n"/>
      <c r="D490" s="28" t="n"/>
      <c r="E490" s="29" t="n"/>
      <c r="F490" s="30" t="n"/>
      <c r="G490" s="31" t="n"/>
      <c r="H490" s="31" t="n"/>
      <c r="I490" s="31" t="n"/>
      <c r="J490" s="31" t="n"/>
      <c r="K490" s="31" t="n"/>
      <c r="L490" s="31" t="n"/>
      <c r="M490" s="31" t="n"/>
      <c r="N490" s="31" t="n"/>
      <c r="O490" s="31" t="n"/>
      <c r="P490" s="31" t="n"/>
      <c r="Q490" s="31" t="n"/>
      <c r="R490" s="31" t="n"/>
      <c r="S490" s="32">
        <f>IF($F490="","",IF(IFERROR(VLOOKUP($F490,'维度字典'!$I$2:$J$50,2,0),"求和")="手工录入","",IF(IFERROR(VLOOKUP($F490,'维度字典'!$I$2:$J$50,2,0),"求和")="最新值",IFERROR(LOOKUP(9.99E+307,G490:R490),""),SUM(G490:R490))))</f>
        <v/>
      </c>
      <c r="T490" s="33" t="n"/>
      <c r="U490" s="33" t="n"/>
    </row>
    <row r="491">
      <c r="A491" s="26">
        <f>IF($B491="","",ROW()-3)</f>
        <v/>
      </c>
      <c r="B491" s="27" t="n"/>
      <c r="C491" s="27" t="n"/>
      <c r="D491" s="28" t="n"/>
      <c r="E491" s="29" t="n"/>
      <c r="F491" s="30" t="n"/>
      <c r="G491" s="31" t="n"/>
      <c r="H491" s="31" t="n"/>
      <c r="I491" s="31" t="n"/>
      <c r="J491" s="31" t="n"/>
      <c r="K491" s="31" t="n"/>
      <c r="L491" s="31" t="n"/>
      <c r="M491" s="31" t="n"/>
      <c r="N491" s="31" t="n"/>
      <c r="O491" s="31" t="n"/>
      <c r="P491" s="31" t="n"/>
      <c r="Q491" s="31" t="n"/>
      <c r="R491" s="31" t="n"/>
      <c r="S491" s="32">
        <f>IF($F491="","",IF(IFERROR(VLOOKUP($F491,'维度字典'!$I$2:$J$50,2,0),"求和")="手工录入","",IF(IFERROR(VLOOKUP($F491,'维度字典'!$I$2:$J$50,2,0),"求和")="最新值",IFERROR(LOOKUP(9.99E+307,G491:R491),""),SUM(G491:R491))))</f>
        <v/>
      </c>
      <c r="T491" s="33" t="n"/>
      <c r="U491" s="33" t="n"/>
    </row>
    <row r="492">
      <c r="A492" s="26">
        <f>IF($B492="","",ROW()-3)</f>
        <v/>
      </c>
      <c r="B492" s="27" t="n"/>
      <c r="C492" s="27" t="n"/>
      <c r="D492" s="28" t="n"/>
      <c r="E492" s="29" t="n"/>
      <c r="F492" s="30" t="n"/>
      <c r="G492" s="31" t="n"/>
      <c r="H492" s="31" t="n"/>
      <c r="I492" s="31" t="n"/>
      <c r="J492" s="31" t="n"/>
      <c r="K492" s="31" t="n"/>
      <c r="L492" s="31" t="n"/>
      <c r="M492" s="31" t="n"/>
      <c r="N492" s="31" t="n"/>
      <c r="O492" s="31" t="n"/>
      <c r="P492" s="31" t="n"/>
      <c r="Q492" s="31" t="n"/>
      <c r="R492" s="31" t="n"/>
      <c r="S492" s="32">
        <f>IF($F492="","",IF(IFERROR(VLOOKUP($F492,'维度字典'!$I$2:$J$50,2,0),"求和")="手工录入","",IF(IFERROR(VLOOKUP($F492,'维度字典'!$I$2:$J$50,2,0),"求和")="最新值",IFERROR(LOOKUP(9.99E+307,G492:R492),""),SUM(G492:R492))))</f>
        <v/>
      </c>
      <c r="T492" s="33" t="n"/>
      <c r="U492" s="33" t="n"/>
    </row>
    <row r="493">
      <c r="A493" s="26">
        <f>IF($B493="","",ROW()-3)</f>
        <v/>
      </c>
      <c r="B493" s="27" t="n"/>
      <c r="C493" s="27" t="n"/>
      <c r="D493" s="28" t="n"/>
      <c r="E493" s="29" t="n"/>
      <c r="F493" s="30" t="n"/>
      <c r="G493" s="31" t="n"/>
      <c r="H493" s="31" t="n"/>
      <c r="I493" s="31" t="n"/>
      <c r="J493" s="31" t="n"/>
      <c r="K493" s="31" t="n"/>
      <c r="L493" s="31" t="n"/>
      <c r="M493" s="31" t="n"/>
      <c r="N493" s="31" t="n"/>
      <c r="O493" s="31" t="n"/>
      <c r="P493" s="31" t="n"/>
      <c r="Q493" s="31" t="n"/>
      <c r="R493" s="31" t="n"/>
      <c r="S493" s="32">
        <f>IF($F493="","",IF(IFERROR(VLOOKUP($F493,'维度字典'!$I$2:$J$50,2,0),"求和")="手工录入","",IF(IFERROR(VLOOKUP($F493,'维度字典'!$I$2:$J$50,2,0),"求和")="最新值",IFERROR(LOOKUP(9.99E+307,G493:R493),""),SUM(G493:R493))))</f>
        <v/>
      </c>
      <c r="T493" s="33" t="n"/>
      <c r="U493" s="33" t="n"/>
    </row>
    <row r="494">
      <c r="A494" s="26">
        <f>IF($B494="","",ROW()-3)</f>
        <v/>
      </c>
      <c r="B494" s="27" t="n"/>
      <c r="C494" s="27" t="n"/>
      <c r="D494" s="28" t="n"/>
      <c r="E494" s="29" t="n"/>
      <c r="F494" s="30" t="n"/>
      <c r="G494" s="31" t="n"/>
      <c r="H494" s="31" t="n"/>
      <c r="I494" s="31" t="n"/>
      <c r="J494" s="31" t="n"/>
      <c r="K494" s="31" t="n"/>
      <c r="L494" s="31" t="n"/>
      <c r="M494" s="31" t="n"/>
      <c r="N494" s="31" t="n"/>
      <c r="O494" s="31" t="n"/>
      <c r="P494" s="31" t="n"/>
      <c r="Q494" s="31" t="n"/>
      <c r="R494" s="31" t="n"/>
      <c r="S494" s="32">
        <f>IF($F494="","",IF(IFERROR(VLOOKUP($F494,'维度字典'!$I$2:$J$50,2,0),"求和")="手工录入","",IF(IFERROR(VLOOKUP($F494,'维度字典'!$I$2:$J$50,2,0),"求和")="最新值",IFERROR(LOOKUP(9.99E+307,G494:R494),""),SUM(G494:R494))))</f>
        <v/>
      </c>
      <c r="T494" s="33" t="n"/>
      <c r="U494" s="33" t="n"/>
    </row>
    <row r="495">
      <c r="A495" s="26">
        <f>IF($B495="","",ROW()-3)</f>
        <v/>
      </c>
      <c r="B495" s="27" t="n"/>
      <c r="C495" s="27" t="n"/>
      <c r="D495" s="28" t="n"/>
      <c r="E495" s="29" t="n"/>
      <c r="F495" s="30" t="n"/>
      <c r="G495" s="31" t="n"/>
      <c r="H495" s="31" t="n"/>
      <c r="I495" s="31" t="n"/>
      <c r="J495" s="31" t="n"/>
      <c r="K495" s="31" t="n"/>
      <c r="L495" s="31" t="n"/>
      <c r="M495" s="31" t="n"/>
      <c r="N495" s="31" t="n"/>
      <c r="O495" s="31" t="n"/>
      <c r="P495" s="31" t="n"/>
      <c r="Q495" s="31" t="n"/>
      <c r="R495" s="31" t="n"/>
      <c r="S495" s="32">
        <f>IF($F495="","",IF(IFERROR(VLOOKUP($F495,'维度字典'!$I$2:$J$50,2,0),"求和")="手工录入","",IF(IFERROR(VLOOKUP($F495,'维度字典'!$I$2:$J$50,2,0),"求和")="最新值",IFERROR(LOOKUP(9.99E+307,G495:R495),""),SUM(G495:R495))))</f>
        <v/>
      </c>
      <c r="T495" s="33" t="n"/>
      <c r="U495" s="33" t="n"/>
    </row>
    <row r="496">
      <c r="A496" s="26">
        <f>IF($B496="","",ROW()-3)</f>
        <v/>
      </c>
      <c r="B496" s="27" t="n"/>
      <c r="C496" s="27" t="n"/>
      <c r="D496" s="28" t="n"/>
      <c r="E496" s="29" t="n"/>
      <c r="F496" s="30" t="n"/>
      <c r="G496" s="31" t="n"/>
      <c r="H496" s="31" t="n"/>
      <c r="I496" s="31" t="n"/>
      <c r="J496" s="31" t="n"/>
      <c r="K496" s="31" t="n"/>
      <c r="L496" s="31" t="n"/>
      <c r="M496" s="31" t="n"/>
      <c r="N496" s="31" t="n"/>
      <c r="O496" s="31" t="n"/>
      <c r="P496" s="31" t="n"/>
      <c r="Q496" s="31" t="n"/>
      <c r="R496" s="31" t="n"/>
      <c r="S496" s="32">
        <f>IF($F496="","",IF(IFERROR(VLOOKUP($F496,'维度字典'!$I$2:$J$50,2,0),"求和")="手工录入","",IF(IFERROR(VLOOKUP($F496,'维度字典'!$I$2:$J$50,2,0),"求和")="最新值",IFERROR(LOOKUP(9.99E+307,G496:R496),""),SUM(G496:R496))))</f>
        <v/>
      </c>
      <c r="T496" s="33" t="n"/>
      <c r="U496" s="33" t="n"/>
    </row>
    <row r="497">
      <c r="A497" s="26">
        <f>IF($B497="","",ROW()-3)</f>
        <v/>
      </c>
      <c r="B497" s="27" t="n"/>
      <c r="C497" s="27" t="n"/>
      <c r="D497" s="28" t="n"/>
      <c r="E497" s="29" t="n"/>
      <c r="F497" s="30" t="n"/>
      <c r="G497" s="31" t="n"/>
      <c r="H497" s="31" t="n"/>
      <c r="I497" s="31" t="n"/>
      <c r="J497" s="31" t="n"/>
      <c r="K497" s="31" t="n"/>
      <c r="L497" s="31" t="n"/>
      <c r="M497" s="31" t="n"/>
      <c r="N497" s="31" t="n"/>
      <c r="O497" s="31" t="n"/>
      <c r="P497" s="31" t="n"/>
      <c r="Q497" s="31" t="n"/>
      <c r="R497" s="31" t="n"/>
      <c r="S497" s="32">
        <f>IF($F497="","",IF(IFERROR(VLOOKUP($F497,'维度字典'!$I$2:$J$50,2,0),"求和")="手工录入","",IF(IFERROR(VLOOKUP($F497,'维度字典'!$I$2:$J$50,2,0),"求和")="最新值",IFERROR(LOOKUP(9.99E+307,G497:R497),""),SUM(G497:R497))))</f>
        <v/>
      </c>
      <c r="T497" s="33" t="n"/>
      <c r="U497" s="33" t="n"/>
    </row>
    <row r="498">
      <c r="A498" s="26">
        <f>IF($B498="","",ROW()-3)</f>
        <v/>
      </c>
      <c r="B498" s="27" t="n"/>
      <c r="C498" s="27" t="n"/>
      <c r="D498" s="28" t="n"/>
      <c r="E498" s="29" t="n"/>
      <c r="F498" s="30" t="n"/>
      <c r="G498" s="31" t="n"/>
      <c r="H498" s="31" t="n"/>
      <c r="I498" s="31" t="n"/>
      <c r="J498" s="31" t="n"/>
      <c r="K498" s="31" t="n"/>
      <c r="L498" s="31" t="n"/>
      <c r="M498" s="31" t="n"/>
      <c r="N498" s="31" t="n"/>
      <c r="O498" s="31" t="n"/>
      <c r="P498" s="31" t="n"/>
      <c r="Q498" s="31" t="n"/>
      <c r="R498" s="31" t="n"/>
      <c r="S498" s="32">
        <f>IF($F498="","",IF(IFERROR(VLOOKUP($F498,'维度字典'!$I$2:$J$50,2,0),"求和")="手工录入","",IF(IFERROR(VLOOKUP($F498,'维度字典'!$I$2:$J$50,2,0),"求和")="最新值",IFERROR(LOOKUP(9.99E+307,G498:R498),""),SUM(G498:R498))))</f>
        <v/>
      </c>
      <c r="T498" s="33" t="n"/>
      <c r="U498" s="33" t="n"/>
    </row>
    <row r="499">
      <c r="A499" s="26">
        <f>IF($B499="","",ROW()-3)</f>
        <v/>
      </c>
      <c r="B499" s="27" t="n"/>
      <c r="C499" s="27" t="n"/>
      <c r="D499" s="28" t="n"/>
      <c r="E499" s="29" t="n"/>
      <c r="F499" s="30" t="n"/>
      <c r="G499" s="31" t="n"/>
      <c r="H499" s="31" t="n"/>
      <c r="I499" s="31" t="n"/>
      <c r="J499" s="31" t="n"/>
      <c r="K499" s="31" t="n"/>
      <c r="L499" s="31" t="n"/>
      <c r="M499" s="31" t="n"/>
      <c r="N499" s="31" t="n"/>
      <c r="O499" s="31" t="n"/>
      <c r="P499" s="31" t="n"/>
      <c r="Q499" s="31" t="n"/>
      <c r="R499" s="31" t="n"/>
      <c r="S499" s="32">
        <f>IF($F499="","",IF(IFERROR(VLOOKUP($F499,'维度字典'!$I$2:$J$50,2,0),"求和")="手工录入","",IF(IFERROR(VLOOKUP($F499,'维度字典'!$I$2:$J$50,2,0),"求和")="最新值",IFERROR(LOOKUP(9.99E+307,G499:R499),""),SUM(G499:R499))))</f>
        <v/>
      </c>
      <c r="T499" s="33" t="n"/>
      <c r="U499" s="33" t="n"/>
    </row>
    <row r="500">
      <c r="A500" s="26">
        <f>IF($B500="","",ROW()-3)</f>
        <v/>
      </c>
      <c r="B500" s="27" t="n"/>
      <c r="C500" s="27" t="n"/>
      <c r="D500" s="28" t="n"/>
      <c r="E500" s="29" t="n"/>
      <c r="F500" s="30" t="n"/>
      <c r="G500" s="31" t="n"/>
      <c r="H500" s="31" t="n"/>
      <c r="I500" s="31" t="n"/>
      <c r="J500" s="31" t="n"/>
      <c r="K500" s="31" t="n"/>
      <c r="L500" s="31" t="n"/>
      <c r="M500" s="31" t="n"/>
      <c r="N500" s="31" t="n"/>
      <c r="O500" s="31" t="n"/>
      <c r="P500" s="31" t="n"/>
      <c r="Q500" s="31" t="n"/>
      <c r="R500" s="31" t="n"/>
      <c r="S500" s="32">
        <f>IF($F500="","",IF(IFERROR(VLOOKUP($F500,'维度字典'!$I$2:$J$50,2,0),"求和")="手工录入","",IF(IFERROR(VLOOKUP($F500,'维度字典'!$I$2:$J$50,2,0),"求和")="最新值",IFERROR(LOOKUP(9.99E+307,G500:R500),""),SUM(G500:R500))))</f>
        <v/>
      </c>
      <c r="T500" s="33" t="n"/>
      <c r="U500" s="33" t="n"/>
    </row>
    <row r="501">
      <c r="A501" s="26">
        <f>IF($B501="","",ROW()-3)</f>
        <v/>
      </c>
      <c r="B501" s="27" t="n"/>
      <c r="C501" s="27" t="n"/>
      <c r="D501" s="28" t="n"/>
      <c r="E501" s="29" t="n"/>
      <c r="F501" s="30" t="n"/>
      <c r="G501" s="31" t="n"/>
      <c r="H501" s="31" t="n"/>
      <c r="I501" s="31" t="n"/>
      <c r="J501" s="31" t="n"/>
      <c r="K501" s="31" t="n"/>
      <c r="L501" s="31" t="n"/>
      <c r="M501" s="31" t="n"/>
      <c r="N501" s="31" t="n"/>
      <c r="O501" s="31" t="n"/>
      <c r="P501" s="31" t="n"/>
      <c r="Q501" s="31" t="n"/>
      <c r="R501" s="31" t="n"/>
      <c r="S501" s="32">
        <f>IF($F501="","",IF(IFERROR(VLOOKUP($F501,'维度字典'!$I$2:$J$50,2,0),"求和")="手工录入","",IF(IFERROR(VLOOKUP($F501,'维度字典'!$I$2:$J$50,2,0),"求和")="最新值",IFERROR(LOOKUP(9.99E+307,G501:R501),""),SUM(G501:R501))))</f>
        <v/>
      </c>
      <c r="T501" s="33" t="n"/>
      <c r="U501" s="33" t="n"/>
    </row>
    <row r="502">
      <c r="A502" s="26">
        <f>IF($B502="","",ROW()-3)</f>
        <v/>
      </c>
      <c r="B502" s="27" t="n"/>
      <c r="C502" s="27" t="n"/>
      <c r="D502" s="28" t="n"/>
      <c r="E502" s="29" t="n"/>
      <c r="F502" s="30" t="n"/>
      <c r="G502" s="31" t="n"/>
      <c r="H502" s="31" t="n"/>
      <c r="I502" s="31" t="n"/>
      <c r="J502" s="31" t="n"/>
      <c r="K502" s="31" t="n"/>
      <c r="L502" s="31" t="n"/>
      <c r="M502" s="31" t="n"/>
      <c r="N502" s="31" t="n"/>
      <c r="O502" s="31" t="n"/>
      <c r="P502" s="31" t="n"/>
      <c r="Q502" s="31" t="n"/>
      <c r="R502" s="31" t="n"/>
      <c r="S502" s="32">
        <f>IF($F502="","",IF(IFERROR(VLOOKUP($F502,'维度字典'!$I$2:$J$50,2,0),"求和")="手工录入","",IF(IFERROR(VLOOKUP($F502,'维度字典'!$I$2:$J$50,2,0),"求和")="最新值",IFERROR(LOOKUP(9.99E+307,G502:R502),""),SUM(G502:R502))))</f>
        <v/>
      </c>
      <c r="T502" s="33" t="n"/>
      <c r="U502" s="33" t="n"/>
    </row>
    <row r="503">
      <c r="A503" s="26">
        <f>IF($B503="","",ROW()-3)</f>
        <v/>
      </c>
      <c r="B503" s="27" t="n"/>
      <c r="C503" s="27" t="n"/>
      <c r="D503" s="28" t="n"/>
      <c r="E503" s="29" t="n"/>
      <c r="F503" s="30" t="n"/>
      <c r="G503" s="31" t="n"/>
      <c r="H503" s="31" t="n"/>
      <c r="I503" s="31" t="n"/>
      <c r="J503" s="31" t="n"/>
      <c r="K503" s="31" t="n"/>
      <c r="L503" s="31" t="n"/>
      <c r="M503" s="31" t="n"/>
      <c r="N503" s="31" t="n"/>
      <c r="O503" s="31" t="n"/>
      <c r="P503" s="31" t="n"/>
      <c r="Q503" s="31" t="n"/>
      <c r="R503" s="31" t="n"/>
      <c r="S503" s="32">
        <f>IF($F503="","",IF(IFERROR(VLOOKUP($F503,'维度字典'!$I$2:$J$50,2,0),"求和")="手工录入","",IF(IFERROR(VLOOKUP($F503,'维度字典'!$I$2:$J$50,2,0),"求和")="最新值",IFERROR(LOOKUP(9.99E+307,G503:R503),""),SUM(G503:R503))))</f>
        <v/>
      </c>
      <c r="T503" s="33" t="n"/>
      <c r="U503" s="33" t="n"/>
    </row>
    <row r="504">
      <c r="A504" s="26">
        <f>IF($B504="","",ROW()-3)</f>
        <v/>
      </c>
      <c r="B504" s="27" t="n"/>
      <c r="C504" s="27" t="n"/>
      <c r="D504" s="28" t="n"/>
      <c r="E504" s="29" t="n"/>
      <c r="F504" s="30" t="n"/>
      <c r="G504" s="31" t="n"/>
      <c r="H504" s="31" t="n"/>
      <c r="I504" s="31" t="n"/>
      <c r="J504" s="31" t="n"/>
      <c r="K504" s="31" t="n"/>
      <c r="L504" s="31" t="n"/>
      <c r="M504" s="31" t="n"/>
      <c r="N504" s="31" t="n"/>
      <c r="O504" s="31" t="n"/>
      <c r="P504" s="31" t="n"/>
      <c r="Q504" s="31" t="n"/>
      <c r="R504" s="31" t="n"/>
      <c r="S504" s="32">
        <f>IF($F504="","",IF(IFERROR(VLOOKUP($F504,'维度字典'!$I$2:$J$50,2,0),"求和")="手工录入","",IF(IFERROR(VLOOKUP($F504,'维度字典'!$I$2:$J$50,2,0),"求和")="最新值",IFERROR(LOOKUP(9.99E+307,G504:R504),""),SUM(G504:R504))))</f>
        <v/>
      </c>
      <c r="T504" s="33" t="n"/>
      <c r="U504" s="33" t="n"/>
    </row>
    <row r="505">
      <c r="A505" s="26">
        <f>IF($B505="","",ROW()-3)</f>
        <v/>
      </c>
      <c r="B505" s="27" t="n"/>
      <c r="C505" s="27" t="n"/>
      <c r="D505" s="28" t="n"/>
      <c r="E505" s="29" t="n"/>
      <c r="F505" s="30" t="n"/>
      <c r="G505" s="31" t="n"/>
      <c r="H505" s="31" t="n"/>
      <c r="I505" s="31" t="n"/>
      <c r="J505" s="31" t="n"/>
      <c r="K505" s="31" t="n"/>
      <c r="L505" s="31" t="n"/>
      <c r="M505" s="31" t="n"/>
      <c r="N505" s="31" t="n"/>
      <c r="O505" s="31" t="n"/>
      <c r="P505" s="31" t="n"/>
      <c r="Q505" s="31" t="n"/>
      <c r="R505" s="31" t="n"/>
      <c r="S505" s="32">
        <f>IF($F505="","",IF(IFERROR(VLOOKUP($F505,'维度字典'!$I$2:$J$50,2,0),"求和")="手工录入","",IF(IFERROR(VLOOKUP($F505,'维度字典'!$I$2:$J$50,2,0),"求和")="最新值",IFERROR(LOOKUP(9.99E+307,G505:R505),""),SUM(G505:R505))))</f>
        <v/>
      </c>
      <c r="T505" s="33" t="n"/>
      <c r="U505" s="33" t="n"/>
    </row>
    <row r="506">
      <c r="A506" s="26">
        <f>IF($B506="","",ROW()-3)</f>
        <v/>
      </c>
      <c r="B506" s="27" t="n"/>
      <c r="C506" s="27" t="n"/>
      <c r="D506" s="28" t="n"/>
      <c r="E506" s="29" t="n"/>
      <c r="F506" s="30" t="n"/>
      <c r="G506" s="31" t="n"/>
      <c r="H506" s="31" t="n"/>
      <c r="I506" s="31" t="n"/>
      <c r="J506" s="31" t="n"/>
      <c r="K506" s="31" t="n"/>
      <c r="L506" s="31" t="n"/>
      <c r="M506" s="31" t="n"/>
      <c r="N506" s="31" t="n"/>
      <c r="O506" s="31" t="n"/>
      <c r="P506" s="31" t="n"/>
      <c r="Q506" s="31" t="n"/>
      <c r="R506" s="31" t="n"/>
      <c r="S506" s="32">
        <f>IF($F506="","",IF(IFERROR(VLOOKUP($F506,'维度字典'!$I$2:$J$50,2,0),"求和")="手工录入","",IF(IFERROR(VLOOKUP($F506,'维度字典'!$I$2:$J$50,2,0),"求和")="最新值",IFERROR(LOOKUP(9.99E+307,G506:R506),""),SUM(G506:R506))))</f>
        <v/>
      </c>
      <c r="T506" s="33" t="n"/>
      <c r="U506" s="33" t="n"/>
    </row>
    <row r="507">
      <c r="A507" s="26">
        <f>IF($B507="","",ROW()-3)</f>
        <v/>
      </c>
      <c r="B507" s="27" t="n"/>
      <c r="C507" s="27" t="n"/>
      <c r="D507" s="28" t="n"/>
      <c r="E507" s="29" t="n"/>
      <c r="F507" s="30" t="n"/>
      <c r="G507" s="31" t="n"/>
      <c r="H507" s="31" t="n"/>
      <c r="I507" s="31" t="n"/>
      <c r="J507" s="31" t="n"/>
      <c r="K507" s="31" t="n"/>
      <c r="L507" s="31" t="n"/>
      <c r="M507" s="31" t="n"/>
      <c r="N507" s="31" t="n"/>
      <c r="O507" s="31" t="n"/>
      <c r="P507" s="31" t="n"/>
      <c r="Q507" s="31" t="n"/>
      <c r="R507" s="31" t="n"/>
      <c r="S507" s="32">
        <f>IF($F507="","",IF(IFERROR(VLOOKUP($F507,'维度字典'!$I$2:$J$50,2,0),"求和")="手工录入","",IF(IFERROR(VLOOKUP($F507,'维度字典'!$I$2:$J$50,2,0),"求和")="最新值",IFERROR(LOOKUP(9.99E+307,G507:R507),""),SUM(G507:R507))))</f>
        <v/>
      </c>
      <c r="T507" s="33" t="n"/>
      <c r="U507" s="33" t="n"/>
    </row>
    <row r="508">
      <c r="A508" s="26">
        <f>IF($B508="","",ROW()-3)</f>
        <v/>
      </c>
      <c r="B508" s="27" t="n"/>
      <c r="C508" s="27" t="n"/>
      <c r="D508" s="28" t="n"/>
      <c r="E508" s="29" t="n"/>
      <c r="F508" s="30" t="n"/>
      <c r="G508" s="31" t="n"/>
      <c r="H508" s="31" t="n"/>
      <c r="I508" s="31" t="n"/>
      <c r="J508" s="31" t="n"/>
      <c r="K508" s="31" t="n"/>
      <c r="L508" s="31" t="n"/>
      <c r="M508" s="31" t="n"/>
      <c r="N508" s="31" t="n"/>
      <c r="O508" s="31" t="n"/>
      <c r="P508" s="31" t="n"/>
      <c r="Q508" s="31" t="n"/>
      <c r="R508" s="31" t="n"/>
      <c r="S508" s="32">
        <f>IF($F508="","",IF(IFERROR(VLOOKUP($F508,'维度字典'!$I$2:$J$50,2,0),"求和")="手工录入","",IF(IFERROR(VLOOKUP($F508,'维度字典'!$I$2:$J$50,2,0),"求和")="最新值",IFERROR(LOOKUP(9.99E+307,G508:R508),""),SUM(G508:R508))))</f>
        <v/>
      </c>
      <c r="T508" s="33" t="n"/>
      <c r="U508" s="33" t="n"/>
    </row>
    <row r="509">
      <c r="A509" s="26">
        <f>IF($B509="","",ROW()-3)</f>
        <v/>
      </c>
      <c r="B509" s="27" t="n"/>
      <c r="C509" s="27" t="n"/>
      <c r="D509" s="28" t="n"/>
      <c r="E509" s="29" t="n"/>
      <c r="F509" s="30" t="n"/>
      <c r="G509" s="31" t="n"/>
      <c r="H509" s="31" t="n"/>
      <c r="I509" s="31" t="n"/>
      <c r="J509" s="31" t="n"/>
      <c r="K509" s="31" t="n"/>
      <c r="L509" s="31" t="n"/>
      <c r="M509" s="31" t="n"/>
      <c r="N509" s="31" t="n"/>
      <c r="O509" s="31" t="n"/>
      <c r="P509" s="31" t="n"/>
      <c r="Q509" s="31" t="n"/>
      <c r="R509" s="31" t="n"/>
      <c r="S509" s="32">
        <f>IF($F509="","",IF(IFERROR(VLOOKUP($F509,'维度字典'!$I$2:$J$50,2,0),"求和")="手工录入","",IF(IFERROR(VLOOKUP($F509,'维度字典'!$I$2:$J$50,2,0),"求和")="最新值",IFERROR(LOOKUP(9.99E+307,G509:R509),""),SUM(G509:R509))))</f>
        <v/>
      </c>
      <c r="T509" s="33" t="n"/>
      <c r="U509" s="33" t="n"/>
    </row>
    <row r="510">
      <c r="A510" s="26">
        <f>IF($B510="","",ROW()-3)</f>
        <v/>
      </c>
      <c r="B510" s="27" t="n"/>
      <c r="C510" s="27" t="n"/>
      <c r="D510" s="28" t="n"/>
      <c r="E510" s="29" t="n"/>
      <c r="F510" s="30" t="n"/>
      <c r="G510" s="31" t="n"/>
      <c r="H510" s="31" t="n"/>
      <c r="I510" s="31" t="n"/>
      <c r="J510" s="31" t="n"/>
      <c r="K510" s="31" t="n"/>
      <c r="L510" s="31" t="n"/>
      <c r="M510" s="31" t="n"/>
      <c r="N510" s="31" t="n"/>
      <c r="O510" s="31" t="n"/>
      <c r="P510" s="31" t="n"/>
      <c r="Q510" s="31" t="n"/>
      <c r="R510" s="31" t="n"/>
      <c r="S510" s="32">
        <f>IF($F510="","",IF(IFERROR(VLOOKUP($F510,'维度字典'!$I$2:$J$50,2,0),"求和")="手工录入","",IF(IFERROR(VLOOKUP($F510,'维度字典'!$I$2:$J$50,2,0),"求和")="最新值",IFERROR(LOOKUP(9.99E+307,G510:R510),""),SUM(G510:R510))))</f>
        <v/>
      </c>
      <c r="T510" s="33" t="n"/>
      <c r="U510" s="33" t="n"/>
    </row>
    <row r="511">
      <c r="A511" s="26">
        <f>IF($B511="","",ROW()-3)</f>
        <v/>
      </c>
      <c r="B511" s="27" t="n"/>
      <c r="C511" s="27" t="n"/>
      <c r="D511" s="28" t="n"/>
      <c r="E511" s="29" t="n"/>
      <c r="F511" s="30" t="n"/>
      <c r="G511" s="31" t="n"/>
      <c r="H511" s="31" t="n"/>
      <c r="I511" s="31" t="n"/>
      <c r="J511" s="31" t="n"/>
      <c r="K511" s="31" t="n"/>
      <c r="L511" s="31" t="n"/>
      <c r="M511" s="31" t="n"/>
      <c r="N511" s="31" t="n"/>
      <c r="O511" s="31" t="n"/>
      <c r="P511" s="31" t="n"/>
      <c r="Q511" s="31" t="n"/>
      <c r="R511" s="31" t="n"/>
      <c r="S511" s="32">
        <f>IF($F511="","",IF(IFERROR(VLOOKUP($F511,'维度字典'!$I$2:$J$50,2,0),"求和")="手工录入","",IF(IFERROR(VLOOKUP($F511,'维度字典'!$I$2:$J$50,2,0),"求和")="最新值",IFERROR(LOOKUP(9.99E+307,G511:R511),""),SUM(G511:R511))))</f>
        <v/>
      </c>
      <c r="T511" s="33" t="n"/>
      <c r="U511" s="33" t="n"/>
    </row>
    <row r="512">
      <c r="A512" s="26">
        <f>IF($B512="","",ROW()-3)</f>
        <v/>
      </c>
      <c r="B512" s="27" t="n"/>
      <c r="C512" s="27" t="n"/>
      <c r="D512" s="28" t="n"/>
      <c r="E512" s="29" t="n"/>
      <c r="F512" s="30" t="n"/>
      <c r="G512" s="31" t="n"/>
      <c r="H512" s="31" t="n"/>
      <c r="I512" s="31" t="n"/>
      <c r="J512" s="31" t="n"/>
      <c r="K512" s="31" t="n"/>
      <c r="L512" s="31" t="n"/>
      <c r="M512" s="31" t="n"/>
      <c r="N512" s="31" t="n"/>
      <c r="O512" s="31" t="n"/>
      <c r="P512" s="31" t="n"/>
      <c r="Q512" s="31" t="n"/>
      <c r="R512" s="31" t="n"/>
      <c r="S512" s="32">
        <f>IF($F512="","",IF(IFERROR(VLOOKUP($F512,'维度字典'!$I$2:$J$50,2,0),"求和")="手工录入","",IF(IFERROR(VLOOKUP($F512,'维度字典'!$I$2:$J$50,2,0),"求和")="最新值",IFERROR(LOOKUP(9.99E+307,G512:R512),""),SUM(G512:R512))))</f>
        <v/>
      </c>
      <c r="T512" s="33" t="n"/>
      <c r="U512" s="33" t="n"/>
    </row>
    <row r="513">
      <c r="A513" s="26">
        <f>IF($B513="","",ROW()-3)</f>
        <v/>
      </c>
      <c r="B513" s="27" t="n"/>
      <c r="C513" s="27" t="n"/>
      <c r="D513" s="28" t="n"/>
      <c r="E513" s="29" t="n"/>
      <c r="F513" s="30" t="n"/>
      <c r="G513" s="31" t="n"/>
      <c r="H513" s="31" t="n"/>
      <c r="I513" s="31" t="n"/>
      <c r="J513" s="31" t="n"/>
      <c r="K513" s="31" t="n"/>
      <c r="L513" s="31" t="n"/>
      <c r="M513" s="31" t="n"/>
      <c r="N513" s="31" t="n"/>
      <c r="O513" s="31" t="n"/>
      <c r="P513" s="31" t="n"/>
      <c r="Q513" s="31" t="n"/>
      <c r="R513" s="31" t="n"/>
      <c r="S513" s="32">
        <f>IF($F513="","",IF(IFERROR(VLOOKUP($F513,'维度字典'!$I$2:$J$50,2,0),"求和")="手工录入","",IF(IFERROR(VLOOKUP($F513,'维度字典'!$I$2:$J$50,2,0),"求和")="最新值",IFERROR(LOOKUP(9.99E+307,G513:R513),""),SUM(G513:R513))))</f>
        <v/>
      </c>
      <c r="T513" s="33" t="n"/>
      <c r="U513" s="33" t="n"/>
    </row>
    <row r="514">
      <c r="A514" s="26">
        <f>IF($B514="","",ROW()-3)</f>
        <v/>
      </c>
      <c r="B514" s="27" t="n"/>
      <c r="C514" s="27" t="n"/>
      <c r="D514" s="28" t="n"/>
      <c r="E514" s="29" t="n"/>
      <c r="F514" s="30" t="n"/>
      <c r="G514" s="31" t="n"/>
      <c r="H514" s="31" t="n"/>
      <c r="I514" s="31" t="n"/>
      <c r="J514" s="31" t="n"/>
      <c r="K514" s="31" t="n"/>
      <c r="L514" s="31" t="n"/>
      <c r="M514" s="31" t="n"/>
      <c r="N514" s="31" t="n"/>
      <c r="O514" s="31" t="n"/>
      <c r="P514" s="31" t="n"/>
      <c r="Q514" s="31" t="n"/>
      <c r="R514" s="31" t="n"/>
      <c r="S514" s="32">
        <f>IF($F514="","",IF(IFERROR(VLOOKUP($F514,'维度字典'!$I$2:$J$50,2,0),"求和")="手工录入","",IF(IFERROR(VLOOKUP($F514,'维度字典'!$I$2:$J$50,2,0),"求和")="最新值",IFERROR(LOOKUP(9.99E+307,G514:R514),""),SUM(G514:R514))))</f>
        <v/>
      </c>
      <c r="T514" s="33" t="n"/>
      <c r="U514" s="33" t="n"/>
    </row>
    <row r="515">
      <c r="A515" s="26">
        <f>IF($B515="","",ROW()-3)</f>
        <v/>
      </c>
      <c r="B515" s="27" t="n"/>
      <c r="C515" s="27" t="n"/>
      <c r="D515" s="28" t="n"/>
      <c r="E515" s="29" t="n"/>
      <c r="F515" s="30" t="n"/>
      <c r="G515" s="31" t="n"/>
      <c r="H515" s="31" t="n"/>
      <c r="I515" s="31" t="n"/>
      <c r="J515" s="31" t="n"/>
      <c r="K515" s="31" t="n"/>
      <c r="L515" s="31" t="n"/>
      <c r="M515" s="31" t="n"/>
      <c r="N515" s="31" t="n"/>
      <c r="O515" s="31" t="n"/>
      <c r="P515" s="31" t="n"/>
      <c r="Q515" s="31" t="n"/>
      <c r="R515" s="31" t="n"/>
      <c r="S515" s="32">
        <f>IF($F515="","",IF(IFERROR(VLOOKUP($F515,'维度字典'!$I$2:$J$50,2,0),"求和")="手工录入","",IF(IFERROR(VLOOKUP($F515,'维度字典'!$I$2:$J$50,2,0),"求和")="最新值",IFERROR(LOOKUP(9.99E+307,G515:R515),""),SUM(G515:R515))))</f>
        <v/>
      </c>
      <c r="T515" s="33" t="n"/>
      <c r="U515" s="33" t="n"/>
    </row>
    <row r="516">
      <c r="A516" s="26">
        <f>IF($B516="","",ROW()-3)</f>
        <v/>
      </c>
      <c r="B516" s="27" t="n"/>
      <c r="C516" s="27" t="n"/>
      <c r="D516" s="28" t="n"/>
      <c r="E516" s="29" t="n"/>
      <c r="F516" s="30" t="n"/>
      <c r="G516" s="31" t="n"/>
      <c r="H516" s="31" t="n"/>
      <c r="I516" s="31" t="n"/>
      <c r="J516" s="31" t="n"/>
      <c r="K516" s="31" t="n"/>
      <c r="L516" s="31" t="n"/>
      <c r="M516" s="31" t="n"/>
      <c r="N516" s="31" t="n"/>
      <c r="O516" s="31" t="n"/>
      <c r="P516" s="31" t="n"/>
      <c r="Q516" s="31" t="n"/>
      <c r="R516" s="31" t="n"/>
      <c r="S516" s="32">
        <f>IF($F516="","",IF(IFERROR(VLOOKUP($F516,'维度字典'!$I$2:$J$50,2,0),"求和")="手工录入","",IF(IFERROR(VLOOKUP($F516,'维度字典'!$I$2:$J$50,2,0),"求和")="最新值",IFERROR(LOOKUP(9.99E+307,G516:R516),""),SUM(G516:R516))))</f>
        <v/>
      </c>
      <c r="T516" s="33" t="n"/>
      <c r="U516" s="33" t="n"/>
    </row>
    <row r="517">
      <c r="A517" s="26">
        <f>IF($B517="","",ROW()-3)</f>
        <v/>
      </c>
      <c r="B517" s="27" t="n"/>
      <c r="C517" s="27" t="n"/>
      <c r="D517" s="28" t="n"/>
      <c r="E517" s="29" t="n"/>
      <c r="F517" s="30" t="n"/>
      <c r="G517" s="31" t="n"/>
      <c r="H517" s="31" t="n"/>
      <c r="I517" s="31" t="n"/>
      <c r="J517" s="31" t="n"/>
      <c r="K517" s="31" t="n"/>
      <c r="L517" s="31" t="n"/>
      <c r="M517" s="31" t="n"/>
      <c r="N517" s="31" t="n"/>
      <c r="O517" s="31" t="n"/>
      <c r="P517" s="31" t="n"/>
      <c r="Q517" s="31" t="n"/>
      <c r="R517" s="31" t="n"/>
      <c r="S517" s="32">
        <f>IF($F517="","",IF(IFERROR(VLOOKUP($F517,'维度字典'!$I$2:$J$50,2,0),"求和")="手工录入","",IF(IFERROR(VLOOKUP($F517,'维度字典'!$I$2:$J$50,2,0),"求和")="最新值",IFERROR(LOOKUP(9.99E+307,G517:R517),""),SUM(G517:R517))))</f>
        <v/>
      </c>
      <c r="T517" s="33" t="n"/>
      <c r="U517" s="33" t="n"/>
    </row>
    <row r="518">
      <c r="A518" s="26">
        <f>IF($B518="","",ROW()-3)</f>
        <v/>
      </c>
      <c r="B518" s="27" t="n"/>
      <c r="C518" s="27" t="n"/>
      <c r="D518" s="28" t="n"/>
      <c r="E518" s="29" t="n"/>
      <c r="F518" s="30" t="n"/>
      <c r="G518" s="31" t="n"/>
      <c r="H518" s="31" t="n"/>
      <c r="I518" s="31" t="n"/>
      <c r="J518" s="31" t="n"/>
      <c r="K518" s="31" t="n"/>
      <c r="L518" s="31" t="n"/>
      <c r="M518" s="31" t="n"/>
      <c r="N518" s="31" t="n"/>
      <c r="O518" s="31" t="n"/>
      <c r="P518" s="31" t="n"/>
      <c r="Q518" s="31" t="n"/>
      <c r="R518" s="31" t="n"/>
      <c r="S518" s="32">
        <f>IF($F518="","",IF(IFERROR(VLOOKUP($F518,'维度字典'!$I$2:$J$50,2,0),"求和")="手工录入","",IF(IFERROR(VLOOKUP($F518,'维度字典'!$I$2:$J$50,2,0),"求和")="最新值",IFERROR(LOOKUP(9.99E+307,G518:R518),""),SUM(G518:R518))))</f>
        <v/>
      </c>
      <c r="T518" s="33" t="n"/>
      <c r="U518" s="33" t="n"/>
    </row>
    <row r="519">
      <c r="A519" s="26">
        <f>IF($B519="","",ROW()-3)</f>
        <v/>
      </c>
      <c r="B519" s="27" t="n"/>
      <c r="C519" s="27" t="n"/>
      <c r="D519" s="28" t="n"/>
      <c r="E519" s="29" t="n"/>
      <c r="F519" s="30" t="n"/>
      <c r="G519" s="31" t="n"/>
      <c r="H519" s="31" t="n"/>
      <c r="I519" s="31" t="n"/>
      <c r="J519" s="31" t="n"/>
      <c r="K519" s="31" t="n"/>
      <c r="L519" s="31" t="n"/>
      <c r="M519" s="31" t="n"/>
      <c r="N519" s="31" t="n"/>
      <c r="O519" s="31" t="n"/>
      <c r="P519" s="31" t="n"/>
      <c r="Q519" s="31" t="n"/>
      <c r="R519" s="31" t="n"/>
      <c r="S519" s="32">
        <f>IF($F519="","",IF(IFERROR(VLOOKUP($F519,'维度字典'!$I$2:$J$50,2,0),"求和")="手工录入","",IF(IFERROR(VLOOKUP($F519,'维度字典'!$I$2:$J$50,2,0),"求和")="最新值",IFERROR(LOOKUP(9.99E+307,G519:R519),""),SUM(G519:R519))))</f>
        <v/>
      </c>
      <c r="T519" s="33" t="n"/>
      <c r="U519" s="33" t="n"/>
    </row>
    <row r="520">
      <c r="A520" s="26">
        <f>IF($B520="","",ROW()-3)</f>
        <v/>
      </c>
      <c r="B520" s="27" t="n"/>
      <c r="C520" s="27" t="n"/>
      <c r="D520" s="28" t="n"/>
      <c r="E520" s="29" t="n"/>
      <c r="F520" s="30" t="n"/>
      <c r="G520" s="31" t="n"/>
      <c r="H520" s="31" t="n"/>
      <c r="I520" s="31" t="n"/>
      <c r="J520" s="31" t="n"/>
      <c r="K520" s="31" t="n"/>
      <c r="L520" s="31" t="n"/>
      <c r="M520" s="31" t="n"/>
      <c r="N520" s="31" t="n"/>
      <c r="O520" s="31" t="n"/>
      <c r="P520" s="31" t="n"/>
      <c r="Q520" s="31" t="n"/>
      <c r="R520" s="31" t="n"/>
      <c r="S520" s="32">
        <f>IF($F520="","",IF(IFERROR(VLOOKUP($F520,'维度字典'!$I$2:$J$50,2,0),"求和")="手工录入","",IF(IFERROR(VLOOKUP($F520,'维度字典'!$I$2:$J$50,2,0),"求和")="最新值",IFERROR(LOOKUP(9.99E+307,G520:R520),""),SUM(G520:R520))))</f>
        <v/>
      </c>
      <c r="T520" s="33" t="n"/>
      <c r="U520" s="33" t="n"/>
    </row>
    <row r="521">
      <c r="A521" s="26">
        <f>IF($B521="","",ROW()-3)</f>
        <v/>
      </c>
      <c r="B521" s="27" t="n"/>
      <c r="C521" s="27" t="n"/>
      <c r="D521" s="28" t="n"/>
      <c r="E521" s="29" t="n"/>
      <c r="F521" s="30" t="n"/>
      <c r="G521" s="31" t="n"/>
      <c r="H521" s="31" t="n"/>
      <c r="I521" s="31" t="n"/>
      <c r="J521" s="31" t="n"/>
      <c r="K521" s="31" t="n"/>
      <c r="L521" s="31" t="n"/>
      <c r="M521" s="31" t="n"/>
      <c r="N521" s="31" t="n"/>
      <c r="O521" s="31" t="n"/>
      <c r="P521" s="31" t="n"/>
      <c r="Q521" s="31" t="n"/>
      <c r="R521" s="31" t="n"/>
      <c r="S521" s="32">
        <f>IF($F521="","",IF(IFERROR(VLOOKUP($F521,'维度字典'!$I$2:$J$50,2,0),"求和")="手工录入","",IF(IFERROR(VLOOKUP($F521,'维度字典'!$I$2:$J$50,2,0),"求和")="最新值",IFERROR(LOOKUP(9.99E+307,G521:R521),""),SUM(G521:R521))))</f>
        <v/>
      </c>
      <c r="T521" s="33" t="n"/>
      <c r="U521" s="33" t="n"/>
    </row>
    <row r="522">
      <c r="A522" s="26">
        <f>IF($B522="","",ROW()-3)</f>
        <v/>
      </c>
      <c r="B522" s="27" t="n"/>
      <c r="C522" s="27" t="n"/>
      <c r="D522" s="28" t="n"/>
      <c r="E522" s="29" t="n"/>
      <c r="F522" s="30" t="n"/>
      <c r="G522" s="31" t="n"/>
      <c r="H522" s="31" t="n"/>
      <c r="I522" s="31" t="n"/>
      <c r="J522" s="31" t="n"/>
      <c r="K522" s="31" t="n"/>
      <c r="L522" s="31" t="n"/>
      <c r="M522" s="31" t="n"/>
      <c r="N522" s="31" t="n"/>
      <c r="O522" s="31" t="n"/>
      <c r="P522" s="31" t="n"/>
      <c r="Q522" s="31" t="n"/>
      <c r="R522" s="31" t="n"/>
      <c r="S522" s="32">
        <f>IF($F522="","",IF(IFERROR(VLOOKUP($F522,'维度字典'!$I$2:$J$50,2,0),"求和")="手工录入","",IF(IFERROR(VLOOKUP($F522,'维度字典'!$I$2:$J$50,2,0),"求和")="最新值",IFERROR(LOOKUP(9.99E+307,G522:R522),""),SUM(G522:R522))))</f>
        <v/>
      </c>
      <c r="T522" s="33" t="n"/>
      <c r="U522" s="33" t="n"/>
    </row>
    <row r="523">
      <c r="A523" s="26">
        <f>IF($B523="","",ROW()-3)</f>
        <v/>
      </c>
      <c r="B523" s="27" t="n"/>
      <c r="C523" s="27" t="n"/>
      <c r="D523" s="28" t="n"/>
      <c r="E523" s="29" t="n"/>
      <c r="F523" s="30" t="n"/>
      <c r="G523" s="31" t="n"/>
      <c r="H523" s="31" t="n"/>
      <c r="I523" s="31" t="n"/>
      <c r="J523" s="31" t="n"/>
      <c r="K523" s="31" t="n"/>
      <c r="L523" s="31" t="n"/>
      <c r="M523" s="31" t="n"/>
      <c r="N523" s="31" t="n"/>
      <c r="O523" s="31" t="n"/>
      <c r="P523" s="31" t="n"/>
      <c r="Q523" s="31" t="n"/>
      <c r="R523" s="31" t="n"/>
      <c r="S523" s="32">
        <f>IF($F523="","",IF(IFERROR(VLOOKUP($F523,'维度字典'!$I$2:$J$50,2,0),"求和")="手工录入","",IF(IFERROR(VLOOKUP($F523,'维度字典'!$I$2:$J$50,2,0),"求和")="最新值",IFERROR(LOOKUP(9.99E+307,G523:R523),""),SUM(G523:R523))))</f>
        <v/>
      </c>
      <c r="T523" s="33" t="n"/>
      <c r="U523" s="33" t="n"/>
    </row>
    <row r="524">
      <c r="A524" s="26">
        <f>IF($B524="","",ROW()-3)</f>
        <v/>
      </c>
      <c r="B524" s="27" t="n"/>
      <c r="C524" s="27" t="n"/>
      <c r="D524" s="28" t="n"/>
      <c r="E524" s="29" t="n"/>
      <c r="F524" s="30" t="n"/>
      <c r="G524" s="31" t="n"/>
      <c r="H524" s="31" t="n"/>
      <c r="I524" s="31" t="n"/>
      <c r="J524" s="31" t="n"/>
      <c r="K524" s="31" t="n"/>
      <c r="L524" s="31" t="n"/>
      <c r="M524" s="31" t="n"/>
      <c r="N524" s="31" t="n"/>
      <c r="O524" s="31" t="n"/>
      <c r="P524" s="31" t="n"/>
      <c r="Q524" s="31" t="n"/>
      <c r="R524" s="31" t="n"/>
      <c r="S524" s="32">
        <f>IF($F524="","",IF(IFERROR(VLOOKUP($F524,'维度字典'!$I$2:$J$50,2,0),"求和")="手工录入","",IF(IFERROR(VLOOKUP($F524,'维度字典'!$I$2:$J$50,2,0),"求和")="最新值",IFERROR(LOOKUP(9.99E+307,G524:R524),""),SUM(G524:R524))))</f>
        <v/>
      </c>
      <c r="T524" s="33" t="n"/>
      <c r="U524" s="33" t="n"/>
    </row>
    <row r="525">
      <c r="A525" s="26">
        <f>IF($B525="","",ROW()-3)</f>
        <v/>
      </c>
      <c r="B525" s="27" t="n"/>
      <c r="C525" s="27" t="n"/>
      <c r="D525" s="28" t="n"/>
      <c r="E525" s="29" t="n"/>
      <c r="F525" s="30" t="n"/>
      <c r="G525" s="31" t="n"/>
      <c r="H525" s="31" t="n"/>
      <c r="I525" s="31" t="n"/>
      <c r="J525" s="31" t="n"/>
      <c r="K525" s="31" t="n"/>
      <c r="L525" s="31" t="n"/>
      <c r="M525" s="31" t="n"/>
      <c r="N525" s="31" t="n"/>
      <c r="O525" s="31" t="n"/>
      <c r="P525" s="31" t="n"/>
      <c r="Q525" s="31" t="n"/>
      <c r="R525" s="31" t="n"/>
      <c r="S525" s="32">
        <f>IF($F525="","",IF(IFERROR(VLOOKUP($F525,'维度字典'!$I$2:$J$50,2,0),"求和")="手工录入","",IF(IFERROR(VLOOKUP($F525,'维度字典'!$I$2:$J$50,2,0),"求和")="最新值",IFERROR(LOOKUP(9.99E+307,G525:R525),""),SUM(G525:R525))))</f>
        <v/>
      </c>
      <c r="T525" s="33" t="n"/>
      <c r="U525" s="33" t="n"/>
    </row>
    <row r="526">
      <c r="A526" s="26">
        <f>IF($B526="","",ROW()-3)</f>
        <v/>
      </c>
      <c r="B526" s="27" t="n"/>
      <c r="C526" s="27" t="n"/>
      <c r="D526" s="28" t="n"/>
      <c r="E526" s="29" t="n"/>
      <c r="F526" s="30" t="n"/>
      <c r="G526" s="31" t="n"/>
      <c r="H526" s="31" t="n"/>
      <c r="I526" s="31" t="n"/>
      <c r="J526" s="31" t="n"/>
      <c r="K526" s="31" t="n"/>
      <c r="L526" s="31" t="n"/>
      <c r="M526" s="31" t="n"/>
      <c r="N526" s="31" t="n"/>
      <c r="O526" s="31" t="n"/>
      <c r="P526" s="31" t="n"/>
      <c r="Q526" s="31" t="n"/>
      <c r="R526" s="31" t="n"/>
      <c r="S526" s="32">
        <f>IF($F526="","",IF(IFERROR(VLOOKUP($F526,'维度字典'!$I$2:$J$50,2,0),"求和")="手工录入","",IF(IFERROR(VLOOKUP($F526,'维度字典'!$I$2:$J$50,2,0),"求和")="最新值",IFERROR(LOOKUP(9.99E+307,G526:R526),""),SUM(G526:R526))))</f>
        <v/>
      </c>
      <c r="T526" s="33" t="n"/>
      <c r="U526" s="33" t="n"/>
    </row>
    <row r="527">
      <c r="A527" s="26">
        <f>IF($B527="","",ROW()-3)</f>
        <v/>
      </c>
      <c r="B527" s="27" t="n"/>
      <c r="C527" s="27" t="n"/>
      <c r="D527" s="28" t="n"/>
      <c r="E527" s="29" t="n"/>
      <c r="F527" s="30" t="n"/>
      <c r="G527" s="31" t="n"/>
      <c r="H527" s="31" t="n"/>
      <c r="I527" s="31" t="n"/>
      <c r="J527" s="31" t="n"/>
      <c r="K527" s="31" t="n"/>
      <c r="L527" s="31" t="n"/>
      <c r="M527" s="31" t="n"/>
      <c r="N527" s="31" t="n"/>
      <c r="O527" s="31" t="n"/>
      <c r="P527" s="31" t="n"/>
      <c r="Q527" s="31" t="n"/>
      <c r="R527" s="31" t="n"/>
      <c r="S527" s="32">
        <f>IF($F527="","",IF(IFERROR(VLOOKUP($F527,'维度字典'!$I$2:$J$50,2,0),"求和")="手工录入","",IF(IFERROR(VLOOKUP($F527,'维度字典'!$I$2:$J$50,2,0),"求和")="最新值",IFERROR(LOOKUP(9.99E+307,G527:R527),""),SUM(G527:R527))))</f>
        <v/>
      </c>
      <c r="T527" s="33" t="n"/>
      <c r="U527" s="33" t="n"/>
    </row>
    <row r="528">
      <c r="A528" s="26">
        <f>IF($B528="","",ROW()-3)</f>
        <v/>
      </c>
      <c r="B528" s="27" t="n"/>
      <c r="C528" s="27" t="n"/>
      <c r="D528" s="28" t="n"/>
      <c r="E528" s="29" t="n"/>
      <c r="F528" s="30" t="n"/>
      <c r="G528" s="31" t="n"/>
      <c r="H528" s="31" t="n"/>
      <c r="I528" s="31" t="n"/>
      <c r="J528" s="31" t="n"/>
      <c r="K528" s="31" t="n"/>
      <c r="L528" s="31" t="n"/>
      <c r="M528" s="31" t="n"/>
      <c r="N528" s="31" t="n"/>
      <c r="O528" s="31" t="n"/>
      <c r="P528" s="31" t="n"/>
      <c r="Q528" s="31" t="n"/>
      <c r="R528" s="31" t="n"/>
      <c r="S528" s="32">
        <f>IF($F528="","",IF(IFERROR(VLOOKUP($F528,'维度字典'!$I$2:$J$50,2,0),"求和")="手工录入","",IF(IFERROR(VLOOKUP($F528,'维度字典'!$I$2:$J$50,2,0),"求和")="最新值",IFERROR(LOOKUP(9.99E+307,G528:R528),""),SUM(G528:R528))))</f>
        <v/>
      </c>
      <c r="T528" s="33" t="n"/>
      <c r="U528" s="33" t="n"/>
    </row>
    <row r="529">
      <c r="A529" s="26">
        <f>IF($B529="","",ROW()-3)</f>
        <v/>
      </c>
      <c r="B529" s="27" t="n"/>
      <c r="C529" s="27" t="n"/>
      <c r="D529" s="28" t="n"/>
      <c r="E529" s="29" t="n"/>
      <c r="F529" s="30" t="n"/>
      <c r="G529" s="31" t="n"/>
      <c r="H529" s="31" t="n"/>
      <c r="I529" s="31" t="n"/>
      <c r="J529" s="31" t="n"/>
      <c r="K529" s="31" t="n"/>
      <c r="L529" s="31" t="n"/>
      <c r="M529" s="31" t="n"/>
      <c r="N529" s="31" t="n"/>
      <c r="O529" s="31" t="n"/>
      <c r="P529" s="31" t="n"/>
      <c r="Q529" s="31" t="n"/>
      <c r="R529" s="31" t="n"/>
      <c r="S529" s="32">
        <f>IF($F529="","",IF(IFERROR(VLOOKUP($F529,'维度字典'!$I$2:$J$50,2,0),"求和")="手工录入","",IF(IFERROR(VLOOKUP($F529,'维度字典'!$I$2:$J$50,2,0),"求和")="最新值",IFERROR(LOOKUP(9.99E+307,G529:R529),""),SUM(G529:R529))))</f>
        <v/>
      </c>
      <c r="T529" s="33" t="n"/>
      <c r="U529" s="33" t="n"/>
    </row>
    <row r="530">
      <c r="A530" s="26">
        <f>IF($B530="","",ROW()-3)</f>
        <v/>
      </c>
      <c r="B530" s="27" t="n"/>
      <c r="C530" s="27" t="n"/>
      <c r="D530" s="28" t="n"/>
      <c r="E530" s="29" t="n"/>
      <c r="F530" s="30" t="n"/>
      <c r="G530" s="31" t="n"/>
      <c r="H530" s="31" t="n"/>
      <c r="I530" s="31" t="n"/>
      <c r="J530" s="31" t="n"/>
      <c r="K530" s="31" t="n"/>
      <c r="L530" s="31" t="n"/>
      <c r="M530" s="31" t="n"/>
      <c r="N530" s="31" t="n"/>
      <c r="O530" s="31" t="n"/>
      <c r="P530" s="31" t="n"/>
      <c r="Q530" s="31" t="n"/>
      <c r="R530" s="31" t="n"/>
      <c r="S530" s="32">
        <f>IF($F530="","",IF(IFERROR(VLOOKUP($F530,'维度字典'!$I$2:$J$50,2,0),"求和")="手工录入","",IF(IFERROR(VLOOKUP($F530,'维度字典'!$I$2:$J$50,2,0),"求和")="最新值",IFERROR(LOOKUP(9.99E+307,G530:R530),""),SUM(G530:R530))))</f>
        <v/>
      </c>
      <c r="T530" s="33" t="n"/>
      <c r="U530" s="33" t="n"/>
    </row>
    <row r="531">
      <c r="A531" s="26">
        <f>IF($B531="","",ROW()-3)</f>
        <v/>
      </c>
      <c r="B531" s="27" t="n"/>
      <c r="C531" s="27" t="n"/>
      <c r="D531" s="28" t="n"/>
      <c r="E531" s="29" t="n"/>
      <c r="F531" s="30" t="n"/>
      <c r="G531" s="31" t="n"/>
      <c r="H531" s="31" t="n"/>
      <c r="I531" s="31" t="n"/>
      <c r="J531" s="31" t="n"/>
      <c r="K531" s="31" t="n"/>
      <c r="L531" s="31" t="n"/>
      <c r="M531" s="31" t="n"/>
      <c r="N531" s="31" t="n"/>
      <c r="O531" s="31" t="n"/>
      <c r="P531" s="31" t="n"/>
      <c r="Q531" s="31" t="n"/>
      <c r="R531" s="31" t="n"/>
      <c r="S531" s="32">
        <f>IF($F531="","",IF(IFERROR(VLOOKUP($F531,'维度字典'!$I$2:$J$50,2,0),"求和")="手工录入","",IF(IFERROR(VLOOKUP($F531,'维度字典'!$I$2:$J$50,2,0),"求和")="最新值",IFERROR(LOOKUP(9.99E+307,G531:R531),""),SUM(G531:R531))))</f>
        <v/>
      </c>
      <c r="T531" s="33" t="n"/>
      <c r="U531" s="33" t="n"/>
    </row>
    <row r="532">
      <c r="A532" s="26">
        <f>IF($B532="","",ROW()-3)</f>
        <v/>
      </c>
      <c r="B532" s="27" t="n"/>
      <c r="C532" s="27" t="n"/>
      <c r="D532" s="28" t="n"/>
      <c r="E532" s="29" t="n"/>
      <c r="F532" s="30" t="n"/>
      <c r="G532" s="31" t="n"/>
      <c r="H532" s="31" t="n"/>
      <c r="I532" s="31" t="n"/>
      <c r="J532" s="31" t="n"/>
      <c r="K532" s="31" t="n"/>
      <c r="L532" s="31" t="n"/>
      <c r="M532" s="31" t="n"/>
      <c r="N532" s="31" t="n"/>
      <c r="O532" s="31" t="n"/>
      <c r="P532" s="31" t="n"/>
      <c r="Q532" s="31" t="n"/>
      <c r="R532" s="31" t="n"/>
      <c r="S532" s="32">
        <f>IF($F532="","",IF(IFERROR(VLOOKUP($F532,'维度字典'!$I$2:$J$50,2,0),"求和")="手工录入","",IF(IFERROR(VLOOKUP($F532,'维度字典'!$I$2:$J$50,2,0),"求和")="最新值",IFERROR(LOOKUP(9.99E+307,G532:R532),""),SUM(G532:R532))))</f>
        <v/>
      </c>
      <c r="T532" s="33" t="n"/>
      <c r="U532" s="33" t="n"/>
    </row>
    <row r="533">
      <c r="A533" s="26">
        <f>IF($B533="","",ROW()-3)</f>
        <v/>
      </c>
      <c r="B533" s="27" t="n"/>
      <c r="C533" s="27" t="n"/>
      <c r="D533" s="28" t="n"/>
      <c r="E533" s="29" t="n"/>
      <c r="F533" s="30" t="n"/>
      <c r="G533" s="31" t="n"/>
      <c r="H533" s="31" t="n"/>
      <c r="I533" s="31" t="n"/>
      <c r="J533" s="31" t="n"/>
      <c r="K533" s="31" t="n"/>
      <c r="L533" s="31" t="n"/>
      <c r="M533" s="31" t="n"/>
      <c r="N533" s="31" t="n"/>
      <c r="O533" s="31" t="n"/>
      <c r="P533" s="31" t="n"/>
      <c r="Q533" s="31" t="n"/>
      <c r="R533" s="31" t="n"/>
      <c r="S533" s="32">
        <f>IF($F533="","",IF(IFERROR(VLOOKUP($F533,'维度字典'!$I$2:$J$50,2,0),"求和")="手工录入","",IF(IFERROR(VLOOKUP($F533,'维度字典'!$I$2:$J$50,2,0),"求和")="最新值",IFERROR(LOOKUP(9.99E+307,G533:R533),""),SUM(G533:R533))))</f>
        <v/>
      </c>
      <c r="T533" s="33" t="n"/>
      <c r="U533" s="33" t="n"/>
    </row>
    <row r="534">
      <c r="A534" s="26">
        <f>IF($B534="","",ROW()-3)</f>
        <v/>
      </c>
      <c r="B534" s="27" t="n"/>
      <c r="C534" s="27" t="n"/>
      <c r="D534" s="28" t="n"/>
      <c r="E534" s="29" t="n"/>
      <c r="F534" s="30" t="n"/>
      <c r="G534" s="31" t="n"/>
      <c r="H534" s="31" t="n"/>
      <c r="I534" s="31" t="n"/>
      <c r="J534" s="31" t="n"/>
      <c r="K534" s="31" t="n"/>
      <c r="L534" s="31" t="n"/>
      <c r="M534" s="31" t="n"/>
      <c r="N534" s="31" t="n"/>
      <c r="O534" s="31" t="n"/>
      <c r="P534" s="31" t="n"/>
      <c r="Q534" s="31" t="n"/>
      <c r="R534" s="31" t="n"/>
      <c r="S534" s="32">
        <f>IF($F534="","",IF(IFERROR(VLOOKUP($F534,'维度字典'!$I$2:$J$50,2,0),"求和")="手工录入","",IF(IFERROR(VLOOKUP($F534,'维度字典'!$I$2:$J$50,2,0),"求和")="最新值",IFERROR(LOOKUP(9.99E+307,G534:R534),""),SUM(G534:R534))))</f>
        <v/>
      </c>
      <c r="T534" s="33" t="n"/>
      <c r="U534" s="33" t="n"/>
    </row>
    <row r="535">
      <c r="A535" s="26">
        <f>IF($B535="","",ROW()-3)</f>
        <v/>
      </c>
      <c r="B535" s="27" t="n"/>
      <c r="C535" s="27" t="n"/>
      <c r="D535" s="28" t="n"/>
      <c r="E535" s="29" t="n"/>
      <c r="F535" s="30" t="n"/>
      <c r="G535" s="31" t="n"/>
      <c r="H535" s="31" t="n"/>
      <c r="I535" s="31" t="n"/>
      <c r="J535" s="31" t="n"/>
      <c r="K535" s="31" t="n"/>
      <c r="L535" s="31" t="n"/>
      <c r="M535" s="31" t="n"/>
      <c r="N535" s="31" t="n"/>
      <c r="O535" s="31" t="n"/>
      <c r="P535" s="31" t="n"/>
      <c r="Q535" s="31" t="n"/>
      <c r="R535" s="31" t="n"/>
      <c r="S535" s="32">
        <f>IF($F535="","",IF(IFERROR(VLOOKUP($F535,'维度字典'!$I$2:$J$50,2,0),"求和")="手工录入","",IF(IFERROR(VLOOKUP($F535,'维度字典'!$I$2:$J$50,2,0),"求和")="最新值",IFERROR(LOOKUP(9.99E+307,G535:R535),""),SUM(G535:R535))))</f>
        <v/>
      </c>
      <c r="T535" s="33" t="n"/>
      <c r="U535" s="33" t="n"/>
    </row>
    <row r="536">
      <c r="A536" s="26">
        <f>IF($B536="","",ROW()-3)</f>
        <v/>
      </c>
      <c r="B536" s="27" t="n"/>
      <c r="C536" s="27" t="n"/>
      <c r="D536" s="28" t="n"/>
      <c r="E536" s="29" t="n"/>
      <c r="F536" s="30" t="n"/>
      <c r="G536" s="31" t="n"/>
      <c r="H536" s="31" t="n"/>
      <c r="I536" s="31" t="n"/>
      <c r="J536" s="31" t="n"/>
      <c r="K536" s="31" t="n"/>
      <c r="L536" s="31" t="n"/>
      <c r="M536" s="31" t="n"/>
      <c r="N536" s="31" t="n"/>
      <c r="O536" s="31" t="n"/>
      <c r="P536" s="31" t="n"/>
      <c r="Q536" s="31" t="n"/>
      <c r="R536" s="31" t="n"/>
      <c r="S536" s="32">
        <f>IF($F536="","",IF(IFERROR(VLOOKUP($F536,'维度字典'!$I$2:$J$50,2,0),"求和")="手工录入","",IF(IFERROR(VLOOKUP($F536,'维度字典'!$I$2:$J$50,2,0),"求和")="最新值",IFERROR(LOOKUP(9.99E+307,G536:R536),""),SUM(G536:R536))))</f>
        <v/>
      </c>
      <c r="T536" s="33" t="n"/>
      <c r="U536" s="33" t="n"/>
    </row>
    <row r="537">
      <c r="A537" s="26">
        <f>IF($B537="","",ROW()-3)</f>
        <v/>
      </c>
      <c r="B537" s="27" t="n"/>
      <c r="C537" s="27" t="n"/>
      <c r="D537" s="28" t="n"/>
      <c r="E537" s="29" t="n"/>
      <c r="F537" s="30" t="n"/>
      <c r="G537" s="31" t="n"/>
      <c r="H537" s="31" t="n"/>
      <c r="I537" s="31" t="n"/>
      <c r="J537" s="31" t="n"/>
      <c r="K537" s="31" t="n"/>
      <c r="L537" s="31" t="n"/>
      <c r="M537" s="31" t="n"/>
      <c r="N537" s="31" t="n"/>
      <c r="O537" s="31" t="n"/>
      <c r="P537" s="31" t="n"/>
      <c r="Q537" s="31" t="n"/>
      <c r="R537" s="31" t="n"/>
      <c r="S537" s="32">
        <f>IF($F537="","",IF(IFERROR(VLOOKUP($F537,'维度字典'!$I$2:$J$50,2,0),"求和")="手工录入","",IF(IFERROR(VLOOKUP($F537,'维度字典'!$I$2:$J$50,2,0),"求和")="最新值",IFERROR(LOOKUP(9.99E+307,G537:R537),""),SUM(G537:R537))))</f>
        <v/>
      </c>
      <c r="T537" s="33" t="n"/>
      <c r="U537" s="33" t="n"/>
    </row>
    <row r="538">
      <c r="A538" s="26">
        <f>IF($B538="","",ROW()-3)</f>
        <v/>
      </c>
      <c r="B538" s="27" t="n"/>
      <c r="C538" s="27" t="n"/>
      <c r="D538" s="28" t="n"/>
      <c r="E538" s="29" t="n"/>
      <c r="F538" s="30" t="n"/>
      <c r="G538" s="31" t="n"/>
      <c r="H538" s="31" t="n"/>
      <c r="I538" s="31" t="n"/>
      <c r="J538" s="31" t="n"/>
      <c r="K538" s="31" t="n"/>
      <c r="L538" s="31" t="n"/>
      <c r="M538" s="31" t="n"/>
      <c r="N538" s="31" t="n"/>
      <c r="O538" s="31" t="n"/>
      <c r="P538" s="31" t="n"/>
      <c r="Q538" s="31" t="n"/>
      <c r="R538" s="31" t="n"/>
      <c r="S538" s="32">
        <f>IF($F538="","",IF(IFERROR(VLOOKUP($F538,'维度字典'!$I$2:$J$50,2,0),"求和")="手工录入","",IF(IFERROR(VLOOKUP($F538,'维度字典'!$I$2:$J$50,2,0),"求和")="最新值",IFERROR(LOOKUP(9.99E+307,G538:R538),""),SUM(G538:R538))))</f>
        <v/>
      </c>
      <c r="T538" s="33" t="n"/>
      <c r="U538" s="33" t="n"/>
    </row>
    <row r="539">
      <c r="A539" s="26">
        <f>IF($B539="","",ROW()-3)</f>
        <v/>
      </c>
      <c r="B539" s="27" t="n"/>
      <c r="C539" s="27" t="n"/>
      <c r="D539" s="28" t="n"/>
      <c r="E539" s="29" t="n"/>
      <c r="F539" s="30" t="n"/>
      <c r="G539" s="31" t="n"/>
      <c r="H539" s="31" t="n"/>
      <c r="I539" s="31" t="n"/>
      <c r="J539" s="31" t="n"/>
      <c r="K539" s="31" t="n"/>
      <c r="L539" s="31" t="n"/>
      <c r="M539" s="31" t="n"/>
      <c r="N539" s="31" t="n"/>
      <c r="O539" s="31" t="n"/>
      <c r="P539" s="31" t="n"/>
      <c r="Q539" s="31" t="n"/>
      <c r="R539" s="31" t="n"/>
      <c r="S539" s="32">
        <f>IF($F539="","",IF(IFERROR(VLOOKUP($F539,'维度字典'!$I$2:$J$50,2,0),"求和")="手工录入","",IF(IFERROR(VLOOKUP($F539,'维度字典'!$I$2:$J$50,2,0),"求和")="最新值",IFERROR(LOOKUP(9.99E+307,G539:R539),""),SUM(G539:R539))))</f>
        <v/>
      </c>
      <c r="T539" s="33" t="n"/>
      <c r="U539" s="33" t="n"/>
    </row>
    <row r="540">
      <c r="A540" s="26">
        <f>IF($B540="","",ROW()-3)</f>
        <v/>
      </c>
      <c r="B540" s="27" t="n"/>
      <c r="C540" s="27" t="n"/>
      <c r="D540" s="28" t="n"/>
      <c r="E540" s="29" t="n"/>
      <c r="F540" s="30" t="n"/>
      <c r="G540" s="31" t="n"/>
      <c r="H540" s="31" t="n"/>
      <c r="I540" s="31" t="n"/>
      <c r="J540" s="31" t="n"/>
      <c r="K540" s="31" t="n"/>
      <c r="L540" s="31" t="n"/>
      <c r="M540" s="31" t="n"/>
      <c r="N540" s="31" t="n"/>
      <c r="O540" s="31" t="n"/>
      <c r="P540" s="31" t="n"/>
      <c r="Q540" s="31" t="n"/>
      <c r="R540" s="31" t="n"/>
      <c r="S540" s="32">
        <f>IF($F540="","",IF(IFERROR(VLOOKUP($F540,'维度字典'!$I$2:$J$50,2,0),"求和")="手工录入","",IF(IFERROR(VLOOKUP($F540,'维度字典'!$I$2:$J$50,2,0),"求和")="最新值",IFERROR(LOOKUP(9.99E+307,G540:R540),""),SUM(G540:R540))))</f>
        <v/>
      </c>
      <c r="T540" s="33" t="n"/>
      <c r="U540" s="33" t="n"/>
    </row>
    <row r="541">
      <c r="A541" s="26">
        <f>IF($B541="","",ROW()-3)</f>
        <v/>
      </c>
      <c r="B541" s="27" t="n"/>
      <c r="C541" s="27" t="n"/>
      <c r="D541" s="28" t="n"/>
      <c r="E541" s="29" t="n"/>
      <c r="F541" s="30" t="n"/>
      <c r="G541" s="31" t="n"/>
      <c r="H541" s="31" t="n"/>
      <c r="I541" s="31" t="n"/>
      <c r="J541" s="31" t="n"/>
      <c r="K541" s="31" t="n"/>
      <c r="L541" s="31" t="n"/>
      <c r="M541" s="31" t="n"/>
      <c r="N541" s="31" t="n"/>
      <c r="O541" s="31" t="n"/>
      <c r="P541" s="31" t="n"/>
      <c r="Q541" s="31" t="n"/>
      <c r="R541" s="31" t="n"/>
      <c r="S541" s="32">
        <f>IF($F541="","",IF(IFERROR(VLOOKUP($F541,'维度字典'!$I$2:$J$50,2,0),"求和")="手工录入","",IF(IFERROR(VLOOKUP($F541,'维度字典'!$I$2:$J$50,2,0),"求和")="最新值",IFERROR(LOOKUP(9.99E+307,G541:R541),""),SUM(G541:R541))))</f>
        <v/>
      </c>
      <c r="T541" s="33" t="n"/>
      <c r="U541" s="33" t="n"/>
    </row>
    <row r="542">
      <c r="A542" s="26">
        <f>IF($B542="","",ROW()-3)</f>
        <v/>
      </c>
      <c r="B542" s="27" t="n"/>
      <c r="C542" s="27" t="n"/>
      <c r="D542" s="28" t="n"/>
      <c r="E542" s="29" t="n"/>
      <c r="F542" s="30" t="n"/>
      <c r="G542" s="31" t="n"/>
      <c r="H542" s="31" t="n"/>
      <c r="I542" s="31" t="n"/>
      <c r="J542" s="31" t="n"/>
      <c r="K542" s="31" t="n"/>
      <c r="L542" s="31" t="n"/>
      <c r="M542" s="31" t="n"/>
      <c r="N542" s="31" t="n"/>
      <c r="O542" s="31" t="n"/>
      <c r="P542" s="31" t="n"/>
      <c r="Q542" s="31" t="n"/>
      <c r="R542" s="31" t="n"/>
      <c r="S542" s="32">
        <f>IF($F542="","",IF(IFERROR(VLOOKUP($F542,'维度字典'!$I$2:$J$50,2,0),"求和")="手工录入","",IF(IFERROR(VLOOKUP($F542,'维度字典'!$I$2:$J$50,2,0),"求和")="最新值",IFERROR(LOOKUP(9.99E+307,G542:R542),""),SUM(G542:R542))))</f>
        <v/>
      </c>
      <c r="T542" s="33" t="n"/>
      <c r="U542" s="33" t="n"/>
    </row>
    <row r="543">
      <c r="A543" s="26">
        <f>IF($B543="","",ROW()-3)</f>
        <v/>
      </c>
      <c r="B543" s="27" t="n"/>
      <c r="C543" s="27" t="n"/>
      <c r="D543" s="28" t="n"/>
      <c r="E543" s="29" t="n"/>
      <c r="F543" s="30" t="n"/>
      <c r="G543" s="31" t="n"/>
      <c r="H543" s="31" t="n"/>
      <c r="I543" s="31" t="n"/>
      <c r="J543" s="31" t="n"/>
      <c r="K543" s="31" t="n"/>
      <c r="L543" s="31" t="n"/>
      <c r="M543" s="31" t="n"/>
      <c r="N543" s="31" t="n"/>
      <c r="O543" s="31" t="n"/>
      <c r="P543" s="31" t="n"/>
      <c r="Q543" s="31" t="n"/>
      <c r="R543" s="31" t="n"/>
      <c r="S543" s="32">
        <f>IF($F543="","",IF(IFERROR(VLOOKUP($F543,'维度字典'!$I$2:$J$50,2,0),"求和")="手工录入","",IF(IFERROR(VLOOKUP($F543,'维度字典'!$I$2:$J$50,2,0),"求和")="最新值",IFERROR(LOOKUP(9.99E+307,G543:R543),""),SUM(G543:R543))))</f>
        <v/>
      </c>
      <c r="T543" s="33" t="n"/>
      <c r="U543" s="33" t="n"/>
    </row>
    <row r="544">
      <c r="A544" s="26">
        <f>IF($B544="","",ROW()-3)</f>
        <v/>
      </c>
      <c r="B544" s="27" t="n"/>
      <c r="C544" s="27" t="n"/>
      <c r="D544" s="28" t="n"/>
      <c r="E544" s="29" t="n"/>
      <c r="F544" s="30" t="n"/>
      <c r="G544" s="31" t="n"/>
      <c r="H544" s="31" t="n"/>
      <c r="I544" s="31" t="n"/>
      <c r="J544" s="31" t="n"/>
      <c r="K544" s="31" t="n"/>
      <c r="L544" s="31" t="n"/>
      <c r="M544" s="31" t="n"/>
      <c r="N544" s="31" t="n"/>
      <c r="O544" s="31" t="n"/>
      <c r="P544" s="31" t="n"/>
      <c r="Q544" s="31" t="n"/>
      <c r="R544" s="31" t="n"/>
      <c r="S544" s="32">
        <f>IF($F544="","",IF(IFERROR(VLOOKUP($F544,'维度字典'!$I$2:$J$50,2,0),"求和")="手工录入","",IF(IFERROR(VLOOKUP($F544,'维度字典'!$I$2:$J$50,2,0),"求和")="最新值",IFERROR(LOOKUP(9.99E+307,G544:R544),""),SUM(G544:R544))))</f>
        <v/>
      </c>
      <c r="T544" s="33" t="n"/>
      <c r="U544" s="33" t="n"/>
    </row>
    <row r="545">
      <c r="A545" s="26">
        <f>IF($B545="","",ROW()-3)</f>
        <v/>
      </c>
      <c r="B545" s="27" t="n"/>
      <c r="C545" s="27" t="n"/>
      <c r="D545" s="28" t="n"/>
      <c r="E545" s="29" t="n"/>
      <c r="F545" s="30" t="n"/>
      <c r="G545" s="31" t="n"/>
      <c r="H545" s="31" t="n"/>
      <c r="I545" s="31" t="n"/>
      <c r="J545" s="31" t="n"/>
      <c r="K545" s="31" t="n"/>
      <c r="L545" s="31" t="n"/>
      <c r="M545" s="31" t="n"/>
      <c r="N545" s="31" t="n"/>
      <c r="O545" s="31" t="n"/>
      <c r="P545" s="31" t="n"/>
      <c r="Q545" s="31" t="n"/>
      <c r="R545" s="31" t="n"/>
      <c r="S545" s="32">
        <f>IF($F545="","",IF(IFERROR(VLOOKUP($F545,'维度字典'!$I$2:$J$50,2,0),"求和")="手工录入","",IF(IFERROR(VLOOKUP($F545,'维度字典'!$I$2:$J$50,2,0),"求和")="最新值",IFERROR(LOOKUP(9.99E+307,G545:R545),""),SUM(G545:R545))))</f>
        <v/>
      </c>
      <c r="T545" s="33" t="n"/>
      <c r="U545" s="33" t="n"/>
    </row>
    <row r="546">
      <c r="A546" s="26">
        <f>IF($B546="","",ROW()-3)</f>
        <v/>
      </c>
      <c r="B546" s="27" t="n"/>
      <c r="C546" s="27" t="n"/>
      <c r="D546" s="28" t="n"/>
      <c r="E546" s="29" t="n"/>
      <c r="F546" s="30" t="n"/>
      <c r="G546" s="31" t="n"/>
      <c r="H546" s="31" t="n"/>
      <c r="I546" s="31" t="n"/>
      <c r="J546" s="31" t="n"/>
      <c r="K546" s="31" t="n"/>
      <c r="L546" s="31" t="n"/>
      <c r="M546" s="31" t="n"/>
      <c r="N546" s="31" t="n"/>
      <c r="O546" s="31" t="n"/>
      <c r="P546" s="31" t="n"/>
      <c r="Q546" s="31" t="n"/>
      <c r="R546" s="31" t="n"/>
      <c r="S546" s="32">
        <f>IF($F546="","",IF(IFERROR(VLOOKUP($F546,'维度字典'!$I$2:$J$50,2,0),"求和")="手工录入","",IF(IFERROR(VLOOKUP($F546,'维度字典'!$I$2:$J$50,2,0),"求和")="最新值",IFERROR(LOOKUP(9.99E+307,G546:R546),""),SUM(G546:R546))))</f>
        <v/>
      </c>
      <c r="T546" s="33" t="n"/>
      <c r="U546" s="33" t="n"/>
    </row>
    <row r="547">
      <c r="A547" s="26">
        <f>IF($B547="","",ROW()-3)</f>
        <v/>
      </c>
      <c r="B547" s="27" t="n"/>
      <c r="C547" s="27" t="n"/>
      <c r="D547" s="28" t="n"/>
      <c r="E547" s="29" t="n"/>
      <c r="F547" s="30" t="n"/>
      <c r="G547" s="31" t="n"/>
      <c r="H547" s="31" t="n"/>
      <c r="I547" s="31" t="n"/>
      <c r="J547" s="31" t="n"/>
      <c r="K547" s="31" t="n"/>
      <c r="L547" s="31" t="n"/>
      <c r="M547" s="31" t="n"/>
      <c r="N547" s="31" t="n"/>
      <c r="O547" s="31" t="n"/>
      <c r="P547" s="31" t="n"/>
      <c r="Q547" s="31" t="n"/>
      <c r="R547" s="31" t="n"/>
      <c r="S547" s="32">
        <f>IF($F547="","",IF(IFERROR(VLOOKUP($F547,'维度字典'!$I$2:$J$50,2,0),"求和")="手工录入","",IF(IFERROR(VLOOKUP($F547,'维度字典'!$I$2:$J$50,2,0),"求和")="最新值",IFERROR(LOOKUP(9.99E+307,G547:R547),""),SUM(G547:R547))))</f>
        <v/>
      </c>
      <c r="T547" s="33" t="n"/>
      <c r="U547" s="33" t="n"/>
    </row>
    <row r="548">
      <c r="A548" s="26">
        <f>IF($B548="","",ROW()-3)</f>
        <v/>
      </c>
      <c r="B548" s="27" t="n"/>
      <c r="C548" s="27" t="n"/>
      <c r="D548" s="28" t="n"/>
      <c r="E548" s="29" t="n"/>
      <c r="F548" s="30" t="n"/>
      <c r="G548" s="31" t="n"/>
      <c r="H548" s="31" t="n"/>
      <c r="I548" s="31" t="n"/>
      <c r="J548" s="31" t="n"/>
      <c r="K548" s="31" t="n"/>
      <c r="L548" s="31" t="n"/>
      <c r="M548" s="31" t="n"/>
      <c r="N548" s="31" t="n"/>
      <c r="O548" s="31" t="n"/>
      <c r="P548" s="31" t="n"/>
      <c r="Q548" s="31" t="n"/>
      <c r="R548" s="31" t="n"/>
      <c r="S548" s="32">
        <f>IF($F548="","",IF(IFERROR(VLOOKUP($F548,'维度字典'!$I$2:$J$50,2,0),"求和")="手工录入","",IF(IFERROR(VLOOKUP($F548,'维度字典'!$I$2:$J$50,2,0),"求和")="最新值",IFERROR(LOOKUP(9.99E+307,G548:R548),""),SUM(G548:R548))))</f>
        <v/>
      </c>
      <c r="T548" s="33" t="n"/>
      <c r="U548" s="33" t="n"/>
    </row>
    <row r="549">
      <c r="A549" s="26">
        <f>IF($B549="","",ROW()-3)</f>
        <v/>
      </c>
      <c r="B549" s="27" t="n"/>
      <c r="C549" s="27" t="n"/>
      <c r="D549" s="28" t="n"/>
      <c r="E549" s="29" t="n"/>
      <c r="F549" s="30" t="n"/>
      <c r="G549" s="31" t="n"/>
      <c r="H549" s="31" t="n"/>
      <c r="I549" s="31" t="n"/>
      <c r="J549" s="31" t="n"/>
      <c r="K549" s="31" t="n"/>
      <c r="L549" s="31" t="n"/>
      <c r="M549" s="31" t="n"/>
      <c r="N549" s="31" t="n"/>
      <c r="O549" s="31" t="n"/>
      <c r="P549" s="31" t="n"/>
      <c r="Q549" s="31" t="n"/>
      <c r="R549" s="31" t="n"/>
      <c r="S549" s="32">
        <f>IF($F549="","",IF(IFERROR(VLOOKUP($F549,'维度字典'!$I$2:$J$50,2,0),"求和")="手工录入","",IF(IFERROR(VLOOKUP($F549,'维度字典'!$I$2:$J$50,2,0),"求和")="最新值",IFERROR(LOOKUP(9.99E+307,G549:R549),""),SUM(G549:R549))))</f>
        <v/>
      </c>
      <c r="T549" s="33" t="n"/>
      <c r="U549" s="33" t="n"/>
    </row>
    <row r="550">
      <c r="A550" s="26">
        <f>IF($B550="","",ROW()-3)</f>
        <v/>
      </c>
      <c r="B550" s="27" t="n"/>
      <c r="C550" s="27" t="n"/>
      <c r="D550" s="28" t="n"/>
      <c r="E550" s="29" t="n"/>
      <c r="F550" s="30" t="n"/>
      <c r="G550" s="31" t="n"/>
      <c r="H550" s="31" t="n"/>
      <c r="I550" s="31" t="n"/>
      <c r="J550" s="31" t="n"/>
      <c r="K550" s="31" t="n"/>
      <c r="L550" s="31" t="n"/>
      <c r="M550" s="31" t="n"/>
      <c r="N550" s="31" t="n"/>
      <c r="O550" s="31" t="n"/>
      <c r="P550" s="31" t="n"/>
      <c r="Q550" s="31" t="n"/>
      <c r="R550" s="31" t="n"/>
      <c r="S550" s="32">
        <f>IF($F550="","",IF(IFERROR(VLOOKUP($F550,'维度字典'!$I$2:$J$50,2,0),"求和")="手工录入","",IF(IFERROR(VLOOKUP($F550,'维度字典'!$I$2:$J$50,2,0),"求和")="最新值",IFERROR(LOOKUP(9.99E+307,G550:R550),""),SUM(G550:R550))))</f>
        <v/>
      </c>
      <c r="T550" s="33" t="n"/>
      <c r="U550" s="33" t="n"/>
    </row>
    <row r="551">
      <c r="A551" s="26">
        <f>IF($B551="","",ROW()-3)</f>
        <v/>
      </c>
      <c r="B551" s="27" t="n"/>
      <c r="C551" s="27" t="n"/>
      <c r="D551" s="28" t="n"/>
      <c r="E551" s="29" t="n"/>
      <c r="F551" s="30" t="n"/>
      <c r="G551" s="31" t="n"/>
      <c r="H551" s="31" t="n"/>
      <c r="I551" s="31" t="n"/>
      <c r="J551" s="31" t="n"/>
      <c r="K551" s="31" t="n"/>
      <c r="L551" s="31" t="n"/>
      <c r="M551" s="31" t="n"/>
      <c r="N551" s="31" t="n"/>
      <c r="O551" s="31" t="n"/>
      <c r="P551" s="31" t="n"/>
      <c r="Q551" s="31" t="n"/>
      <c r="R551" s="31" t="n"/>
      <c r="S551" s="32">
        <f>IF($F551="","",IF(IFERROR(VLOOKUP($F551,'维度字典'!$I$2:$J$50,2,0),"求和")="手工录入","",IF(IFERROR(VLOOKUP($F551,'维度字典'!$I$2:$J$50,2,0),"求和")="最新值",IFERROR(LOOKUP(9.99E+307,G551:R551),""),SUM(G551:R551))))</f>
        <v/>
      </c>
      <c r="T551" s="33" t="n"/>
      <c r="U551" s="33" t="n"/>
    </row>
    <row r="552">
      <c r="A552" s="26">
        <f>IF($B552="","",ROW()-3)</f>
        <v/>
      </c>
      <c r="B552" s="27" t="n"/>
      <c r="C552" s="27" t="n"/>
      <c r="D552" s="28" t="n"/>
      <c r="E552" s="29" t="n"/>
      <c r="F552" s="30" t="n"/>
      <c r="G552" s="31" t="n"/>
      <c r="H552" s="31" t="n"/>
      <c r="I552" s="31" t="n"/>
      <c r="J552" s="31" t="n"/>
      <c r="K552" s="31" t="n"/>
      <c r="L552" s="31" t="n"/>
      <c r="M552" s="31" t="n"/>
      <c r="N552" s="31" t="n"/>
      <c r="O552" s="31" t="n"/>
      <c r="P552" s="31" t="n"/>
      <c r="Q552" s="31" t="n"/>
      <c r="R552" s="31" t="n"/>
      <c r="S552" s="32">
        <f>IF($F552="","",IF(IFERROR(VLOOKUP($F552,'维度字典'!$I$2:$J$50,2,0),"求和")="手工录入","",IF(IFERROR(VLOOKUP($F552,'维度字典'!$I$2:$J$50,2,0),"求和")="最新值",IFERROR(LOOKUP(9.99E+307,G552:R552),""),SUM(G552:R552))))</f>
        <v/>
      </c>
      <c r="T552" s="33" t="n"/>
      <c r="U552" s="33" t="n"/>
    </row>
    <row r="553">
      <c r="A553" s="26">
        <f>IF($B553="","",ROW()-3)</f>
        <v/>
      </c>
      <c r="B553" s="27" t="n"/>
      <c r="C553" s="27" t="n"/>
      <c r="D553" s="28" t="n"/>
      <c r="E553" s="29" t="n"/>
      <c r="F553" s="30" t="n"/>
      <c r="G553" s="31" t="n"/>
      <c r="H553" s="31" t="n"/>
      <c r="I553" s="31" t="n"/>
      <c r="J553" s="31" t="n"/>
      <c r="K553" s="31" t="n"/>
      <c r="L553" s="31" t="n"/>
      <c r="M553" s="31" t="n"/>
      <c r="N553" s="31" t="n"/>
      <c r="O553" s="31" t="n"/>
      <c r="P553" s="31" t="n"/>
      <c r="Q553" s="31" t="n"/>
      <c r="R553" s="31" t="n"/>
      <c r="S553" s="32">
        <f>IF($F553="","",IF(IFERROR(VLOOKUP($F553,'维度字典'!$I$2:$J$50,2,0),"求和")="手工录入","",IF(IFERROR(VLOOKUP($F553,'维度字典'!$I$2:$J$50,2,0),"求和")="最新值",IFERROR(LOOKUP(9.99E+307,G553:R553),""),SUM(G553:R553))))</f>
        <v/>
      </c>
      <c r="T553" s="33" t="n"/>
      <c r="U553" s="33" t="n"/>
    </row>
    <row r="554">
      <c r="A554" s="26">
        <f>IF($B554="","",ROW()-3)</f>
        <v/>
      </c>
      <c r="B554" s="27" t="n"/>
      <c r="C554" s="27" t="n"/>
      <c r="D554" s="28" t="n"/>
      <c r="E554" s="29" t="n"/>
      <c r="F554" s="30" t="n"/>
      <c r="G554" s="31" t="n"/>
      <c r="H554" s="31" t="n"/>
      <c r="I554" s="31" t="n"/>
      <c r="J554" s="31" t="n"/>
      <c r="K554" s="31" t="n"/>
      <c r="L554" s="31" t="n"/>
      <c r="M554" s="31" t="n"/>
      <c r="N554" s="31" t="n"/>
      <c r="O554" s="31" t="n"/>
      <c r="P554" s="31" t="n"/>
      <c r="Q554" s="31" t="n"/>
      <c r="R554" s="31" t="n"/>
      <c r="S554" s="32">
        <f>IF($F554="","",IF(IFERROR(VLOOKUP($F554,'维度字典'!$I$2:$J$50,2,0),"求和")="手工录入","",IF(IFERROR(VLOOKUP($F554,'维度字典'!$I$2:$J$50,2,0),"求和")="最新值",IFERROR(LOOKUP(9.99E+307,G554:R554),""),SUM(G554:R554))))</f>
        <v/>
      </c>
      <c r="T554" s="33" t="n"/>
      <c r="U554" s="33" t="n"/>
    </row>
    <row r="555">
      <c r="A555" s="26">
        <f>IF($B555="","",ROW()-3)</f>
        <v/>
      </c>
      <c r="B555" s="27" t="n"/>
      <c r="C555" s="27" t="n"/>
      <c r="D555" s="28" t="n"/>
      <c r="E555" s="29" t="n"/>
      <c r="F555" s="30" t="n"/>
      <c r="G555" s="31" t="n"/>
      <c r="H555" s="31" t="n"/>
      <c r="I555" s="31" t="n"/>
      <c r="J555" s="31" t="n"/>
      <c r="K555" s="31" t="n"/>
      <c r="L555" s="31" t="n"/>
      <c r="M555" s="31" t="n"/>
      <c r="N555" s="31" t="n"/>
      <c r="O555" s="31" t="n"/>
      <c r="P555" s="31" t="n"/>
      <c r="Q555" s="31" t="n"/>
      <c r="R555" s="31" t="n"/>
      <c r="S555" s="32">
        <f>IF($F555="","",IF(IFERROR(VLOOKUP($F555,'维度字典'!$I$2:$J$50,2,0),"求和")="手工录入","",IF(IFERROR(VLOOKUP($F555,'维度字典'!$I$2:$J$50,2,0),"求和")="最新值",IFERROR(LOOKUP(9.99E+307,G555:R555),""),SUM(G555:R555))))</f>
        <v/>
      </c>
      <c r="T555" s="33" t="n"/>
      <c r="U555" s="33" t="n"/>
    </row>
    <row r="556">
      <c r="A556" s="26">
        <f>IF($B556="","",ROW()-3)</f>
        <v/>
      </c>
      <c r="B556" s="27" t="n"/>
      <c r="C556" s="27" t="n"/>
      <c r="D556" s="28" t="n"/>
      <c r="E556" s="29" t="n"/>
      <c r="F556" s="30" t="n"/>
      <c r="G556" s="31" t="n"/>
      <c r="H556" s="31" t="n"/>
      <c r="I556" s="31" t="n"/>
      <c r="J556" s="31" t="n"/>
      <c r="K556" s="31" t="n"/>
      <c r="L556" s="31" t="n"/>
      <c r="M556" s="31" t="n"/>
      <c r="N556" s="31" t="n"/>
      <c r="O556" s="31" t="n"/>
      <c r="P556" s="31" t="n"/>
      <c r="Q556" s="31" t="n"/>
      <c r="R556" s="31" t="n"/>
      <c r="S556" s="32">
        <f>IF($F556="","",IF(IFERROR(VLOOKUP($F556,'维度字典'!$I$2:$J$50,2,0),"求和")="手工录入","",IF(IFERROR(VLOOKUP($F556,'维度字典'!$I$2:$J$50,2,0),"求和")="最新值",IFERROR(LOOKUP(9.99E+307,G556:R556),""),SUM(G556:R556))))</f>
        <v/>
      </c>
      <c r="T556" s="33" t="n"/>
      <c r="U556" s="33" t="n"/>
    </row>
    <row r="557">
      <c r="A557" s="26">
        <f>IF($B557="","",ROW()-3)</f>
        <v/>
      </c>
      <c r="B557" s="27" t="n"/>
      <c r="C557" s="27" t="n"/>
      <c r="D557" s="28" t="n"/>
      <c r="E557" s="29" t="n"/>
      <c r="F557" s="30" t="n"/>
      <c r="G557" s="31" t="n"/>
      <c r="H557" s="31" t="n"/>
      <c r="I557" s="31" t="n"/>
      <c r="J557" s="31" t="n"/>
      <c r="K557" s="31" t="n"/>
      <c r="L557" s="31" t="n"/>
      <c r="M557" s="31" t="n"/>
      <c r="N557" s="31" t="n"/>
      <c r="O557" s="31" t="n"/>
      <c r="P557" s="31" t="n"/>
      <c r="Q557" s="31" t="n"/>
      <c r="R557" s="31" t="n"/>
      <c r="S557" s="32">
        <f>IF($F557="","",IF(IFERROR(VLOOKUP($F557,'维度字典'!$I$2:$J$50,2,0),"求和")="手工录入","",IF(IFERROR(VLOOKUP($F557,'维度字典'!$I$2:$J$50,2,0),"求和")="最新值",IFERROR(LOOKUP(9.99E+307,G557:R557),""),SUM(G557:R557))))</f>
        <v/>
      </c>
      <c r="T557" s="33" t="n"/>
      <c r="U557" s="33" t="n"/>
    </row>
    <row r="558">
      <c r="A558" s="26">
        <f>IF($B558="","",ROW()-3)</f>
        <v/>
      </c>
      <c r="B558" s="27" t="n"/>
      <c r="C558" s="27" t="n"/>
      <c r="D558" s="28" t="n"/>
      <c r="E558" s="29" t="n"/>
      <c r="F558" s="30" t="n"/>
      <c r="G558" s="31" t="n"/>
      <c r="H558" s="31" t="n"/>
      <c r="I558" s="31" t="n"/>
      <c r="J558" s="31" t="n"/>
      <c r="K558" s="31" t="n"/>
      <c r="L558" s="31" t="n"/>
      <c r="M558" s="31" t="n"/>
      <c r="N558" s="31" t="n"/>
      <c r="O558" s="31" t="n"/>
      <c r="P558" s="31" t="n"/>
      <c r="Q558" s="31" t="n"/>
      <c r="R558" s="31" t="n"/>
      <c r="S558" s="32">
        <f>IF($F558="","",IF(IFERROR(VLOOKUP($F558,'维度字典'!$I$2:$J$50,2,0),"求和")="手工录入","",IF(IFERROR(VLOOKUP($F558,'维度字典'!$I$2:$J$50,2,0),"求和")="最新值",IFERROR(LOOKUP(9.99E+307,G558:R558),""),SUM(G558:R558))))</f>
        <v/>
      </c>
      <c r="T558" s="33" t="n"/>
      <c r="U558" s="33" t="n"/>
    </row>
    <row r="559">
      <c r="A559" s="26">
        <f>IF($B559="","",ROW()-3)</f>
        <v/>
      </c>
      <c r="B559" s="27" t="n"/>
      <c r="C559" s="27" t="n"/>
      <c r="D559" s="28" t="n"/>
      <c r="E559" s="29" t="n"/>
      <c r="F559" s="30" t="n"/>
      <c r="G559" s="31" t="n"/>
      <c r="H559" s="31" t="n"/>
      <c r="I559" s="31" t="n"/>
      <c r="J559" s="31" t="n"/>
      <c r="K559" s="31" t="n"/>
      <c r="L559" s="31" t="n"/>
      <c r="M559" s="31" t="n"/>
      <c r="N559" s="31" t="n"/>
      <c r="O559" s="31" t="n"/>
      <c r="P559" s="31" t="n"/>
      <c r="Q559" s="31" t="n"/>
      <c r="R559" s="31" t="n"/>
      <c r="S559" s="32">
        <f>IF($F559="","",IF(IFERROR(VLOOKUP($F559,'维度字典'!$I$2:$J$50,2,0),"求和")="手工录入","",IF(IFERROR(VLOOKUP($F559,'维度字典'!$I$2:$J$50,2,0),"求和")="最新值",IFERROR(LOOKUP(9.99E+307,G559:R559),""),SUM(G559:R559))))</f>
        <v/>
      </c>
      <c r="T559" s="33" t="n"/>
      <c r="U559" s="33" t="n"/>
    </row>
    <row r="560">
      <c r="A560" s="26">
        <f>IF($B560="","",ROW()-3)</f>
        <v/>
      </c>
      <c r="B560" s="27" t="n"/>
      <c r="C560" s="27" t="n"/>
      <c r="D560" s="28" t="n"/>
      <c r="E560" s="29" t="n"/>
      <c r="F560" s="30" t="n"/>
      <c r="G560" s="31" t="n"/>
      <c r="H560" s="31" t="n"/>
      <c r="I560" s="31" t="n"/>
      <c r="J560" s="31" t="n"/>
      <c r="K560" s="31" t="n"/>
      <c r="L560" s="31" t="n"/>
      <c r="M560" s="31" t="n"/>
      <c r="N560" s="31" t="n"/>
      <c r="O560" s="31" t="n"/>
      <c r="P560" s="31" t="n"/>
      <c r="Q560" s="31" t="n"/>
      <c r="R560" s="31" t="n"/>
      <c r="S560" s="32">
        <f>IF($F560="","",IF(IFERROR(VLOOKUP($F560,'维度字典'!$I$2:$J$50,2,0),"求和")="手工录入","",IF(IFERROR(VLOOKUP($F560,'维度字典'!$I$2:$J$50,2,0),"求和")="最新值",IFERROR(LOOKUP(9.99E+307,G560:R560),""),SUM(G560:R560))))</f>
        <v/>
      </c>
      <c r="T560" s="33" t="n"/>
      <c r="U560" s="33" t="n"/>
    </row>
    <row r="561">
      <c r="A561" s="26">
        <f>IF($B561="","",ROW()-3)</f>
        <v/>
      </c>
      <c r="B561" s="27" t="n"/>
      <c r="C561" s="27" t="n"/>
      <c r="D561" s="28" t="n"/>
      <c r="E561" s="29" t="n"/>
      <c r="F561" s="30" t="n"/>
      <c r="G561" s="31" t="n"/>
      <c r="H561" s="31" t="n"/>
      <c r="I561" s="31" t="n"/>
      <c r="J561" s="31" t="n"/>
      <c r="K561" s="31" t="n"/>
      <c r="L561" s="31" t="n"/>
      <c r="M561" s="31" t="n"/>
      <c r="N561" s="31" t="n"/>
      <c r="O561" s="31" t="n"/>
      <c r="P561" s="31" t="n"/>
      <c r="Q561" s="31" t="n"/>
      <c r="R561" s="31" t="n"/>
      <c r="S561" s="32">
        <f>IF($F561="","",IF(IFERROR(VLOOKUP($F561,'维度字典'!$I$2:$J$50,2,0),"求和")="手工录入","",IF(IFERROR(VLOOKUP($F561,'维度字典'!$I$2:$J$50,2,0),"求和")="最新值",IFERROR(LOOKUP(9.99E+307,G561:R561),""),SUM(G561:R561))))</f>
        <v/>
      </c>
      <c r="T561" s="33" t="n"/>
      <c r="U561" s="33" t="n"/>
    </row>
    <row r="562">
      <c r="A562" s="26">
        <f>IF($B562="","",ROW()-3)</f>
        <v/>
      </c>
      <c r="B562" s="27" t="n"/>
      <c r="C562" s="27" t="n"/>
      <c r="D562" s="28" t="n"/>
      <c r="E562" s="29" t="n"/>
      <c r="F562" s="30" t="n"/>
      <c r="G562" s="31" t="n"/>
      <c r="H562" s="31" t="n"/>
      <c r="I562" s="31" t="n"/>
      <c r="J562" s="31" t="n"/>
      <c r="K562" s="31" t="n"/>
      <c r="L562" s="31" t="n"/>
      <c r="M562" s="31" t="n"/>
      <c r="N562" s="31" t="n"/>
      <c r="O562" s="31" t="n"/>
      <c r="P562" s="31" t="n"/>
      <c r="Q562" s="31" t="n"/>
      <c r="R562" s="31" t="n"/>
      <c r="S562" s="32">
        <f>IF($F562="","",IF(IFERROR(VLOOKUP($F562,'维度字典'!$I$2:$J$50,2,0),"求和")="手工录入","",IF(IFERROR(VLOOKUP($F562,'维度字典'!$I$2:$J$50,2,0),"求和")="最新值",IFERROR(LOOKUP(9.99E+307,G562:R562),""),SUM(G562:R562))))</f>
        <v/>
      </c>
      <c r="T562" s="33" t="n"/>
      <c r="U562" s="33" t="n"/>
    </row>
    <row r="563">
      <c r="A563" s="26">
        <f>IF($B563="","",ROW()-3)</f>
        <v/>
      </c>
      <c r="B563" s="27" t="n"/>
      <c r="C563" s="27" t="n"/>
      <c r="D563" s="28" t="n"/>
      <c r="E563" s="29" t="n"/>
      <c r="F563" s="30" t="n"/>
      <c r="G563" s="31" t="n"/>
      <c r="H563" s="31" t="n"/>
      <c r="I563" s="31" t="n"/>
      <c r="J563" s="31" t="n"/>
      <c r="K563" s="31" t="n"/>
      <c r="L563" s="31" t="n"/>
      <c r="M563" s="31" t="n"/>
      <c r="N563" s="31" t="n"/>
      <c r="O563" s="31" t="n"/>
      <c r="P563" s="31" t="n"/>
      <c r="Q563" s="31" t="n"/>
      <c r="R563" s="31" t="n"/>
      <c r="S563" s="32">
        <f>IF($F563="","",IF(IFERROR(VLOOKUP($F563,'维度字典'!$I$2:$J$50,2,0),"求和")="手工录入","",IF(IFERROR(VLOOKUP($F563,'维度字典'!$I$2:$J$50,2,0),"求和")="最新值",IFERROR(LOOKUP(9.99E+307,G563:R563),""),SUM(G563:R563))))</f>
        <v/>
      </c>
      <c r="T563" s="33" t="n"/>
      <c r="U563" s="33" t="n"/>
    </row>
    <row r="564">
      <c r="A564" s="26">
        <f>IF($B564="","",ROW()-3)</f>
        <v/>
      </c>
      <c r="B564" s="27" t="n"/>
      <c r="C564" s="27" t="n"/>
      <c r="D564" s="28" t="n"/>
      <c r="E564" s="29" t="n"/>
      <c r="F564" s="30" t="n"/>
      <c r="G564" s="31" t="n"/>
      <c r="H564" s="31" t="n"/>
      <c r="I564" s="31" t="n"/>
      <c r="J564" s="31" t="n"/>
      <c r="K564" s="31" t="n"/>
      <c r="L564" s="31" t="n"/>
      <c r="M564" s="31" t="n"/>
      <c r="N564" s="31" t="n"/>
      <c r="O564" s="31" t="n"/>
      <c r="P564" s="31" t="n"/>
      <c r="Q564" s="31" t="n"/>
      <c r="R564" s="31" t="n"/>
      <c r="S564" s="32">
        <f>IF($F564="","",IF(IFERROR(VLOOKUP($F564,'维度字典'!$I$2:$J$50,2,0),"求和")="手工录入","",IF(IFERROR(VLOOKUP($F564,'维度字典'!$I$2:$J$50,2,0),"求和")="最新值",IFERROR(LOOKUP(9.99E+307,G564:R564),""),SUM(G564:R564))))</f>
        <v/>
      </c>
      <c r="T564" s="33" t="n"/>
      <c r="U564" s="33" t="n"/>
    </row>
    <row r="565">
      <c r="A565" s="26">
        <f>IF($B565="","",ROW()-3)</f>
        <v/>
      </c>
      <c r="B565" s="27" t="n"/>
      <c r="C565" s="27" t="n"/>
      <c r="D565" s="28" t="n"/>
      <c r="E565" s="29" t="n"/>
      <c r="F565" s="30" t="n"/>
      <c r="G565" s="31" t="n"/>
      <c r="H565" s="31" t="n"/>
      <c r="I565" s="31" t="n"/>
      <c r="J565" s="31" t="n"/>
      <c r="K565" s="31" t="n"/>
      <c r="L565" s="31" t="n"/>
      <c r="M565" s="31" t="n"/>
      <c r="N565" s="31" t="n"/>
      <c r="O565" s="31" t="n"/>
      <c r="P565" s="31" t="n"/>
      <c r="Q565" s="31" t="n"/>
      <c r="R565" s="31" t="n"/>
      <c r="S565" s="32">
        <f>IF($F565="","",IF(IFERROR(VLOOKUP($F565,'维度字典'!$I$2:$J$50,2,0),"求和")="手工录入","",IF(IFERROR(VLOOKUP($F565,'维度字典'!$I$2:$J$50,2,0),"求和")="最新值",IFERROR(LOOKUP(9.99E+307,G565:R565),""),SUM(G565:R565))))</f>
        <v/>
      </c>
      <c r="T565" s="33" t="n"/>
      <c r="U565" s="33" t="n"/>
    </row>
    <row r="566">
      <c r="A566" s="26">
        <f>IF($B566="","",ROW()-3)</f>
        <v/>
      </c>
      <c r="B566" s="27" t="n"/>
      <c r="C566" s="27" t="n"/>
      <c r="D566" s="28" t="n"/>
      <c r="E566" s="29" t="n"/>
      <c r="F566" s="30" t="n"/>
      <c r="G566" s="31" t="n"/>
      <c r="H566" s="31" t="n"/>
      <c r="I566" s="31" t="n"/>
      <c r="J566" s="31" t="n"/>
      <c r="K566" s="31" t="n"/>
      <c r="L566" s="31" t="n"/>
      <c r="M566" s="31" t="n"/>
      <c r="N566" s="31" t="n"/>
      <c r="O566" s="31" t="n"/>
      <c r="P566" s="31" t="n"/>
      <c r="Q566" s="31" t="n"/>
      <c r="R566" s="31" t="n"/>
      <c r="S566" s="32">
        <f>IF($F566="","",IF(IFERROR(VLOOKUP($F566,'维度字典'!$I$2:$J$50,2,0),"求和")="手工录入","",IF(IFERROR(VLOOKUP($F566,'维度字典'!$I$2:$J$50,2,0),"求和")="最新值",IFERROR(LOOKUP(9.99E+307,G566:R566),""),SUM(G566:R566))))</f>
        <v/>
      </c>
      <c r="T566" s="33" t="n"/>
      <c r="U566" s="33" t="n"/>
    </row>
    <row r="567">
      <c r="A567" s="26">
        <f>IF($B567="","",ROW()-3)</f>
        <v/>
      </c>
      <c r="B567" s="27" t="n"/>
      <c r="C567" s="27" t="n"/>
      <c r="D567" s="28" t="n"/>
      <c r="E567" s="29" t="n"/>
      <c r="F567" s="30" t="n"/>
      <c r="G567" s="31" t="n"/>
      <c r="H567" s="31" t="n"/>
      <c r="I567" s="31" t="n"/>
      <c r="J567" s="31" t="n"/>
      <c r="K567" s="31" t="n"/>
      <c r="L567" s="31" t="n"/>
      <c r="M567" s="31" t="n"/>
      <c r="N567" s="31" t="n"/>
      <c r="O567" s="31" t="n"/>
      <c r="P567" s="31" t="n"/>
      <c r="Q567" s="31" t="n"/>
      <c r="R567" s="31" t="n"/>
      <c r="S567" s="32">
        <f>IF($F567="","",IF(IFERROR(VLOOKUP($F567,'维度字典'!$I$2:$J$50,2,0),"求和")="手工录入","",IF(IFERROR(VLOOKUP($F567,'维度字典'!$I$2:$J$50,2,0),"求和")="最新值",IFERROR(LOOKUP(9.99E+307,G567:R567),""),SUM(G567:R567))))</f>
        <v/>
      </c>
      <c r="T567" s="33" t="n"/>
      <c r="U567" s="33" t="n"/>
    </row>
    <row r="568">
      <c r="A568" s="26">
        <f>IF($B568="","",ROW()-3)</f>
        <v/>
      </c>
      <c r="B568" s="27" t="n"/>
      <c r="C568" s="27" t="n"/>
      <c r="D568" s="28" t="n"/>
      <c r="E568" s="29" t="n"/>
      <c r="F568" s="30" t="n"/>
      <c r="G568" s="31" t="n"/>
      <c r="H568" s="31" t="n"/>
      <c r="I568" s="31" t="n"/>
      <c r="J568" s="31" t="n"/>
      <c r="K568" s="31" t="n"/>
      <c r="L568" s="31" t="n"/>
      <c r="M568" s="31" t="n"/>
      <c r="N568" s="31" t="n"/>
      <c r="O568" s="31" t="n"/>
      <c r="P568" s="31" t="n"/>
      <c r="Q568" s="31" t="n"/>
      <c r="R568" s="31" t="n"/>
      <c r="S568" s="32">
        <f>IF($F568="","",IF(IFERROR(VLOOKUP($F568,'维度字典'!$I$2:$J$50,2,0),"求和")="手工录入","",IF(IFERROR(VLOOKUP($F568,'维度字典'!$I$2:$J$50,2,0),"求和")="最新值",IFERROR(LOOKUP(9.99E+307,G568:R568),""),SUM(G568:R568))))</f>
        <v/>
      </c>
      <c r="T568" s="33" t="n"/>
      <c r="U568" s="33" t="n"/>
    </row>
    <row r="569">
      <c r="A569" s="26">
        <f>IF($B569="","",ROW()-3)</f>
        <v/>
      </c>
      <c r="B569" s="27" t="n"/>
      <c r="C569" s="27" t="n"/>
      <c r="D569" s="28" t="n"/>
      <c r="E569" s="29" t="n"/>
      <c r="F569" s="30" t="n"/>
      <c r="G569" s="31" t="n"/>
      <c r="H569" s="31" t="n"/>
      <c r="I569" s="31" t="n"/>
      <c r="J569" s="31" t="n"/>
      <c r="K569" s="31" t="n"/>
      <c r="L569" s="31" t="n"/>
      <c r="M569" s="31" t="n"/>
      <c r="N569" s="31" t="n"/>
      <c r="O569" s="31" t="n"/>
      <c r="P569" s="31" t="n"/>
      <c r="Q569" s="31" t="n"/>
      <c r="R569" s="31" t="n"/>
      <c r="S569" s="32">
        <f>IF($F569="","",IF(IFERROR(VLOOKUP($F569,'维度字典'!$I$2:$J$50,2,0),"求和")="手工录入","",IF(IFERROR(VLOOKUP($F569,'维度字典'!$I$2:$J$50,2,0),"求和")="最新值",IFERROR(LOOKUP(9.99E+307,G569:R569),""),SUM(G569:R569))))</f>
        <v/>
      </c>
      <c r="T569" s="33" t="n"/>
      <c r="U569" s="33" t="n"/>
    </row>
    <row r="570">
      <c r="A570" s="26">
        <f>IF($B570="","",ROW()-3)</f>
        <v/>
      </c>
      <c r="B570" s="27" t="n"/>
      <c r="C570" s="27" t="n"/>
      <c r="D570" s="28" t="n"/>
      <c r="E570" s="29" t="n"/>
      <c r="F570" s="30" t="n"/>
      <c r="G570" s="31" t="n"/>
      <c r="H570" s="31" t="n"/>
      <c r="I570" s="31" t="n"/>
      <c r="J570" s="31" t="n"/>
      <c r="K570" s="31" t="n"/>
      <c r="L570" s="31" t="n"/>
      <c r="M570" s="31" t="n"/>
      <c r="N570" s="31" t="n"/>
      <c r="O570" s="31" t="n"/>
      <c r="P570" s="31" t="n"/>
      <c r="Q570" s="31" t="n"/>
      <c r="R570" s="31" t="n"/>
      <c r="S570" s="32">
        <f>IF($F570="","",IF(IFERROR(VLOOKUP($F570,'维度字典'!$I$2:$J$50,2,0),"求和")="手工录入","",IF(IFERROR(VLOOKUP($F570,'维度字典'!$I$2:$J$50,2,0),"求和")="最新值",IFERROR(LOOKUP(9.99E+307,G570:R570),""),SUM(G570:R570))))</f>
        <v/>
      </c>
      <c r="T570" s="33" t="n"/>
      <c r="U570" s="33" t="n"/>
    </row>
    <row r="571">
      <c r="A571" s="26">
        <f>IF($B571="","",ROW()-3)</f>
        <v/>
      </c>
      <c r="B571" s="27" t="n"/>
      <c r="C571" s="27" t="n"/>
      <c r="D571" s="28" t="n"/>
      <c r="E571" s="29" t="n"/>
      <c r="F571" s="30" t="n"/>
      <c r="G571" s="31" t="n"/>
      <c r="H571" s="31" t="n"/>
      <c r="I571" s="31" t="n"/>
      <c r="J571" s="31" t="n"/>
      <c r="K571" s="31" t="n"/>
      <c r="L571" s="31" t="n"/>
      <c r="M571" s="31" t="n"/>
      <c r="N571" s="31" t="n"/>
      <c r="O571" s="31" t="n"/>
      <c r="P571" s="31" t="n"/>
      <c r="Q571" s="31" t="n"/>
      <c r="R571" s="31" t="n"/>
      <c r="S571" s="32">
        <f>IF($F571="","",IF(IFERROR(VLOOKUP($F571,'维度字典'!$I$2:$J$50,2,0),"求和")="手工录入","",IF(IFERROR(VLOOKUP($F571,'维度字典'!$I$2:$J$50,2,0),"求和")="最新值",IFERROR(LOOKUP(9.99E+307,G571:R571),""),SUM(G571:R571))))</f>
        <v/>
      </c>
      <c r="T571" s="33" t="n"/>
      <c r="U571" s="33" t="n"/>
    </row>
    <row r="572">
      <c r="A572" s="26">
        <f>IF($B572="","",ROW()-3)</f>
        <v/>
      </c>
      <c r="B572" s="27" t="n"/>
      <c r="C572" s="27" t="n"/>
      <c r="D572" s="28" t="n"/>
      <c r="E572" s="29" t="n"/>
      <c r="F572" s="30" t="n"/>
      <c r="G572" s="31" t="n"/>
      <c r="H572" s="31" t="n"/>
      <c r="I572" s="31" t="n"/>
      <c r="J572" s="31" t="n"/>
      <c r="K572" s="31" t="n"/>
      <c r="L572" s="31" t="n"/>
      <c r="M572" s="31" t="n"/>
      <c r="N572" s="31" t="n"/>
      <c r="O572" s="31" t="n"/>
      <c r="P572" s="31" t="n"/>
      <c r="Q572" s="31" t="n"/>
      <c r="R572" s="31" t="n"/>
      <c r="S572" s="32">
        <f>IF($F572="","",IF(IFERROR(VLOOKUP($F572,'维度字典'!$I$2:$J$50,2,0),"求和")="手工录入","",IF(IFERROR(VLOOKUP($F572,'维度字典'!$I$2:$J$50,2,0),"求和")="最新值",IFERROR(LOOKUP(9.99E+307,G572:R572),""),SUM(G572:R572))))</f>
        <v/>
      </c>
      <c r="T572" s="33" t="n"/>
      <c r="U572" s="33" t="n"/>
    </row>
    <row r="573">
      <c r="A573" s="26">
        <f>IF($B573="","",ROW()-3)</f>
        <v/>
      </c>
      <c r="B573" s="27" t="n"/>
      <c r="C573" s="27" t="n"/>
      <c r="D573" s="28" t="n"/>
      <c r="E573" s="29" t="n"/>
      <c r="F573" s="30" t="n"/>
      <c r="G573" s="31" t="n"/>
      <c r="H573" s="31" t="n"/>
      <c r="I573" s="31" t="n"/>
      <c r="J573" s="31" t="n"/>
      <c r="K573" s="31" t="n"/>
      <c r="L573" s="31" t="n"/>
      <c r="M573" s="31" t="n"/>
      <c r="N573" s="31" t="n"/>
      <c r="O573" s="31" t="n"/>
      <c r="P573" s="31" t="n"/>
      <c r="Q573" s="31" t="n"/>
      <c r="R573" s="31" t="n"/>
      <c r="S573" s="32">
        <f>IF($F573="","",IF(IFERROR(VLOOKUP($F573,'维度字典'!$I$2:$J$50,2,0),"求和")="手工录入","",IF(IFERROR(VLOOKUP($F573,'维度字典'!$I$2:$J$50,2,0),"求和")="最新值",IFERROR(LOOKUP(9.99E+307,G573:R573),""),SUM(G573:R573))))</f>
        <v/>
      </c>
      <c r="T573" s="33" t="n"/>
      <c r="U573" s="33" t="n"/>
    </row>
    <row r="574">
      <c r="A574" s="26">
        <f>IF($B574="","",ROW()-3)</f>
        <v/>
      </c>
      <c r="B574" s="27" t="n"/>
      <c r="C574" s="27" t="n"/>
      <c r="D574" s="28" t="n"/>
      <c r="E574" s="29" t="n"/>
      <c r="F574" s="30" t="n"/>
      <c r="G574" s="31" t="n"/>
      <c r="H574" s="31" t="n"/>
      <c r="I574" s="31" t="n"/>
      <c r="J574" s="31" t="n"/>
      <c r="K574" s="31" t="n"/>
      <c r="L574" s="31" t="n"/>
      <c r="M574" s="31" t="n"/>
      <c r="N574" s="31" t="n"/>
      <c r="O574" s="31" t="n"/>
      <c r="P574" s="31" t="n"/>
      <c r="Q574" s="31" t="n"/>
      <c r="R574" s="31" t="n"/>
      <c r="S574" s="32">
        <f>IF($F574="","",IF(IFERROR(VLOOKUP($F574,'维度字典'!$I$2:$J$50,2,0),"求和")="手工录入","",IF(IFERROR(VLOOKUP($F574,'维度字典'!$I$2:$J$50,2,0),"求和")="最新值",IFERROR(LOOKUP(9.99E+307,G574:R574),""),SUM(G574:R574))))</f>
        <v/>
      </c>
      <c r="T574" s="33" t="n"/>
      <c r="U574" s="33" t="n"/>
    </row>
    <row r="575">
      <c r="A575" s="26">
        <f>IF($B575="","",ROW()-3)</f>
        <v/>
      </c>
      <c r="B575" s="27" t="n"/>
      <c r="C575" s="27" t="n"/>
      <c r="D575" s="28" t="n"/>
      <c r="E575" s="29" t="n"/>
      <c r="F575" s="30" t="n"/>
      <c r="G575" s="31" t="n"/>
      <c r="H575" s="31" t="n"/>
      <c r="I575" s="31" t="n"/>
      <c r="J575" s="31" t="n"/>
      <c r="K575" s="31" t="n"/>
      <c r="L575" s="31" t="n"/>
      <c r="M575" s="31" t="n"/>
      <c r="N575" s="31" t="n"/>
      <c r="O575" s="31" t="n"/>
      <c r="P575" s="31" t="n"/>
      <c r="Q575" s="31" t="n"/>
      <c r="R575" s="31" t="n"/>
      <c r="S575" s="32">
        <f>IF($F575="","",IF(IFERROR(VLOOKUP($F575,'维度字典'!$I$2:$J$50,2,0),"求和")="手工录入","",IF(IFERROR(VLOOKUP($F575,'维度字典'!$I$2:$J$50,2,0),"求和")="最新值",IFERROR(LOOKUP(9.99E+307,G575:R575),""),SUM(G575:R575))))</f>
        <v/>
      </c>
      <c r="T575" s="33" t="n"/>
      <c r="U575" s="33" t="n"/>
    </row>
    <row r="576">
      <c r="A576" s="26">
        <f>IF($B576="","",ROW()-3)</f>
        <v/>
      </c>
      <c r="B576" s="27" t="n"/>
      <c r="C576" s="27" t="n"/>
      <c r="D576" s="28" t="n"/>
      <c r="E576" s="29" t="n"/>
      <c r="F576" s="30" t="n"/>
      <c r="G576" s="31" t="n"/>
      <c r="H576" s="31" t="n"/>
      <c r="I576" s="31" t="n"/>
      <c r="J576" s="31" t="n"/>
      <c r="K576" s="31" t="n"/>
      <c r="L576" s="31" t="n"/>
      <c r="M576" s="31" t="n"/>
      <c r="N576" s="31" t="n"/>
      <c r="O576" s="31" t="n"/>
      <c r="P576" s="31" t="n"/>
      <c r="Q576" s="31" t="n"/>
      <c r="R576" s="31" t="n"/>
      <c r="S576" s="32">
        <f>IF($F576="","",IF(IFERROR(VLOOKUP($F576,'维度字典'!$I$2:$J$50,2,0),"求和")="手工录入","",IF(IFERROR(VLOOKUP($F576,'维度字典'!$I$2:$J$50,2,0),"求和")="最新值",IFERROR(LOOKUP(9.99E+307,G576:R576),""),SUM(G576:R576))))</f>
        <v/>
      </c>
      <c r="T576" s="33" t="n"/>
      <c r="U576" s="33" t="n"/>
    </row>
    <row r="577">
      <c r="A577" s="26">
        <f>IF($B577="","",ROW()-3)</f>
        <v/>
      </c>
      <c r="B577" s="27" t="n"/>
      <c r="C577" s="27" t="n"/>
      <c r="D577" s="28" t="n"/>
      <c r="E577" s="29" t="n"/>
      <c r="F577" s="30" t="n"/>
      <c r="G577" s="31" t="n"/>
      <c r="H577" s="31" t="n"/>
      <c r="I577" s="31" t="n"/>
      <c r="J577" s="31" t="n"/>
      <c r="K577" s="31" t="n"/>
      <c r="L577" s="31" t="n"/>
      <c r="M577" s="31" t="n"/>
      <c r="N577" s="31" t="n"/>
      <c r="O577" s="31" t="n"/>
      <c r="P577" s="31" t="n"/>
      <c r="Q577" s="31" t="n"/>
      <c r="R577" s="31" t="n"/>
      <c r="S577" s="32">
        <f>IF($F577="","",IF(IFERROR(VLOOKUP($F577,'维度字典'!$I$2:$J$50,2,0),"求和")="手工录入","",IF(IFERROR(VLOOKUP($F577,'维度字典'!$I$2:$J$50,2,0),"求和")="最新值",IFERROR(LOOKUP(9.99E+307,G577:R577),""),SUM(G577:R577))))</f>
        <v/>
      </c>
      <c r="T577" s="33" t="n"/>
      <c r="U577" s="33" t="n"/>
    </row>
    <row r="578">
      <c r="A578" s="26">
        <f>IF($B578="","",ROW()-3)</f>
        <v/>
      </c>
      <c r="B578" s="27" t="n"/>
      <c r="C578" s="27" t="n"/>
      <c r="D578" s="28" t="n"/>
      <c r="E578" s="29" t="n"/>
      <c r="F578" s="30" t="n"/>
      <c r="G578" s="31" t="n"/>
      <c r="H578" s="31" t="n"/>
      <c r="I578" s="31" t="n"/>
      <c r="J578" s="31" t="n"/>
      <c r="K578" s="31" t="n"/>
      <c r="L578" s="31" t="n"/>
      <c r="M578" s="31" t="n"/>
      <c r="N578" s="31" t="n"/>
      <c r="O578" s="31" t="n"/>
      <c r="P578" s="31" t="n"/>
      <c r="Q578" s="31" t="n"/>
      <c r="R578" s="31" t="n"/>
      <c r="S578" s="32">
        <f>IF($F578="","",IF(IFERROR(VLOOKUP($F578,'维度字典'!$I$2:$J$50,2,0),"求和")="手工录入","",IF(IFERROR(VLOOKUP($F578,'维度字典'!$I$2:$J$50,2,0),"求和")="最新值",IFERROR(LOOKUP(9.99E+307,G578:R578),""),SUM(G578:R578))))</f>
        <v/>
      </c>
      <c r="T578" s="33" t="n"/>
      <c r="U578" s="33" t="n"/>
    </row>
    <row r="579">
      <c r="A579" s="26">
        <f>IF($B579="","",ROW()-3)</f>
        <v/>
      </c>
      <c r="B579" s="27" t="n"/>
      <c r="C579" s="27" t="n"/>
      <c r="D579" s="28" t="n"/>
      <c r="E579" s="29" t="n"/>
      <c r="F579" s="30" t="n"/>
      <c r="G579" s="31" t="n"/>
      <c r="H579" s="31" t="n"/>
      <c r="I579" s="31" t="n"/>
      <c r="J579" s="31" t="n"/>
      <c r="K579" s="31" t="n"/>
      <c r="L579" s="31" t="n"/>
      <c r="M579" s="31" t="n"/>
      <c r="N579" s="31" t="n"/>
      <c r="O579" s="31" t="n"/>
      <c r="P579" s="31" t="n"/>
      <c r="Q579" s="31" t="n"/>
      <c r="R579" s="31" t="n"/>
      <c r="S579" s="32">
        <f>IF($F579="","",IF(IFERROR(VLOOKUP($F579,'维度字典'!$I$2:$J$50,2,0),"求和")="手工录入","",IF(IFERROR(VLOOKUP($F579,'维度字典'!$I$2:$J$50,2,0),"求和")="最新值",IFERROR(LOOKUP(9.99E+307,G579:R579),""),SUM(G579:R579))))</f>
        <v/>
      </c>
      <c r="T579" s="33" t="n"/>
      <c r="U579" s="33" t="n"/>
    </row>
    <row r="580">
      <c r="A580" s="26">
        <f>IF($B580="","",ROW()-3)</f>
        <v/>
      </c>
      <c r="B580" s="27" t="n"/>
      <c r="C580" s="27" t="n"/>
      <c r="D580" s="28" t="n"/>
      <c r="E580" s="29" t="n"/>
      <c r="F580" s="30" t="n"/>
      <c r="G580" s="31" t="n"/>
      <c r="H580" s="31" t="n"/>
      <c r="I580" s="31" t="n"/>
      <c r="J580" s="31" t="n"/>
      <c r="K580" s="31" t="n"/>
      <c r="L580" s="31" t="n"/>
      <c r="M580" s="31" t="n"/>
      <c r="N580" s="31" t="n"/>
      <c r="O580" s="31" t="n"/>
      <c r="P580" s="31" t="n"/>
      <c r="Q580" s="31" t="n"/>
      <c r="R580" s="31" t="n"/>
      <c r="S580" s="32">
        <f>IF($F580="","",IF(IFERROR(VLOOKUP($F580,'维度字典'!$I$2:$J$50,2,0),"求和")="手工录入","",IF(IFERROR(VLOOKUP($F580,'维度字典'!$I$2:$J$50,2,0),"求和")="最新值",IFERROR(LOOKUP(9.99E+307,G580:R580),""),SUM(G580:R580))))</f>
        <v/>
      </c>
      <c r="T580" s="33" t="n"/>
      <c r="U580" s="33" t="n"/>
    </row>
    <row r="581">
      <c r="A581" s="26">
        <f>IF($B581="","",ROW()-3)</f>
        <v/>
      </c>
      <c r="B581" s="27" t="n"/>
      <c r="C581" s="27" t="n"/>
      <c r="D581" s="28" t="n"/>
      <c r="E581" s="29" t="n"/>
      <c r="F581" s="30" t="n"/>
      <c r="G581" s="31" t="n"/>
      <c r="H581" s="31" t="n"/>
      <c r="I581" s="31" t="n"/>
      <c r="J581" s="31" t="n"/>
      <c r="K581" s="31" t="n"/>
      <c r="L581" s="31" t="n"/>
      <c r="M581" s="31" t="n"/>
      <c r="N581" s="31" t="n"/>
      <c r="O581" s="31" t="n"/>
      <c r="P581" s="31" t="n"/>
      <c r="Q581" s="31" t="n"/>
      <c r="R581" s="31" t="n"/>
      <c r="S581" s="32">
        <f>IF($F581="","",IF(IFERROR(VLOOKUP($F581,'维度字典'!$I$2:$J$50,2,0),"求和")="手工录入","",IF(IFERROR(VLOOKUP($F581,'维度字典'!$I$2:$J$50,2,0),"求和")="最新值",IFERROR(LOOKUP(9.99E+307,G581:R581),""),SUM(G581:R581))))</f>
        <v/>
      </c>
      <c r="T581" s="33" t="n"/>
      <c r="U581" s="33" t="n"/>
    </row>
    <row r="582">
      <c r="A582" s="26">
        <f>IF($B582="","",ROW()-3)</f>
        <v/>
      </c>
      <c r="B582" s="27" t="n"/>
      <c r="C582" s="27" t="n"/>
      <c r="D582" s="28" t="n"/>
      <c r="E582" s="29" t="n"/>
      <c r="F582" s="30" t="n"/>
      <c r="G582" s="31" t="n"/>
      <c r="H582" s="31" t="n"/>
      <c r="I582" s="31" t="n"/>
      <c r="J582" s="31" t="n"/>
      <c r="K582" s="31" t="n"/>
      <c r="L582" s="31" t="n"/>
      <c r="M582" s="31" t="n"/>
      <c r="N582" s="31" t="n"/>
      <c r="O582" s="31" t="n"/>
      <c r="P582" s="31" t="n"/>
      <c r="Q582" s="31" t="n"/>
      <c r="R582" s="31" t="n"/>
      <c r="S582" s="32">
        <f>IF($F582="","",IF(IFERROR(VLOOKUP($F582,'维度字典'!$I$2:$J$50,2,0),"求和")="手工录入","",IF(IFERROR(VLOOKUP($F582,'维度字典'!$I$2:$J$50,2,0),"求和")="最新值",IFERROR(LOOKUP(9.99E+307,G582:R582),""),SUM(G582:R582))))</f>
        <v/>
      </c>
      <c r="T582" s="33" t="n"/>
      <c r="U582" s="33" t="n"/>
    </row>
    <row r="583">
      <c r="A583" s="26">
        <f>IF($B583="","",ROW()-3)</f>
        <v/>
      </c>
      <c r="B583" s="27" t="n"/>
      <c r="C583" s="27" t="n"/>
      <c r="D583" s="28" t="n"/>
      <c r="E583" s="29" t="n"/>
      <c r="F583" s="30" t="n"/>
      <c r="G583" s="31" t="n"/>
      <c r="H583" s="31" t="n"/>
      <c r="I583" s="31" t="n"/>
      <c r="J583" s="31" t="n"/>
      <c r="K583" s="31" t="n"/>
      <c r="L583" s="31" t="n"/>
      <c r="M583" s="31" t="n"/>
      <c r="N583" s="31" t="n"/>
      <c r="O583" s="31" t="n"/>
      <c r="P583" s="31" t="n"/>
      <c r="Q583" s="31" t="n"/>
      <c r="R583" s="31" t="n"/>
      <c r="S583" s="32">
        <f>IF($F583="","",IF(IFERROR(VLOOKUP($F583,'维度字典'!$I$2:$J$50,2,0),"求和")="手工录入","",IF(IFERROR(VLOOKUP($F583,'维度字典'!$I$2:$J$50,2,0),"求和")="最新值",IFERROR(LOOKUP(9.99E+307,G583:R583),""),SUM(G583:R583))))</f>
        <v/>
      </c>
      <c r="T583" s="33" t="n"/>
      <c r="U583" s="33" t="n"/>
    </row>
    <row r="584">
      <c r="A584" s="26">
        <f>IF($B584="","",ROW()-3)</f>
        <v/>
      </c>
      <c r="B584" s="27" t="n"/>
      <c r="C584" s="27" t="n"/>
      <c r="D584" s="28" t="n"/>
      <c r="E584" s="29" t="n"/>
      <c r="F584" s="30" t="n"/>
      <c r="G584" s="31" t="n"/>
      <c r="H584" s="31" t="n"/>
      <c r="I584" s="31" t="n"/>
      <c r="J584" s="31" t="n"/>
      <c r="K584" s="31" t="n"/>
      <c r="L584" s="31" t="n"/>
      <c r="M584" s="31" t="n"/>
      <c r="N584" s="31" t="n"/>
      <c r="O584" s="31" t="n"/>
      <c r="P584" s="31" t="n"/>
      <c r="Q584" s="31" t="n"/>
      <c r="R584" s="31" t="n"/>
      <c r="S584" s="32">
        <f>IF($F584="","",IF(IFERROR(VLOOKUP($F584,'维度字典'!$I$2:$J$50,2,0),"求和")="手工录入","",IF(IFERROR(VLOOKUP($F584,'维度字典'!$I$2:$J$50,2,0),"求和")="最新值",IFERROR(LOOKUP(9.99E+307,G584:R584),""),SUM(G584:R584))))</f>
        <v/>
      </c>
      <c r="T584" s="33" t="n"/>
      <c r="U584" s="33" t="n"/>
    </row>
    <row r="585">
      <c r="A585" s="26">
        <f>IF($B585="","",ROW()-3)</f>
        <v/>
      </c>
      <c r="B585" s="27" t="n"/>
      <c r="C585" s="27" t="n"/>
      <c r="D585" s="28" t="n"/>
      <c r="E585" s="29" t="n"/>
      <c r="F585" s="30" t="n"/>
      <c r="G585" s="31" t="n"/>
      <c r="H585" s="31" t="n"/>
      <c r="I585" s="31" t="n"/>
      <c r="J585" s="31" t="n"/>
      <c r="K585" s="31" t="n"/>
      <c r="L585" s="31" t="n"/>
      <c r="M585" s="31" t="n"/>
      <c r="N585" s="31" t="n"/>
      <c r="O585" s="31" t="n"/>
      <c r="P585" s="31" t="n"/>
      <c r="Q585" s="31" t="n"/>
      <c r="R585" s="31" t="n"/>
      <c r="S585" s="32">
        <f>IF($F585="","",IF(IFERROR(VLOOKUP($F585,'维度字典'!$I$2:$J$50,2,0),"求和")="手工录入","",IF(IFERROR(VLOOKUP($F585,'维度字典'!$I$2:$J$50,2,0),"求和")="最新值",IFERROR(LOOKUP(9.99E+307,G585:R585),""),SUM(G585:R585))))</f>
        <v/>
      </c>
      <c r="T585" s="33" t="n"/>
      <c r="U585" s="33" t="n"/>
    </row>
    <row r="586">
      <c r="A586" s="26">
        <f>IF($B586="","",ROW()-3)</f>
        <v/>
      </c>
      <c r="B586" s="27" t="n"/>
      <c r="C586" s="27" t="n"/>
      <c r="D586" s="28" t="n"/>
      <c r="E586" s="29" t="n"/>
      <c r="F586" s="30" t="n"/>
      <c r="G586" s="31" t="n"/>
      <c r="H586" s="31" t="n"/>
      <c r="I586" s="31" t="n"/>
      <c r="J586" s="31" t="n"/>
      <c r="K586" s="31" t="n"/>
      <c r="L586" s="31" t="n"/>
      <c r="M586" s="31" t="n"/>
      <c r="N586" s="31" t="n"/>
      <c r="O586" s="31" t="n"/>
      <c r="P586" s="31" t="n"/>
      <c r="Q586" s="31" t="n"/>
      <c r="R586" s="31" t="n"/>
      <c r="S586" s="32">
        <f>IF($F586="","",IF(IFERROR(VLOOKUP($F586,'维度字典'!$I$2:$J$50,2,0),"求和")="手工录入","",IF(IFERROR(VLOOKUP($F586,'维度字典'!$I$2:$J$50,2,0),"求和")="最新值",IFERROR(LOOKUP(9.99E+307,G586:R586),""),SUM(G586:R586))))</f>
        <v/>
      </c>
      <c r="T586" s="33" t="n"/>
      <c r="U586" s="33" t="n"/>
    </row>
    <row r="587">
      <c r="A587" s="26">
        <f>IF($B587="","",ROW()-3)</f>
        <v/>
      </c>
      <c r="B587" s="27" t="n"/>
      <c r="C587" s="27" t="n"/>
      <c r="D587" s="28" t="n"/>
      <c r="E587" s="29" t="n"/>
      <c r="F587" s="30" t="n"/>
      <c r="G587" s="31" t="n"/>
      <c r="H587" s="31" t="n"/>
      <c r="I587" s="31" t="n"/>
      <c r="J587" s="31" t="n"/>
      <c r="K587" s="31" t="n"/>
      <c r="L587" s="31" t="n"/>
      <c r="M587" s="31" t="n"/>
      <c r="N587" s="31" t="n"/>
      <c r="O587" s="31" t="n"/>
      <c r="P587" s="31" t="n"/>
      <c r="Q587" s="31" t="n"/>
      <c r="R587" s="31" t="n"/>
      <c r="S587" s="32">
        <f>IF($F587="","",IF(IFERROR(VLOOKUP($F587,'维度字典'!$I$2:$J$50,2,0),"求和")="手工录入","",IF(IFERROR(VLOOKUP($F587,'维度字典'!$I$2:$J$50,2,0),"求和")="最新值",IFERROR(LOOKUP(9.99E+307,G587:R587),""),SUM(G587:R587))))</f>
        <v/>
      </c>
      <c r="T587" s="33" t="n"/>
      <c r="U587" s="33" t="n"/>
    </row>
    <row r="588">
      <c r="A588" s="26">
        <f>IF($B588="","",ROW()-3)</f>
        <v/>
      </c>
      <c r="B588" s="27" t="n"/>
      <c r="C588" s="27" t="n"/>
      <c r="D588" s="28" t="n"/>
      <c r="E588" s="29" t="n"/>
      <c r="F588" s="30" t="n"/>
      <c r="G588" s="31" t="n"/>
      <c r="H588" s="31" t="n"/>
      <c r="I588" s="31" t="n"/>
      <c r="J588" s="31" t="n"/>
      <c r="K588" s="31" t="n"/>
      <c r="L588" s="31" t="n"/>
      <c r="M588" s="31" t="n"/>
      <c r="N588" s="31" t="n"/>
      <c r="O588" s="31" t="n"/>
      <c r="P588" s="31" t="n"/>
      <c r="Q588" s="31" t="n"/>
      <c r="R588" s="31" t="n"/>
      <c r="S588" s="32">
        <f>IF($F588="","",IF(IFERROR(VLOOKUP($F588,'维度字典'!$I$2:$J$50,2,0),"求和")="手工录入","",IF(IFERROR(VLOOKUP($F588,'维度字典'!$I$2:$J$50,2,0),"求和")="最新值",IFERROR(LOOKUP(9.99E+307,G588:R588),""),SUM(G588:R588))))</f>
        <v/>
      </c>
      <c r="T588" s="33" t="n"/>
      <c r="U588" s="33" t="n"/>
    </row>
    <row r="589">
      <c r="A589" s="26">
        <f>IF($B589="","",ROW()-3)</f>
        <v/>
      </c>
      <c r="B589" s="27" t="n"/>
      <c r="C589" s="27" t="n"/>
      <c r="D589" s="28" t="n"/>
      <c r="E589" s="29" t="n"/>
      <c r="F589" s="30" t="n"/>
      <c r="G589" s="31" t="n"/>
      <c r="H589" s="31" t="n"/>
      <c r="I589" s="31" t="n"/>
      <c r="J589" s="31" t="n"/>
      <c r="K589" s="31" t="n"/>
      <c r="L589" s="31" t="n"/>
      <c r="M589" s="31" t="n"/>
      <c r="N589" s="31" t="n"/>
      <c r="O589" s="31" t="n"/>
      <c r="P589" s="31" t="n"/>
      <c r="Q589" s="31" t="n"/>
      <c r="R589" s="31" t="n"/>
      <c r="S589" s="32">
        <f>IF($F589="","",IF(IFERROR(VLOOKUP($F589,'维度字典'!$I$2:$J$50,2,0),"求和")="手工录入","",IF(IFERROR(VLOOKUP($F589,'维度字典'!$I$2:$J$50,2,0),"求和")="最新值",IFERROR(LOOKUP(9.99E+307,G589:R589),""),SUM(G589:R589))))</f>
        <v/>
      </c>
      <c r="T589" s="33" t="n"/>
      <c r="U589" s="33" t="n"/>
    </row>
    <row r="590">
      <c r="A590" s="26">
        <f>IF($B590="","",ROW()-3)</f>
        <v/>
      </c>
      <c r="B590" s="27" t="n"/>
      <c r="C590" s="27" t="n"/>
      <c r="D590" s="28" t="n"/>
      <c r="E590" s="29" t="n"/>
      <c r="F590" s="30" t="n"/>
      <c r="G590" s="31" t="n"/>
      <c r="H590" s="31" t="n"/>
      <c r="I590" s="31" t="n"/>
      <c r="J590" s="31" t="n"/>
      <c r="K590" s="31" t="n"/>
      <c r="L590" s="31" t="n"/>
      <c r="M590" s="31" t="n"/>
      <c r="N590" s="31" t="n"/>
      <c r="O590" s="31" t="n"/>
      <c r="P590" s="31" t="n"/>
      <c r="Q590" s="31" t="n"/>
      <c r="R590" s="31" t="n"/>
      <c r="S590" s="32">
        <f>IF($F590="","",IF(IFERROR(VLOOKUP($F590,'维度字典'!$I$2:$J$50,2,0),"求和")="手工录入","",IF(IFERROR(VLOOKUP($F590,'维度字典'!$I$2:$J$50,2,0),"求和")="最新值",IFERROR(LOOKUP(9.99E+307,G590:R590),""),SUM(G590:R590))))</f>
        <v/>
      </c>
      <c r="T590" s="33" t="n"/>
      <c r="U590" s="33" t="n"/>
    </row>
    <row r="591">
      <c r="A591" s="26">
        <f>IF($B591="","",ROW()-3)</f>
        <v/>
      </c>
      <c r="B591" s="27" t="n"/>
      <c r="C591" s="27" t="n"/>
      <c r="D591" s="28" t="n"/>
      <c r="E591" s="29" t="n"/>
      <c r="F591" s="30" t="n"/>
      <c r="G591" s="31" t="n"/>
      <c r="H591" s="31" t="n"/>
      <c r="I591" s="31" t="n"/>
      <c r="J591" s="31" t="n"/>
      <c r="K591" s="31" t="n"/>
      <c r="L591" s="31" t="n"/>
      <c r="M591" s="31" t="n"/>
      <c r="N591" s="31" t="n"/>
      <c r="O591" s="31" t="n"/>
      <c r="P591" s="31" t="n"/>
      <c r="Q591" s="31" t="n"/>
      <c r="R591" s="31" t="n"/>
      <c r="S591" s="32">
        <f>IF($F591="","",IF(IFERROR(VLOOKUP($F591,'维度字典'!$I$2:$J$50,2,0),"求和")="手工录入","",IF(IFERROR(VLOOKUP($F591,'维度字典'!$I$2:$J$50,2,0),"求和")="最新值",IFERROR(LOOKUP(9.99E+307,G591:R591),""),SUM(G591:R591))))</f>
        <v/>
      </c>
      <c r="T591" s="33" t="n"/>
      <c r="U591" s="33" t="n"/>
    </row>
    <row r="592">
      <c r="A592" s="26">
        <f>IF($B592="","",ROW()-3)</f>
        <v/>
      </c>
      <c r="B592" s="27" t="n"/>
      <c r="C592" s="27" t="n"/>
      <c r="D592" s="28" t="n"/>
      <c r="E592" s="29" t="n"/>
      <c r="F592" s="30" t="n"/>
      <c r="G592" s="31" t="n"/>
      <c r="H592" s="31" t="n"/>
      <c r="I592" s="31" t="n"/>
      <c r="J592" s="31" t="n"/>
      <c r="K592" s="31" t="n"/>
      <c r="L592" s="31" t="n"/>
      <c r="M592" s="31" t="n"/>
      <c r="N592" s="31" t="n"/>
      <c r="O592" s="31" t="n"/>
      <c r="P592" s="31" t="n"/>
      <c r="Q592" s="31" t="n"/>
      <c r="R592" s="31" t="n"/>
      <c r="S592" s="32">
        <f>IF($F592="","",IF(IFERROR(VLOOKUP($F592,'维度字典'!$I$2:$J$50,2,0),"求和")="手工录入","",IF(IFERROR(VLOOKUP($F592,'维度字典'!$I$2:$J$50,2,0),"求和")="最新值",IFERROR(LOOKUP(9.99E+307,G592:R592),""),SUM(G592:R592))))</f>
        <v/>
      </c>
      <c r="T592" s="33" t="n"/>
      <c r="U592" s="33" t="n"/>
    </row>
    <row r="593">
      <c r="A593" s="26">
        <f>IF($B593="","",ROW()-3)</f>
        <v/>
      </c>
      <c r="B593" s="27" t="n"/>
      <c r="C593" s="27" t="n"/>
      <c r="D593" s="28" t="n"/>
      <c r="E593" s="29" t="n"/>
      <c r="F593" s="30" t="n"/>
      <c r="G593" s="31" t="n"/>
      <c r="H593" s="31" t="n"/>
      <c r="I593" s="31" t="n"/>
      <c r="J593" s="31" t="n"/>
      <c r="K593" s="31" t="n"/>
      <c r="L593" s="31" t="n"/>
      <c r="M593" s="31" t="n"/>
      <c r="N593" s="31" t="n"/>
      <c r="O593" s="31" t="n"/>
      <c r="P593" s="31" t="n"/>
      <c r="Q593" s="31" t="n"/>
      <c r="R593" s="31" t="n"/>
      <c r="S593" s="32">
        <f>IF($F593="","",IF(IFERROR(VLOOKUP($F593,'维度字典'!$I$2:$J$50,2,0),"求和")="手工录入","",IF(IFERROR(VLOOKUP($F593,'维度字典'!$I$2:$J$50,2,0),"求和")="最新值",IFERROR(LOOKUP(9.99E+307,G593:R593),""),SUM(G593:R593))))</f>
        <v/>
      </c>
      <c r="T593" s="33" t="n"/>
      <c r="U593" s="33" t="n"/>
    </row>
    <row r="594">
      <c r="A594" s="26">
        <f>IF($B594="","",ROW()-3)</f>
        <v/>
      </c>
      <c r="B594" s="27" t="n"/>
      <c r="C594" s="27" t="n"/>
      <c r="D594" s="28" t="n"/>
      <c r="E594" s="29" t="n"/>
      <c r="F594" s="30" t="n"/>
      <c r="G594" s="31" t="n"/>
      <c r="H594" s="31" t="n"/>
      <c r="I594" s="31" t="n"/>
      <c r="J594" s="31" t="n"/>
      <c r="K594" s="31" t="n"/>
      <c r="L594" s="31" t="n"/>
      <c r="M594" s="31" t="n"/>
      <c r="N594" s="31" t="n"/>
      <c r="O594" s="31" t="n"/>
      <c r="P594" s="31" t="n"/>
      <c r="Q594" s="31" t="n"/>
      <c r="R594" s="31" t="n"/>
      <c r="S594" s="32">
        <f>IF($F594="","",IF(IFERROR(VLOOKUP($F594,'维度字典'!$I$2:$J$50,2,0),"求和")="手工录入","",IF(IFERROR(VLOOKUP($F594,'维度字典'!$I$2:$J$50,2,0),"求和")="最新值",IFERROR(LOOKUP(9.99E+307,G594:R594),""),SUM(G594:R594))))</f>
        <v/>
      </c>
      <c r="T594" s="33" t="n"/>
      <c r="U594" s="33" t="n"/>
    </row>
    <row r="595">
      <c r="A595" s="26">
        <f>IF($B595="","",ROW()-3)</f>
        <v/>
      </c>
      <c r="B595" s="27" t="n"/>
      <c r="C595" s="27" t="n"/>
      <c r="D595" s="28" t="n"/>
      <c r="E595" s="29" t="n"/>
      <c r="F595" s="30" t="n"/>
      <c r="G595" s="31" t="n"/>
      <c r="H595" s="31" t="n"/>
      <c r="I595" s="31" t="n"/>
      <c r="J595" s="31" t="n"/>
      <c r="K595" s="31" t="n"/>
      <c r="L595" s="31" t="n"/>
      <c r="M595" s="31" t="n"/>
      <c r="N595" s="31" t="n"/>
      <c r="O595" s="31" t="n"/>
      <c r="P595" s="31" t="n"/>
      <c r="Q595" s="31" t="n"/>
      <c r="R595" s="31" t="n"/>
      <c r="S595" s="32">
        <f>IF($F595="","",IF(IFERROR(VLOOKUP($F595,'维度字典'!$I$2:$J$50,2,0),"求和")="手工录入","",IF(IFERROR(VLOOKUP($F595,'维度字典'!$I$2:$J$50,2,0),"求和")="最新值",IFERROR(LOOKUP(9.99E+307,G595:R595),""),SUM(G595:R595))))</f>
        <v/>
      </c>
      <c r="T595" s="33" t="n"/>
      <c r="U595" s="33" t="n"/>
    </row>
    <row r="596">
      <c r="A596" s="26">
        <f>IF($B596="","",ROW()-3)</f>
        <v/>
      </c>
      <c r="B596" s="27" t="n"/>
      <c r="C596" s="27" t="n"/>
      <c r="D596" s="28" t="n"/>
      <c r="E596" s="29" t="n"/>
      <c r="F596" s="30" t="n"/>
      <c r="G596" s="31" t="n"/>
      <c r="H596" s="31" t="n"/>
      <c r="I596" s="31" t="n"/>
      <c r="J596" s="31" t="n"/>
      <c r="K596" s="31" t="n"/>
      <c r="L596" s="31" t="n"/>
      <c r="M596" s="31" t="n"/>
      <c r="N596" s="31" t="n"/>
      <c r="O596" s="31" t="n"/>
      <c r="P596" s="31" t="n"/>
      <c r="Q596" s="31" t="n"/>
      <c r="R596" s="31" t="n"/>
      <c r="S596" s="32">
        <f>IF($F596="","",IF(IFERROR(VLOOKUP($F596,'维度字典'!$I$2:$J$50,2,0),"求和")="手工录入","",IF(IFERROR(VLOOKUP($F596,'维度字典'!$I$2:$J$50,2,0),"求和")="最新值",IFERROR(LOOKUP(9.99E+307,G596:R596),""),SUM(G596:R596))))</f>
        <v/>
      </c>
      <c r="T596" s="33" t="n"/>
      <c r="U596" s="33" t="n"/>
    </row>
    <row r="597">
      <c r="A597" s="26">
        <f>IF($B597="","",ROW()-3)</f>
        <v/>
      </c>
      <c r="B597" s="27" t="n"/>
      <c r="C597" s="27" t="n"/>
      <c r="D597" s="28" t="n"/>
      <c r="E597" s="29" t="n"/>
      <c r="F597" s="30" t="n"/>
      <c r="G597" s="31" t="n"/>
      <c r="H597" s="31" t="n"/>
      <c r="I597" s="31" t="n"/>
      <c r="J597" s="31" t="n"/>
      <c r="K597" s="31" t="n"/>
      <c r="L597" s="31" t="n"/>
      <c r="M597" s="31" t="n"/>
      <c r="N597" s="31" t="n"/>
      <c r="O597" s="31" t="n"/>
      <c r="P597" s="31" t="n"/>
      <c r="Q597" s="31" t="n"/>
      <c r="R597" s="31" t="n"/>
      <c r="S597" s="32">
        <f>IF($F597="","",IF(IFERROR(VLOOKUP($F597,'维度字典'!$I$2:$J$50,2,0),"求和")="手工录入","",IF(IFERROR(VLOOKUP($F597,'维度字典'!$I$2:$J$50,2,0),"求和")="最新值",IFERROR(LOOKUP(9.99E+307,G597:R597),""),SUM(G597:R597))))</f>
        <v/>
      </c>
      <c r="T597" s="33" t="n"/>
      <c r="U597" s="33" t="n"/>
    </row>
    <row r="598">
      <c r="A598" s="26">
        <f>IF($B598="","",ROW()-3)</f>
        <v/>
      </c>
      <c r="B598" s="27" t="n"/>
      <c r="C598" s="27" t="n"/>
      <c r="D598" s="28" t="n"/>
      <c r="E598" s="29" t="n"/>
      <c r="F598" s="30" t="n"/>
      <c r="G598" s="31" t="n"/>
      <c r="H598" s="31" t="n"/>
      <c r="I598" s="31" t="n"/>
      <c r="J598" s="31" t="n"/>
      <c r="K598" s="31" t="n"/>
      <c r="L598" s="31" t="n"/>
      <c r="M598" s="31" t="n"/>
      <c r="N598" s="31" t="n"/>
      <c r="O598" s="31" t="n"/>
      <c r="P598" s="31" t="n"/>
      <c r="Q598" s="31" t="n"/>
      <c r="R598" s="31" t="n"/>
      <c r="S598" s="32">
        <f>IF($F598="","",IF(IFERROR(VLOOKUP($F598,'维度字典'!$I$2:$J$50,2,0),"求和")="手工录入","",IF(IFERROR(VLOOKUP($F598,'维度字典'!$I$2:$J$50,2,0),"求和")="最新值",IFERROR(LOOKUP(9.99E+307,G598:R598),""),SUM(G598:R598))))</f>
        <v/>
      </c>
      <c r="T598" s="33" t="n"/>
      <c r="U598" s="33" t="n"/>
    </row>
    <row r="599">
      <c r="A599" s="26">
        <f>IF($B599="","",ROW()-3)</f>
        <v/>
      </c>
      <c r="B599" s="27" t="n"/>
      <c r="C599" s="27" t="n"/>
      <c r="D599" s="28" t="n"/>
      <c r="E599" s="29" t="n"/>
      <c r="F599" s="30" t="n"/>
      <c r="G599" s="31" t="n"/>
      <c r="H599" s="31" t="n"/>
      <c r="I599" s="31" t="n"/>
      <c r="J599" s="31" t="n"/>
      <c r="K599" s="31" t="n"/>
      <c r="L599" s="31" t="n"/>
      <c r="M599" s="31" t="n"/>
      <c r="N599" s="31" t="n"/>
      <c r="O599" s="31" t="n"/>
      <c r="P599" s="31" t="n"/>
      <c r="Q599" s="31" t="n"/>
      <c r="R599" s="31" t="n"/>
      <c r="S599" s="32">
        <f>IF($F599="","",IF(IFERROR(VLOOKUP($F599,'维度字典'!$I$2:$J$50,2,0),"求和")="手工录入","",IF(IFERROR(VLOOKUP($F599,'维度字典'!$I$2:$J$50,2,0),"求和")="最新值",IFERROR(LOOKUP(9.99E+307,G599:R599),""),SUM(G599:R599))))</f>
        <v/>
      </c>
      <c r="T599" s="33" t="n"/>
      <c r="U599" s="33" t="n"/>
    </row>
    <row r="600">
      <c r="A600" s="26">
        <f>IF($B600="","",ROW()-3)</f>
        <v/>
      </c>
      <c r="B600" s="27" t="n"/>
      <c r="C600" s="27" t="n"/>
      <c r="D600" s="28" t="n"/>
      <c r="E600" s="29" t="n"/>
      <c r="F600" s="30" t="n"/>
      <c r="G600" s="31" t="n"/>
      <c r="H600" s="31" t="n"/>
      <c r="I600" s="31" t="n"/>
      <c r="J600" s="31" t="n"/>
      <c r="K600" s="31" t="n"/>
      <c r="L600" s="31" t="n"/>
      <c r="M600" s="31" t="n"/>
      <c r="N600" s="31" t="n"/>
      <c r="O600" s="31" t="n"/>
      <c r="P600" s="31" t="n"/>
      <c r="Q600" s="31" t="n"/>
      <c r="R600" s="31" t="n"/>
      <c r="S600" s="32">
        <f>IF($F600="","",IF(IFERROR(VLOOKUP($F600,'维度字典'!$I$2:$J$50,2,0),"求和")="手工录入","",IF(IFERROR(VLOOKUP($F600,'维度字典'!$I$2:$J$50,2,0),"求和")="最新值",IFERROR(LOOKUP(9.99E+307,G600:R600),""),SUM(G600:R600))))</f>
        <v/>
      </c>
      <c r="T600" s="33" t="n"/>
      <c r="U600" s="33" t="n"/>
    </row>
    <row r="601">
      <c r="A601" s="26">
        <f>IF($B601="","",ROW()-3)</f>
        <v/>
      </c>
      <c r="B601" s="27" t="n"/>
      <c r="C601" s="27" t="n"/>
      <c r="D601" s="28" t="n"/>
      <c r="E601" s="29" t="n"/>
      <c r="F601" s="30" t="n"/>
      <c r="G601" s="31" t="n"/>
      <c r="H601" s="31" t="n"/>
      <c r="I601" s="31" t="n"/>
      <c r="J601" s="31" t="n"/>
      <c r="K601" s="31" t="n"/>
      <c r="L601" s="31" t="n"/>
      <c r="M601" s="31" t="n"/>
      <c r="N601" s="31" t="n"/>
      <c r="O601" s="31" t="n"/>
      <c r="P601" s="31" t="n"/>
      <c r="Q601" s="31" t="n"/>
      <c r="R601" s="31" t="n"/>
      <c r="S601" s="32">
        <f>IF($F601="","",IF(IFERROR(VLOOKUP($F601,'维度字典'!$I$2:$J$50,2,0),"求和")="手工录入","",IF(IFERROR(VLOOKUP($F601,'维度字典'!$I$2:$J$50,2,0),"求和")="最新值",IFERROR(LOOKUP(9.99E+307,G601:R601),""),SUM(G601:R601))))</f>
        <v/>
      </c>
      <c r="T601" s="33" t="n"/>
      <c r="U601" s="33" t="n"/>
    </row>
    <row r="602">
      <c r="A602" s="26">
        <f>IF($B602="","",ROW()-3)</f>
        <v/>
      </c>
      <c r="B602" s="27" t="n"/>
      <c r="C602" s="27" t="n"/>
      <c r="D602" s="28" t="n"/>
      <c r="E602" s="29" t="n"/>
      <c r="F602" s="30" t="n"/>
      <c r="G602" s="31" t="n"/>
      <c r="H602" s="31" t="n"/>
      <c r="I602" s="31" t="n"/>
      <c r="J602" s="31" t="n"/>
      <c r="K602" s="31" t="n"/>
      <c r="L602" s="31" t="n"/>
      <c r="M602" s="31" t="n"/>
      <c r="N602" s="31" t="n"/>
      <c r="O602" s="31" t="n"/>
      <c r="P602" s="31" t="n"/>
      <c r="Q602" s="31" t="n"/>
      <c r="R602" s="31" t="n"/>
      <c r="S602" s="32">
        <f>IF($F602="","",IF(IFERROR(VLOOKUP($F602,'维度字典'!$I$2:$J$50,2,0),"求和")="手工录入","",IF(IFERROR(VLOOKUP($F602,'维度字典'!$I$2:$J$50,2,0),"求和")="最新值",IFERROR(LOOKUP(9.99E+307,G602:R602),""),SUM(G602:R602))))</f>
        <v/>
      </c>
      <c r="T602" s="33" t="n"/>
      <c r="U602" s="33" t="n"/>
    </row>
    <row r="603">
      <c r="A603" s="26">
        <f>IF($B603="","",ROW()-3)</f>
        <v/>
      </c>
      <c r="B603" s="27" t="n"/>
      <c r="C603" s="27" t="n"/>
      <c r="D603" s="28" t="n"/>
      <c r="E603" s="29" t="n"/>
      <c r="F603" s="30" t="n"/>
      <c r="G603" s="31" t="n"/>
      <c r="H603" s="31" t="n"/>
      <c r="I603" s="31" t="n"/>
      <c r="J603" s="31" t="n"/>
      <c r="K603" s="31" t="n"/>
      <c r="L603" s="31" t="n"/>
      <c r="M603" s="31" t="n"/>
      <c r="N603" s="31" t="n"/>
      <c r="O603" s="31" t="n"/>
      <c r="P603" s="31" t="n"/>
      <c r="Q603" s="31" t="n"/>
      <c r="R603" s="31" t="n"/>
      <c r="S603" s="32">
        <f>IF($F603="","",IF(IFERROR(VLOOKUP($F603,'维度字典'!$I$2:$J$50,2,0),"求和")="手工录入","",IF(IFERROR(VLOOKUP($F603,'维度字典'!$I$2:$J$50,2,0),"求和")="最新值",IFERROR(LOOKUP(9.99E+307,G603:R603),""),SUM(G603:R603))))</f>
        <v/>
      </c>
      <c r="T603" s="33" t="n"/>
      <c r="U603" s="33" t="n"/>
    </row>
    <row r="604">
      <c r="A604" s="26">
        <f>IF($B604="","",ROW()-3)</f>
        <v/>
      </c>
      <c r="B604" s="27" t="n"/>
      <c r="C604" s="27" t="n"/>
      <c r="D604" s="28" t="n"/>
      <c r="E604" s="29" t="n"/>
      <c r="F604" s="30" t="n"/>
      <c r="G604" s="31" t="n"/>
      <c r="H604" s="31" t="n"/>
      <c r="I604" s="31" t="n"/>
      <c r="J604" s="31" t="n"/>
      <c r="K604" s="31" t="n"/>
      <c r="L604" s="31" t="n"/>
      <c r="M604" s="31" t="n"/>
      <c r="N604" s="31" t="n"/>
      <c r="O604" s="31" t="n"/>
      <c r="P604" s="31" t="n"/>
      <c r="Q604" s="31" t="n"/>
      <c r="R604" s="31" t="n"/>
      <c r="S604" s="32">
        <f>IF($F604="","",IF(IFERROR(VLOOKUP($F604,'维度字典'!$I$2:$J$50,2,0),"求和")="手工录入","",IF(IFERROR(VLOOKUP($F604,'维度字典'!$I$2:$J$50,2,0),"求和")="最新值",IFERROR(LOOKUP(9.99E+307,G604:R604),""),SUM(G604:R604))))</f>
        <v/>
      </c>
      <c r="T604" s="33" t="n"/>
      <c r="U604" s="33" t="n"/>
    </row>
    <row r="605">
      <c r="A605" s="26">
        <f>IF($B605="","",ROW()-3)</f>
        <v/>
      </c>
      <c r="B605" s="27" t="n"/>
      <c r="C605" s="27" t="n"/>
      <c r="D605" s="28" t="n"/>
      <c r="E605" s="29" t="n"/>
      <c r="F605" s="30" t="n"/>
      <c r="G605" s="31" t="n"/>
      <c r="H605" s="31" t="n"/>
      <c r="I605" s="31" t="n"/>
      <c r="J605" s="31" t="n"/>
      <c r="K605" s="31" t="n"/>
      <c r="L605" s="31" t="n"/>
      <c r="M605" s="31" t="n"/>
      <c r="N605" s="31" t="n"/>
      <c r="O605" s="31" t="n"/>
      <c r="P605" s="31" t="n"/>
      <c r="Q605" s="31" t="n"/>
      <c r="R605" s="31" t="n"/>
      <c r="S605" s="32">
        <f>IF($F605="","",IF(IFERROR(VLOOKUP($F605,'维度字典'!$I$2:$J$50,2,0),"求和")="手工录入","",IF(IFERROR(VLOOKUP($F605,'维度字典'!$I$2:$J$50,2,0),"求和")="最新值",IFERROR(LOOKUP(9.99E+307,G605:R605),""),SUM(G605:R605))))</f>
        <v/>
      </c>
      <c r="T605" s="33" t="n"/>
      <c r="U605" s="33" t="n"/>
    </row>
    <row r="606">
      <c r="A606" s="26">
        <f>IF($B606="","",ROW()-3)</f>
        <v/>
      </c>
      <c r="B606" s="27" t="n"/>
      <c r="C606" s="27" t="n"/>
      <c r="D606" s="28" t="n"/>
      <c r="E606" s="29" t="n"/>
      <c r="F606" s="30" t="n"/>
      <c r="G606" s="31" t="n"/>
      <c r="H606" s="31" t="n"/>
      <c r="I606" s="31" t="n"/>
      <c r="J606" s="31" t="n"/>
      <c r="K606" s="31" t="n"/>
      <c r="L606" s="31" t="n"/>
      <c r="M606" s="31" t="n"/>
      <c r="N606" s="31" t="n"/>
      <c r="O606" s="31" t="n"/>
      <c r="P606" s="31" t="n"/>
      <c r="Q606" s="31" t="n"/>
      <c r="R606" s="31" t="n"/>
      <c r="S606" s="32">
        <f>IF($F606="","",IF(IFERROR(VLOOKUP($F606,'维度字典'!$I$2:$J$50,2,0),"求和")="手工录入","",IF(IFERROR(VLOOKUP($F606,'维度字典'!$I$2:$J$50,2,0),"求和")="最新值",IFERROR(LOOKUP(9.99E+307,G606:R606),""),SUM(G606:R606))))</f>
        <v/>
      </c>
      <c r="T606" s="33" t="n"/>
      <c r="U606" s="33" t="n"/>
    </row>
    <row r="607">
      <c r="A607" s="26">
        <f>IF($B607="","",ROW()-3)</f>
        <v/>
      </c>
      <c r="B607" s="27" t="n"/>
      <c r="C607" s="27" t="n"/>
      <c r="D607" s="28" t="n"/>
      <c r="E607" s="29" t="n"/>
      <c r="F607" s="30" t="n"/>
      <c r="G607" s="31" t="n"/>
      <c r="H607" s="31" t="n"/>
      <c r="I607" s="31" t="n"/>
      <c r="J607" s="31" t="n"/>
      <c r="K607" s="31" t="n"/>
      <c r="L607" s="31" t="n"/>
      <c r="M607" s="31" t="n"/>
      <c r="N607" s="31" t="n"/>
      <c r="O607" s="31" t="n"/>
      <c r="P607" s="31" t="n"/>
      <c r="Q607" s="31" t="n"/>
      <c r="R607" s="31" t="n"/>
      <c r="S607" s="32">
        <f>IF($F607="","",IF(IFERROR(VLOOKUP($F607,'维度字典'!$I$2:$J$50,2,0),"求和")="手工录入","",IF(IFERROR(VLOOKUP($F607,'维度字典'!$I$2:$J$50,2,0),"求和")="最新值",IFERROR(LOOKUP(9.99E+307,G607:R607),""),SUM(G607:R607))))</f>
        <v/>
      </c>
      <c r="T607" s="33" t="n"/>
      <c r="U607" s="33" t="n"/>
    </row>
    <row r="608">
      <c r="A608" s="26">
        <f>IF($B608="","",ROW()-3)</f>
        <v/>
      </c>
      <c r="B608" s="27" t="n"/>
      <c r="C608" s="27" t="n"/>
      <c r="D608" s="28" t="n"/>
      <c r="E608" s="29" t="n"/>
      <c r="F608" s="30" t="n"/>
      <c r="G608" s="31" t="n"/>
      <c r="H608" s="31" t="n"/>
      <c r="I608" s="31" t="n"/>
      <c r="J608" s="31" t="n"/>
      <c r="K608" s="31" t="n"/>
      <c r="L608" s="31" t="n"/>
      <c r="M608" s="31" t="n"/>
      <c r="N608" s="31" t="n"/>
      <c r="O608" s="31" t="n"/>
      <c r="P608" s="31" t="n"/>
      <c r="Q608" s="31" t="n"/>
      <c r="R608" s="31" t="n"/>
      <c r="S608" s="32">
        <f>IF($F608="","",IF(IFERROR(VLOOKUP($F608,'维度字典'!$I$2:$J$50,2,0),"求和")="手工录入","",IF(IFERROR(VLOOKUP($F608,'维度字典'!$I$2:$J$50,2,0),"求和")="最新值",IFERROR(LOOKUP(9.99E+307,G608:R608),""),SUM(G608:R608))))</f>
        <v/>
      </c>
      <c r="T608" s="33" t="n"/>
      <c r="U608" s="33" t="n"/>
    </row>
    <row r="609">
      <c r="A609" s="26">
        <f>IF($B609="","",ROW()-3)</f>
        <v/>
      </c>
      <c r="B609" s="27" t="n"/>
      <c r="C609" s="27" t="n"/>
      <c r="D609" s="28" t="n"/>
      <c r="E609" s="29" t="n"/>
      <c r="F609" s="30" t="n"/>
      <c r="G609" s="31" t="n"/>
      <c r="H609" s="31" t="n"/>
      <c r="I609" s="31" t="n"/>
      <c r="J609" s="31" t="n"/>
      <c r="K609" s="31" t="n"/>
      <c r="L609" s="31" t="n"/>
      <c r="M609" s="31" t="n"/>
      <c r="N609" s="31" t="n"/>
      <c r="O609" s="31" t="n"/>
      <c r="P609" s="31" t="n"/>
      <c r="Q609" s="31" t="n"/>
      <c r="R609" s="31" t="n"/>
      <c r="S609" s="32">
        <f>IF($F609="","",IF(IFERROR(VLOOKUP($F609,'维度字典'!$I$2:$J$50,2,0),"求和")="手工录入","",IF(IFERROR(VLOOKUP($F609,'维度字典'!$I$2:$J$50,2,0),"求和")="最新值",IFERROR(LOOKUP(9.99E+307,G609:R609),""),SUM(G609:R609))))</f>
        <v/>
      </c>
      <c r="T609" s="33" t="n"/>
      <c r="U609" s="33" t="n"/>
    </row>
    <row r="610">
      <c r="A610" s="26">
        <f>IF($B610="","",ROW()-3)</f>
        <v/>
      </c>
      <c r="B610" s="27" t="n"/>
      <c r="C610" s="27" t="n"/>
      <c r="D610" s="28" t="n"/>
      <c r="E610" s="29" t="n"/>
      <c r="F610" s="30" t="n"/>
      <c r="G610" s="31" t="n"/>
      <c r="H610" s="31" t="n"/>
      <c r="I610" s="31" t="n"/>
      <c r="J610" s="31" t="n"/>
      <c r="K610" s="31" t="n"/>
      <c r="L610" s="31" t="n"/>
      <c r="M610" s="31" t="n"/>
      <c r="N610" s="31" t="n"/>
      <c r="O610" s="31" t="n"/>
      <c r="P610" s="31" t="n"/>
      <c r="Q610" s="31" t="n"/>
      <c r="R610" s="31" t="n"/>
      <c r="S610" s="32">
        <f>IF($F610="","",IF(IFERROR(VLOOKUP($F610,'维度字典'!$I$2:$J$50,2,0),"求和")="手工录入","",IF(IFERROR(VLOOKUP($F610,'维度字典'!$I$2:$J$50,2,0),"求和")="最新值",IFERROR(LOOKUP(9.99E+307,G610:R610),""),SUM(G610:R610))))</f>
        <v/>
      </c>
      <c r="T610" s="33" t="n"/>
      <c r="U610" s="33" t="n"/>
    </row>
    <row r="611">
      <c r="A611" s="26">
        <f>IF($B611="","",ROW()-3)</f>
        <v/>
      </c>
      <c r="B611" s="27" t="n"/>
      <c r="C611" s="27" t="n"/>
      <c r="D611" s="28" t="n"/>
      <c r="E611" s="29" t="n"/>
      <c r="F611" s="30" t="n"/>
      <c r="G611" s="31" t="n"/>
      <c r="H611" s="31" t="n"/>
      <c r="I611" s="31" t="n"/>
      <c r="J611" s="31" t="n"/>
      <c r="K611" s="31" t="n"/>
      <c r="L611" s="31" t="n"/>
      <c r="M611" s="31" t="n"/>
      <c r="N611" s="31" t="n"/>
      <c r="O611" s="31" t="n"/>
      <c r="P611" s="31" t="n"/>
      <c r="Q611" s="31" t="n"/>
      <c r="R611" s="31" t="n"/>
      <c r="S611" s="32">
        <f>IF($F611="","",IF(IFERROR(VLOOKUP($F611,'维度字典'!$I$2:$J$50,2,0),"求和")="手工录入","",IF(IFERROR(VLOOKUP($F611,'维度字典'!$I$2:$J$50,2,0),"求和")="最新值",IFERROR(LOOKUP(9.99E+307,G611:R611),""),SUM(G611:R611))))</f>
        <v/>
      </c>
      <c r="T611" s="33" t="n"/>
      <c r="U611" s="33" t="n"/>
    </row>
    <row r="612">
      <c r="A612" s="26">
        <f>IF($B612="","",ROW()-3)</f>
        <v/>
      </c>
      <c r="B612" s="27" t="n"/>
      <c r="C612" s="27" t="n"/>
      <c r="D612" s="28" t="n"/>
      <c r="E612" s="29" t="n"/>
      <c r="F612" s="30" t="n"/>
      <c r="G612" s="31" t="n"/>
      <c r="H612" s="31" t="n"/>
      <c r="I612" s="31" t="n"/>
      <c r="J612" s="31" t="n"/>
      <c r="K612" s="31" t="n"/>
      <c r="L612" s="31" t="n"/>
      <c r="M612" s="31" t="n"/>
      <c r="N612" s="31" t="n"/>
      <c r="O612" s="31" t="n"/>
      <c r="P612" s="31" t="n"/>
      <c r="Q612" s="31" t="n"/>
      <c r="R612" s="31" t="n"/>
      <c r="S612" s="32">
        <f>IF($F612="","",IF(IFERROR(VLOOKUP($F612,'维度字典'!$I$2:$J$50,2,0),"求和")="手工录入","",IF(IFERROR(VLOOKUP($F612,'维度字典'!$I$2:$J$50,2,0),"求和")="最新值",IFERROR(LOOKUP(9.99E+307,G612:R612),""),SUM(G612:R612))))</f>
        <v/>
      </c>
      <c r="T612" s="33" t="n"/>
      <c r="U612" s="33" t="n"/>
    </row>
    <row r="613">
      <c r="A613" s="26">
        <f>IF($B613="","",ROW()-3)</f>
        <v/>
      </c>
      <c r="B613" s="27" t="n"/>
      <c r="C613" s="27" t="n"/>
      <c r="D613" s="28" t="n"/>
      <c r="E613" s="29" t="n"/>
      <c r="F613" s="30" t="n"/>
      <c r="G613" s="31" t="n"/>
      <c r="H613" s="31" t="n"/>
      <c r="I613" s="31" t="n"/>
      <c r="J613" s="31" t="n"/>
      <c r="K613" s="31" t="n"/>
      <c r="L613" s="31" t="n"/>
      <c r="M613" s="31" t="n"/>
      <c r="N613" s="31" t="n"/>
      <c r="O613" s="31" t="n"/>
      <c r="P613" s="31" t="n"/>
      <c r="Q613" s="31" t="n"/>
      <c r="R613" s="31" t="n"/>
      <c r="S613" s="32">
        <f>IF($F613="","",IF(IFERROR(VLOOKUP($F613,'维度字典'!$I$2:$J$50,2,0),"求和")="手工录入","",IF(IFERROR(VLOOKUP($F613,'维度字典'!$I$2:$J$50,2,0),"求和")="最新值",IFERROR(LOOKUP(9.99E+307,G613:R613),""),SUM(G613:R613))))</f>
        <v/>
      </c>
      <c r="T613" s="33" t="n"/>
      <c r="U613" s="33" t="n"/>
    </row>
    <row r="614">
      <c r="A614" s="26">
        <f>IF($B614="","",ROW()-3)</f>
        <v/>
      </c>
      <c r="B614" s="27" t="n"/>
      <c r="C614" s="27" t="n"/>
      <c r="D614" s="28" t="n"/>
      <c r="E614" s="29" t="n"/>
      <c r="F614" s="30" t="n"/>
      <c r="G614" s="31" t="n"/>
      <c r="H614" s="31" t="n"/>
      <c r="I614" s="31" t="n"/>
      <c r="J614" s="31" t="n"/>
      <c r="K614" s="31" t="n"/>
      <c r="L614" s="31" t="n"/>
      <c r="M614" s="31" t="n"/>
      <c r="N614" s="31" t="n"/>
      <c r="O614" s="31" t="n"/>
      <c r="P614" s="31" t="n"/>
      <c r="Q614" s="31" t="n"/>
      <c r="R614" s="31" t="n"/>
      <c r="S614" s="32">
        <f>IF($F614="","",IF(IFERROR(VLOOKUP($F614,'维度字典'!$I$2:$J$50,2,0),"求和")="手工录入","",IF(IFERROR(VLOOKUP($F614,'维度字典'!$I$2:$J$50,2,0),"求和")="最新值",IFERROR(LOOKUP(9.99E+307,G614:R614),""),SUM(G614:R614))))</f>
        <v/>
      </c>
      <c r="T614" s="33" t="n"/>
      <c r="U614" s="33" t="n"/>
    </row>
    <row r="615">
      <c r="A615" s="26">
        <f>IF($B615="","",ROW()-3)</f>
        <v/>
      </c>
      <c r="B615" s="27" t="n"/>
      <c r="C615" s="27" t="n"/>
      <c r="D615" s="28" t="n"/>
      <c r="E615" s="29" t="n"/>
      <c r="F615" s="30" t="n"/>
      <c r="G615" s="31" t="n"/>
      <c r="H615" s="31" t="n"/>
      <c r="I615" s="31" t="n"/>
      <c r="J615" s="31" t="n"/>
      <c r="K615" s="31" t="n"/>
      <c r="L615" s="31" t="n"/>
      <c r="M615" s="31" t="n"/>
      <c r="N615" s="31" t="n"/>
      <c r="O615" s="31" t="n"/>
      <c r="P615" s="31" t="n"/>
      <c r="Q615" s="31" t="n"/>
      <c r="R615" s="31" t="n"/>
      <c r="S615" s="32">
        <f>IF($F615="","",IF(IFERROR(VLOOKUP($F615,'维度字典'!$I$2:$J$50,2,0),"求和")="手工录入","",IF(IFERROR(VLOOKUP($F615,'维度字典'!$I$2:$J$50,2,0),"求和")="最新值",IFERROR(LOOKUP(9.99E+307,G615:R615),""),SUM(G615:R615))))</f>
        <v/>
      </c>
      <c r="T615" s="33" t="n"/>
      <c r="U615" s="33" t="n"/>
    </row>
    <row r="616">
      <c r="A616" s="26">
        <f>IF($B616="","",ROW()-3)</f>
        <v/>
      </c>
      <c r="B616" s="27" t="n"/>
      <c r="C616" s="27" t="n"/>
      <c r="D616" s="28" t="n"/>
      <c r="E616" s="29" t="n"/>
      <c r="F616" s="30" t="n"/>
      <c r="G616" s="31" t="n"/>
      <c r="H616" s="31" t="n"/>
      <c r="I616" s="31" t="n"/>
      <c r="J616" s="31" t="n"/>
      <c r="K616" s="31" t="n"/>
      <c r="L616" s="31" t="n"/>
      <c r="M616" s="31" t="n"/>
      <c r="N616" s="31" t="n"/>
      <c r="O616" s="31" t="n"/>
      <c r="P616" s="31" t="n"/>
      <c r="Q616" s="31" t="n"/>
      <c r="R616" s="31" t="n"/>
      <c r="S616" s="32">
        <f>IF($F616="","",IF(IFERROR(VLOOKUP($F616,'维度字典'!$I$2:$J$50,2,0),"求和")="手工录入","",IF(IFERROR(VLOOKUP($F616,'维度字典'!$I$2:$J$50,2,0),"求和")="最新值",IFERROR(LOOKUP(9.99E+307,G616:R616),""),SUM(G616:R616))))</f>
        <v/>
      </c>
      <c r="T616" s="33" t="n"/>
      <c r="U616" s="33" t="n"/>
    </row>
    <row r="617">
      <c r="A617" s="26">
        <f>IF($B617="","",ROW()-3)</f>
        <v/>
      </c>
      <c r="B617" s="27" t="n"/>
      <c r="C617" s="27" t="n"/>
      <c r="D617" s="28" t="n"/>
      <c r="E617" s="29" t="n"/>
      <c r="F617" s="30" t="n"/>
      <c r="G617" s="31" t="n"/>
      <c r="H617" s="31" t="n"/>
      <c r="I617" s="31" t="n"/>
      <c r="J617" s="31" t="n"/>
      <c r="K617" s="31" t="n"/>
      <c r="L617" s="31" t="n"/>
      <c r="M617" s="31" t="n"/>
      <c r="N617" s="31" t="n"/>
      <c r="O617" s="31" t="n"/>
      <c r="P617" s="31" t="n"/>
      <c r="Q617" s="31" t="n"/>
      <c r="R617" s="31" t="n"/>
      <c r="S617" s="32">
        <f>IF($F617="","",IF(IFERROR(VLOOKUP($F617,'维度字典'!$I$2:$J$50,2,0),"求和")="手工录入","",IF(IFERROR(VLOOKUP($F617,'维度字典'!$I$2:$J$50,2,0),"求和")="最新值",IFERROR(LOOKUP(9.99E+307,G617:R617),""),SUM(G617:R617))))</f>
        <v/>
      </c>
      <c r="T617" s="33" t="n"/>
      <c r="U617" s="33" t="n"/>
    </row>
    <row r="618">
      <c r="A618" s="26">
        <f>IF($B618="","",ROW()-3)</f>
        <v/>
      </c>
      <c r="B618" s="27" t="n"/>
      <c r="C618" s="27" t="n"/>
      <c r="D618" s="28" t="n"/>
      <c r="E618" s="29" t="n"/>
      <c r="F618" s="30" t="n"/>
      <c r="G618" s="31" t="n"/>
      <c r="H618" s="31" t="n"/>
      <c r="I618" s="31" t="n"/>
      <c r="J618" s="31" t="n"/>
      <c r="K618" s="31" t="n"/>
      <c r="L618" s="31" t="n"/>
      <c r="M618" s="31" t="n"/>
      <c r="N618" s="31" t="n"/>
      <c r="O618" s="31" t="n"/>
      <c r="P618" s="31" t="n"/>
      <c r="Q618" s="31" t="n"/>
      <c r="R618" s="31" t="n"/>
      <c r="S618" s="32">
        <f>IF($F618="","",IF(IFERROR(VLOOKUP($F618,'维度字典'!$I$2:$J$50,2,0),"求和")="手工录入","",IF(IFERROR(VLOOKUP($F618,'维度字典'!$I$2:$J$50,2,0),"求和")="最新值",IFERROR(LOOKUP(9.99E+307,G618:R618),""),SUM(G618:R618))))</f>
        <v/>
      </c>
      <c r="T618" s="33" t="n"/>
      <c r="U618" s="33" t="n"/>
    </row>
    <row r="619">
      <c r="A619" s="26">
        <f>IF($B619="","",ROW()-3)</f>
        <v/>
      </c>
      <c r="B619" s="27" t="n"/>
      <c r="C619" s="27" t="n"/>
      <c r="D619" s="28" t="n"/>
      <c r="E619" s="29" t="n"/>
      <c r="F619" s="30" t="n"/>
      <c r="G619" s="31" t="n"/>
      <c r="H619" s="31" t="n"/>
      <c r="I619" s="31" t="n"/>
      <c r="J619" s="31" t="n"/>
      <c r="K619" s="31" t="n"/>
      <c r="L619" s="31" t="n"/>
      <c r="M619" s="31" t="n"/>
      <c r="N619" s="31" t="n"/>
      <c r="O619" s="31" t="n"/>
      <c r="P619" s="31" t="n"/>
      <c r="Q619" s="31" t="n"/>
      <c r="R619" s="31" t="n"/>
      <c r="S619" s="32">
        <f>IF($F619="","",IF(IFERROR(VLOOKUP($F619,'维度字典'!$I$2:$J$50,2,0),"求和")="手工录入","",IF(IFERROR(VLOOKUP($F619,'维度字典'!$I$2:$J$50,2,0),"求和")="最新值",IFERROR(LOOKUP(9.99E+307,G619:R619),""),SUM(G619:R619))))</f>
        <v/>
      </c>
      <c r="T619" s="33" t="n"/>
      <c r="U619" s="33" t="n"/>
    </row>
    <row r="620">
      <c r="A620" s="26">
        <f>IF($B620="","",ROW()-3)</f>
        <v/>
      </c>
      <c r="B620" s="27" t="n"/>
      <c r="C620" s="27" t="n"/>
      <c r="D620" s="28" t="n"/>
      <c r="E620" s="29" t="n"/>
      <c r="F620" s="30" t="n"/>
      <c r="G620" s="31" t="n"/>
      <c r="H620" s="31" t="n"/>
      <c r="I620" s="31" t="n"/>
      <c r="J620" s="31" t="n"/>
      <c r="K620" s="31" t="n"/>
      <c r="L620" s="31" t="n"/>
      <c r="M620" s="31" t="n"/>
      <c r="N620" s="31" t="n"/>
      <c r="O620" s="31" t="n"/>
      <c r="P620" s="31" t="n"/>
      <c r="Q620" s="31" t="n"/>
      <c r="R620" s="31" t="n"/>
      <c r="S620" s="32">
        <f>IF($F620="","",IF(IFERROR(VLOOKUP($F620,'维度字典'!$I$2:$J$50,2,0),"求和")="手工录入","",IF(IFERROR(VLOOKUP($F620,'维度字典'!$I$2:$J$50,2,0),"求和")="最新值",IFERROR(LOOKUP(9.99E+307,G620:R620),""),SUM(G620:R620))))</f>
        <v/>
      </c>
      <c r="T620" s="33" t="n"/>
      <c r="U620" s="33" t="n"/>
    </row>
    <row r="621">
      <c r="A621" s="26">
        <f>IF($B621="","",ROW()-3)</f>
        <v/>
      </c>
      <c r="B621" s="27" t="n"/>
      <c r="C621" s="27" t="n"/>
      <c r="D621" s="28" t="n"/>
      <c r="E621" s="29" t="n"/>
      <c r="F621" s="30" t="n"/>
      <c r="G621" s="31" t="n"/>
      <c r="H621" s="31" t="n"/>
      <c r="I621" s="31" t="n"/>
      <c r="J621" s="31" t="n"/>
      <c r="K621" s="31" t="n"/>
      <c r="L621" s="31" t="n"/>
      <c r="M621" s="31" t="n"/>
      <c r="N621" s="31" t="n"/>
      <c r="O621" s="31" t="n"/>
      <c r="P621" s="31" t="n"/>
      <c r="Q621" s="31" t="n"/>
      <c r="R621" s="31" t="n"/>
      <c r="S621" s="32">
        <f>IF($F621="","",IF(IFERROR(VLOOKUP($F621,'维度字典'!$I$2:$J$50,2,0),"求和")="手工录入","",IF(IFERROR(VLOOKUP($F621,'维度字典'!$I$2:$J$50,2,0),"求和")="最新值",IFERROR(LOOKUP(9.99E+307,G621:R621),""),SUM(G621:R621))))</f>
        <v/>
      </c>
      <c r="T621" s="33" t="n"/>
      <c r="U621" s="33" t="n"/>
    </row>
    <row r="622">
      <c r="A622" s="26">
        <f>IF($B622="","",ROW()-3)</f>
        <v/>
      </c>
      <c r="B622" s="27" t="n"/>
      <c r="C622" s="27" t="n"/>
      <c r="D622" s="28" t="n"/>
      <c r="E622" s="29" t="n"/>
      <c r="F622" s="30" t="n"/>
      <c r="G622" s="31" t="n"/>
      <c r="H622" s="31" t="n"/>
      <c r="I622" s="31" t="n"/>
      <c r="J622" s="31" t="n"/>
      <c r="K622" s="31" t="n"/>
      <c r="L622" s="31" t="n"/>
      <c r="M622" s="31" t="n"/>
      <c r="N622" s="31" t="n"/>
      <c r="O622" s="31" t="n"/>
      <c r="P622" s="31" t="n"/>
      <c r="Q622" s="31" t="n"/>
      <c r="R622" s="31" t="n"/>
      <c r="S622" s="32">
        <f>IF($F622="","",IF(IFERROR(VLOOKUP($F622,'维度字典'!$I$2:$J$50,2,0),"求和")="手工录入","",IF(IFERROR(VLOOKUP($F622,'维度字典'!$I$2:$J$50,2,0),"求和")="最新值",IFERROR(LOOKUP(9.99E+307,G622:R622),""),SUM(G622:R622))))</f>
        <v/>
      </c>
      <c r="T622" s="33" t="n"/>
      <c r="U622" s="33" t="n"/>
    </row>
    <row r="623">
      <c r="A623" s="26">
        <f>IF($B623="","",ROW()-3)</f>
        <v/>
      </c>
      <c r="B623" s="27" t="n"/>
      <c r="C623" s="27" t="n"/>
      <c r="D623" s="28" t="n"/>
      <c r="E623" s="29" t="n"/>
      <c r="F623" s="30" t="n"/>
      <c r="G623" s="31" t="n"/>
      <c r="H623" s="31" t="n"/>
      <c r="I623" s="31" t="n"/>
      <c r="J623" s="31" t="n"/>
      <c r="K623" s="31" t="n"/>
      <c r="L623" s="31" t="n"/>
      <c r="M623" s="31" t="n"/>
      <c r="N623" s="31" t="n"/>
      <c r="O623" s="31" t="n"/>
      <c r="P623" s="31" t="n"/>
      <c r="Q623" s="31" t="n"/>
      <c r="R623" s="31" t="n"/>
      <c r="S623" s="32">
        <f>IF($F623="","",IF(IFERROR(VLOOKUP($F623,'维度字典'!$I$2:$J$50,2,0),"求和")="手工录入","",IF(IFERROR(VLOOKUP($F623,'维度字典'!$I$2:$J$50,2,0),"求和")="最新值",IFERROR(LOOKUP(9.99E+307,G623:R623),""),SUM(G623:R623))))</f>
        <v/>
      </c>
      <c r="T623" s="33" t="n"/>
      <c r="U623" s="33" t="n"/>
    </row>
    <row r="624">
      <c r="A624" s="26">
        <f>IF($B624="","",ROW()-3)</f>
        <v/>
      </c>
      <c r="B624" s="27" t="n"/>
      <c r="C624" s="27" t="n"/>
      <c r="D624" s="28" t="n"/>
      <c r="E624" s="29" t="n"/>
      <c r="F624" s="30" t="n"/>
      <c r="G624" s="31" t="n"/>
      <c r="H624" s="31" t="n"/>
      <c r="I624" s="31" t="n"/>
      <c r="J624" s="31" t="n"/>
      <c r="K624" s="31" t="n"/>
      <c r="L624" s="31" t="n"/>
      <c r="M624" s="31" t="n"/>
      <c r="N624" s="31" t="n"/>
      <c r="O624" s="31" t="n"/>
      <c r="P624" s="31" t="n"/>
      <c r="Q624" s="31" t="n"/>
      <c r="R624" s="31" t="n"/>
      <c r="S624" s="32">
        <f>IF($F624="","",IF(IFERROR(VLOOKUP($F624,'维度字典'!$I$2:$J$50,2,0),"求和")="手工录入","",IF(IFERROR(VLOOKUP($F624,'维度字典'!$I$2:$J$50,2,0),"求和")="最新值",IFERROR(LOOKUP(9.99E+307,G624:R624),""),SUM(G624:R624))))</f>
        <v/>
      </c>
      <c r="T624" s="33" t="n"/>
      <c r="U624" s="33" t="n"/>
    </row>
    <row r="625">
      <c r="A625" s="26">
        <f>IF($B625="","",ROW()-3)</f>
        <v/>
      </c>
      <c r="B625" s="27" t="n"/>
      <c r="C625" s="27" t="n"/>
      <c r="D625" s="28" t="n"/>
      <c r="E625" s="29" t="n"/>
      <c r="F625" s="30" t="n"/>
      <c r="G625" s="31" t="n"/>
      <c r="H625" s="31" t="n"/>
      <c r="I625" s="31" t="n"/>
      <c r="J625" s="31" t="n"/>
      <c r="K625" s="31" t="n"/>
      <c r="L625" s="31" t="n"/>
      <c r="M625" s="31" t="n"/>
      <c r="N625" s="31" t="n"/>
      <c r="O625" s="31" t="n"/>
      <c r="P625" s="31" t="n"/>
      <c r="Q625" s="31" t="n"/>
      <c r="R625" s="31" t="n"/>
      <c r="S625" s="32">
        <f>IF($F625="","",IF(IFERROR(VLOOKUP($F625,'维度字典'!$I$2:$J$50,2,0),"求和")="手工录入","",IF(IFERROR(VLOOKUP($F625,'维度字典'!$I$2:$J$50,2,0),"求和")="最新值",IFERROR(LOOKUP(9.99E+307,G625:R625),""),SUM(G625:R625))))</f>
        <v/>
      </c>
      <c r="T625" s="33" t="n"/>
      <c r="U625" s="33" t="n"/>
    </row>
    <row r="626">
      <c r="A626" s="26">
        <f>IF($B626="","",ROW()-3)</f>
        <v/>
      </c>
      <c r="B626" s="27" t="n"/>
      <c r="C626" s="27" t="n"/>
      <c r="D626" s="28" t="n"/>
      <c r="E626" s="29" t="n"/>
      <c r="F626" s="30" t="n"/>
      <c r="G626" s="31" t="n"/>
      <c r="H626" s="31" t="n"/>
      <c r="I626" s="31" t="n"/>
      <c r="J626" s="31" t="n"/>
      <c r="K626" s="31" t="n"/>
      <c r="L626" s="31" t="n"/>
      <c r="M626" s="31" t="n"/>
      <c r="N626" s="31" t="n"/>
      <c r="O626" s="31" t="n"/>
      <c r="P626" s="31" t="n"/>
      <c r="Q626" s="31" t="n"/>
      <c r="R626" s="31" t="n"/>
      <c r="S626" s="32">
        <f>IF($F626="","",IF(IFERROR(VLOOKUP($F626,'维度字典'!$I$2:$J$50,2,0),"求和")="手工录入","",IF(IFERROR(VLOOKUP($F626,'维度字典'!$I$2:$J$50,2,0),"求和")="最新值",IFERROR(LOOKUP(9.99E+307,G626:R626),""),SUM(G626:R626))))</f>
        <v/>
      </c>
      <c r="T626" s="33" t="n"/>
      <c r="U626" s="33" t="n"/>
    </row>
    <row r="627">
      <c r="A627" s="26">
        <f>IF($B627="","",ROW()-3)</f>
        <v/>
      </c>
      <c r="B627" s="27" t="n"/>
      <c r="C627" s="27" t="n"/>
      <c r="D627" s="28" t="n"/>
      <c r="E627" s="29" t="n"/>
      <c r="F627" s="30" t="n"/>
      <c r="G627" s="31" t="n"/>
      <c r="H627" s="31" t="n"/>
      <c r="I627" s="31" t="n"/>
      <c r="J627" s="31" t="n"/>
      <c r="K627" s="31" t="n"/>
      <c r="L627" s="31" t="n"/>
      <c r="M627" s="31" t="n"/>
      <c r="N627" s="31" t="n"/>
      <c r="O627" s="31" t="n"/>
      <c r="P627" s="31" t="n"/>
      <c r="Q627" s="31" t="n"/>
      <c r="R627" s="31" t="n"/>
      <c r="S627" s="32">
        <f>IF($F627="","",IF(IFERROR(VLOOKUP($F627,'维度字典'!$I$2:$J$50,2,0),"求和")="手工录入","",IF(IFERROR(VLOOKUP($F627,'维度字典'!$I$2:$J$50,2,0),"求和")="最新值",IFERROR(LOOKUP(9.99E+307,G627:R627),""),SUM(G627:R627))))</f>
        <v/>
      </c>
      <c r="T627" s="33" t="n"/>
      <c r="U627" s="33" t="n"/>
    </row>
    <row r="628">
      <c r="A628" s="26">
        <f>IF($B628="","",ROW()-3)</f>
        <v/>
      </c>
      <c r="B628" s="27" t="n"/>
      <c r="C628" s="27" t="n"/>
      <c r="D628" s="28" t="n"/>
      <c r="E628" s="29" t="n"/>
      <c r="F628" s="30" t="n"/>
      <c r="G628" s="31" t="n"/>
      <c r="H628" s="31" t="n"/>
      <c r="I628" s="31" t="n"/>
      <c r="J628" s="31" t="n"/>
      <c r="K628" s="31" t="n"/>
      <c r="L628" s="31" t="n"/>
      <c r="M628" s="31" t="n"/>
      <c r="N628" s="31" t="n"/>
      <c r="O628" s="31" t="n"/>
      <c r="P628" s="31" t="n"/>
      <c r="Q628" s="31" t="n"/>
      <c r="R628" s="31" t="n"/>
      <c r="S628" s="32">
        <f>IF($F628="","",IF(IFERROR(VLOOKUP($F628,'维度字典'!$I$2:$J$50,2,0),"求和")="手工录入","",IF(IFERROR(VLOOKUP($F628,'维度字典'!$I$2:$J$50,2,0),"求和")="最新值",IFERROR(LOOKUP(9.99E+307,G628:R628),""),SUM(G628:R628))))</f>
        <v/>
      </c>
      <c r="T628" s="33" t="n"/>
      <c r="U628" s="33" t="n"/>
    </row>
    <row r="629">
      <c r="A629" s="26">
        <f>IF($B629="","",ROW()-3)</f>
        <v/>
      </c>
      <c r="B629" s="27" t="n"/>
      <c r="C629" s="27" t="n"/>
      <c r="D629" s="28" t="n"/>
      <c r="E629" s="29" t="n"/>
      <c r="F629" s="30" t="n"/>
      <c r="G629" s="31" t="n"/>
      <c r="H629" s="31" t="n"/>
      <c r="I629" s="31" t="n"/>
      <c r="J629" s="31" t="n"/>
      <c r="K629" s="31" t="n"/>
      <c r="L629" s="31" t="n"/>
      <c r="M629" s="31" t="n"/>
      <c r="N629" s="31" t="n"/>
      <c r="O629" s="31" t="n"/>
      <c r="P629" s="31" t="n"/>
      <c r="Q629" s="31" t="n"/>
      <c r="R629" s="31" t="n"/>
      <c r="S629" s="32">
        <f>IF($F629="","",IF(IFERROR(VLOOKUP($F629,'维度字典'!$I$2:$J$50,2,0),"求和")="手工录入","",IF(IFERROR(VLOOKUP($F629,'维度字典'!$I$2:$J$50,2,0),"求和")="最新值",IFERROR(LOOKUP(9.99E+307,G629:R629),""),SUM(G629:R629))))</f>
        <v/>
      </c>
      <c r="T629" s="33" t="n"/>
      <c r="U629" s="33" t="n"/>
    </row>
    <row r="630">
      <c r="A630" s="26">
        <f>IF($B630="","",ROW()-3)</f>
        <v/>
      </c>
      <c r="B630" s="27" t="n"/>
      <c r="C630" s="27" t="n"/>
      <c r="D630" s="28" t="n"/>
      <c r="E630" s="29" t="n"/>
      <c r="F630" s="30" t="n"/>
      <c r="G630" s="31" t="n"/>
      <c r="H630" s="31" t="n"/>
      <c r="I630" s="31" t="n"/>
      <c r="J630" s="31" t="n"/>
      <c r="K630" s="31" t="n"/>
      <c r="L630" s="31" t="n"/>
      <c r="M630" s="31" t="n"/>
      <c r="N630" s="31" t="n"/>
      <c r="O630" s="31" t="n"/>
      <c r="P630" s="31" t="n"/>
      <c r="Q630" s="31" t="n"/>
      <c r="R630" s="31" t="n"/>
      <c r="S630" s="32">
        <f>IF($F630="","",IF(IFERROR(VLOOKUP($F630,'维度字典'!$I$2:$J$50,2,0),"求和")="手工录入","",IF(IFERROR(VLOOKUP($F630,'维度字典'!$I$2:$J$50,2,0),"求和")="最新值",IFERROR(LOOKUP(9.99E+307,G630:R630),""),SUM(G630:R630))))</f>
        <v/>
      </c>
      <c r="T630" s="33" t="n"/>
      <c r="U630" s="33" t="n"/>
    </row>
    <row r="631">
      <c r="A631" s="26">
        <f>IF($B631="","",ROW()-3)</f>
        <v/>
      </c>
      <c r="B631" s="27" t="n"/>
      <c r="C631" s="27" t="n"/>
      <c r="D631" s="28" t="n"/>
      <c r="E631" s="29" t="n"/>
      <c r="F631" s="30" t="n"/>
      <c r="G631" s="31" t="n"/>
      <c r="H631" s="31" t="n"/>
      <c r="I631" s="31" t="n"/>
      <c r="J631" s="31" t="n"/>
      <c r="K631" s="31" t="n"/>
      <c r="L631" s="31" t="n"/>
      <c r="M631" s="31" t="n"/>
      <c r="N631" s="31" t="n"/>
      <c r="O631" s="31" t="n"/>
      <c r="P631" s="31" t="n"/>
      <c r="Q631" s="31" t="n"/>
      <c r="R631" s="31" t="n"/>
      <c r="S631" s="32">
        <f>IF($F631="","",IF(IFERROR(VLOOKUP($F631,'维度字典'!$I$2:$J$50,2,0),"求和")="手工录入","",IF(IFERROR(VLOOKUP($F631,'维度字典'!$I$2:$J$50,2,0),"求和")="最新值",IFERROR(LOOKUP(9.99E+307,G631:R631),""),SUM(G631:R631))))</f>
        <v/>
      </c>
      <c r="T631" s="33" t="n"/>
      <c r="U631" s="33" t="n"/>
    </row>
    <row r="632">
      <c r="A632" s="26">
        <f>IF($B632="","",ROW()-3)</f>
        <v/>
      </c>
      <c r="B632" s="27" t="n"/>
      <c r="C632" s="27" t="n"/>
      <c r="D632" s="28" t="n"/>
      <c r="E632" s="29" t="n"/>
      <c r="F632" s="30" t="n"/>
      <c r="G632" s="31" t="n"/>
      <c r="H632" s="31" t="n"/>
      <c r="I632" s="31" t="n"/>
      <c r="J632" s="31" t="n"/>
      <c r="K632" s="31" t="n"/>
      <c r="L632" s="31" t="n"/>
      <c r="M632" s="31" t="n"/>
      <c r="N632" s="31" t="n"/>
      <c r="O632" s="31" t="n"/>
      <c r="P632" s="31" t="n"/>
      <c r="Q632" s="31" t="n"/>
      <c r="R632" s="31" t="n"/>
      <c r="S632" s="32">
        <f>IF($F632="","",IF(IFERROR(VLOOKUP($F632,'维度字典'!$I$2:$J$50,2,0),"求和")="手工录入","",IF(IFERROR(VLOOKUP($F632,'维度字典'!$I$2:$J$50,2,0),"求和")="最新值",IFERROR(LOOKUP(9.99E+307,G632:R632),""),SUM(G632:R632))))</f>
        <v/>
      </c>
      <c r="T632" s="33" t="n"/>
      <c r="U632" s="33" t="n"/>
    </row>
    <row r="633">
      <c r="A633" s="26">
        <f>IF($B633="","",ROW()-3)</f>
        <v/>
      </c>
      <c r="B633" s="27" t="n"/>
      <c r="C633" s="27" t="n"/>
      <c r="D633" s="28" t="n"/>
      <c r="E633" s="29" t="n"/>
      <c r="F633" s="30" t="n"/>
      <c r="G633" s="31" t="n"/>
      <c r="H633" s="31" t="n"/>
      <c r="I633" s="31" t="n"/>
      <c r="J633" s="31" t="n"/>
      <c r="K633" s="31" t="n"/>
      <c r="L633" s="31" t="n"/>
      <c r="M633" s="31" t="n"/>
      <c r="N633" s="31" t="n"/>
      <c r="O633" s="31" t="n"/>
      <c r="P633" s="31" t="n"/>
      <c r="Q633" s="31" t="n"/>
      <c r="R633" s="31" t="n"/>
      <c r="S633" s="32">
        <f>IF($F633="","",IF(IFERROR(VLOOKUP($F633,'维度字典'!$I$2:$J$50,2,0),"求和")="手工录入","",IF(IFERROR(VLOOKUP($F633,'维度字典'!$I$2:$J$50,2,0),"求和")="最新值",IFERROR(LOOKUP(9.99E+307,G633:R633),""),SUM(G633:R633))))</f>
        <v/>
      </c>
      <c r="T633" s="33" t="n"/>
      <c r="U633" s="33" t="n"/>
    </row>
    <row r="634">
      <c r="A634" s="26">
        <f>IF($B634="","",ROW()-3)</f>
        <v/>
      </c>
      <c r="B634" s="27" t="n"/>
      <c r="C634" s="27" t="n"/>
      <c r="D634" s="28" t="n"/>
      <c r="E634" s="29" t="n"/>
      <c r="F634" s="30" t="n"/>
      <c r="G634" s="31" t="n"/>
      <c r="H634" s="31" t="n"/>
      <c r="I634" s="31" t="n"/>
      <c r="J634" s="31" t="n"/>
      <c r="K634" s="31" t="n"/>
      <c r="L634" s="31" t="n"/>
      <c r="M634" s="31" t="n"/>
      <c r="N634" s="31" t="n"/>
      <c r="O634" s="31" t="n"/>
      <c r="P634" s="31" t="n"/>
      <c r="Q634" s="31" t="n"/>
      <c r="R634" s="31" t="n"/>
      <c r="S634" s="32">
        <f>IF($F634="","",IF(IFERROR(VLOOKUP($F634,'维度字典'!$I$2:$J$50,2,0),"求和")="手工录入","",IF(IFERROR(VLOOKUP($F634,'维度字典'!$I$2:$J$50,2,0),"求和")="最新值",IFERROR(LOOKUP(9.99E+307,G634:R634),""),SUM(G634:R634))))</f>
        <v/>
      </c>
      <c r="T634" s="33" t="n"/>
      <c r="U634" s="33" t="n"/>
    </row>
    <row r="635">
      <c r="A635" s="26">
        <f>IF($B635="","",ROW()-3)</f>
        <v/>
      </c>
      <c r="B635" s="27" t="n"/>
      <c r="C635" s="27" t="n"/>
      <c r="D635" s="28" t="n"/>
      <c r="E635" s="29" t="n"/>
      <c r="F635" s="30" t="n"/>
      <c r="G635" s="31" t="n"/>
      <c r="H635" s="31" t="n"/>
      <c r="I635" s="31" t="n"/>
      <c r="J635" s="31" t="n"/>
      <c r="K635" s="31" t="n"/>
      <c r="L635" s="31" t="n"/>
      <c r="M635" s="31" t="n"/>
      <c r="N635" s="31" t="n"/>
      <c r="O635" s="31" t="n"/>
      <c r="P635" s="31" t="n"/>
      <c r="Q635" s="31" t="n"/>
      <c r="R635" s="31" t="n"/>
      <c r="S635" s="32">
        <f>IF($F635="","",IF(IFERROR(VLOOKUP($F635,'维度字典'!$I$2:$J$50,2,0),"求和")="手工录入","",IF(IFERROR(VLOOKUP($F635,'维度字典'!$I$2:$J$50,2,0),"求和")="最新值",IFERROR(LOOKUP(9.99E+307,G635:R635),""),SUM(G635:R635))))</f>
        <v/>
      </c>
      <c r="T635" s="33" t="n"/>
      <c r="U635" s="33" t="n"/>
    </row>
    <row r="636">
      <c r="A636" s="26">
        <f>IF($B636="","",ROW()-3)</f>
        <v/>
      </c>
      <c r="B636" s="27" t="n"/>
      <c r="C636" s="27" t="n"/>
      <c r="D636" s="28" t="n"/>
      <c r="E636" s="29" t="n"/>
      <c r="F636" s="30" t="n"/>
      <c r="G636" s="31" t="n"/>
      <c r="H636" s="31" t="n"/>
      <c r="I636" s="31" t="n"/>
      <c r="J636" s="31" t="n"/>
      <c r="K636" s="31" t="n"/>
      <c r="L636" s="31" t="n"/>
      <c r="M636" s="31" t="n"/>
      <c r="N636" s="31" t="n"/>
      <c r="O636" s="31" t="n"/>
      <c r="P636" s="31" t="n"/>
      <c r="Q636" s="31" t="n"/>
      <c r="R636" s="31" t="n"/>
      <c r="S636" s="32">
        <f>IF($F636="","",IF(IFERROR(VLOOKUP($F636,'维度字典'!$I$2:$J$50,2,0),"求和")="手工录入","",IF(IFERROR(VLOOKUP($F636,'维度字典'!$I$2:$J$50,2,0),"求和")="最新值",IFERROR(LOOKUP(9.99E+307,G636:R636),""),SUM(G636:R636))))</f>
        <v/>
      </c>
      <c r="T636" s="33" t="n"/>
      <c r="U636" s="33" t="n"/>
    </row>
    <row r="637">
      <c r="A637" s="26">
        <f>IF($B637="","",ROW()-3)</f>
        <v/>
      </c>
      <c r="B637" s="27" t="n"/>
      <c r="C637" s="27" t="n"/>
      <c r="D637" s="28" t="n"/>
      <c r="E637" s="29" t="n"/>
      <c r="F637" s="30" t="n"/>
      <c r="G637" s="31" t="n"/>
      <c r="H637" s="31" t="n"/>
      <c r="I637" s="31" t="n"/>
      <c r="J637" s="31" t="n"/>
      <c r="K637" s="31" t="n"/>
      <c r="L637" s="31" t="n"/>
      <c r="M637" s="31" t="n"/>
      <c r="N637" s="31" t="n"/>
      <c r="O637" s="31" t="n"/>
      <c r="P637" s="31" t="n"/>
      <c r="Q637" s="31" t="n"/>
      <c r="R637" s="31" t="n"/>
      <c r="S637" s="32">
        <f>IF($F637="","",IF(IFERROR(VLOOKUP($F637,'维度字典'!$I$2:$J$50,2,0),"求和")="手工录入","",IF(IFERROR(VLOOKUP($F637,'维度字典'!$I$2:$J$50,2,0),"求和")="最新值",IFERROR(LOOKUP(9.99E+307,G637:R637),""),SUM(G637:R637))))</f>
        <v/>
      </c>
      <c r="T637" s="33" t="n"/>
      <c r="U637" s="33" t="n"/>
    </row>
    <row r="638">
      <c r="A638" s="26">
        <f>IF($B638="","",ROW()-3)</f>
        <v/>
      </c>
      <c r="B638" s="27" t="n"/>
      <c r="C638" s="27" t="n"/>
      <c r="D638" s="28" t="n"/>
      <c r="E638" s="29" t="n"/>
      <c r="F638" s="30" t="n"/>
      <c r="G638" s="31" t="n"/>
      <c r="H638" s="31" t="n"/>
      <c r="I638" s="31" t="n"/>
      <c r="J638" s="31" t="n"/>
      <c r="K638" s="31" t="n"/>
      <c r="L638" s="31" t="n"/>
      <c r="M638" s="31" t="n"/>
      <c r="N638" s="31" t="n"/>
      <c r="O638" s="31" t="n"/>
      <c r="P638" s="31" t="n"/>
      <c r="Q638" s="31" t="n"/>
      <c r="R638" s="31" t="n"/>
      <c r="S638" s="32">
        <f>IF($F638="","",IF(IFERROR(VLOOKUP($F638,'维度字典'!$I$2:$J$50,2,0),"求和")="手工录入","",IF(IFERROR(VLOOKUP($F638,'维度字典'!$I$2:$J$50,2,0),"求和")="最新值",IFERROR(LOOKUP(9.99E+307,G638:R638),""),SUM(G638:R638))))</f>
        <v/>
      </c>
      <c r="T638" s="33" t="n"/>
      <c r="U638" s="33" t="n"/>
    </row>
    <row r="639">
      <c r="A639" s="26">
        <f>IF($B639="","",ROW()-3)</f>
        <v/>
      </c>
      <c r="B639" s="27" t="n"/>
      <c r="C639" s="27" t="n"/>
      <c r="D639" s="28" t="n"/>
      <c r="E639" s="29" t="n"/>
      <c r="F639" s="30" t="n"/>
      <c r="G639" s="31" t="n"/>
      <c r="H639" s="31" t="n"/>
      <c r="I639" s="31" t="n"/>
      <c r="J639" s="31" t="n"/>
      <c r="K639" s="31" t="n"/>
      <c r="L639" s="31" t="n"/>
      <c r="M639" s="31" t="n"/>
      <c r="N639" s="31" t="n"/>
      <c r="O639" s="31" t="n"/>
      <c r="P639" s="31" t="n"/>
      <c r="Q639" s="31" t="n"/>
      <c r="R639" s="31" t="n"/>
      <c r="S639" s="32">
        <f>IF($F639="","",IF(IFERROR(VLOOKUP($F639,'维度字典'!$I$2:$J$50,2,0),"求和")="手工录入","",IF(IFERROR(VLOOKUP($F639,'维度字典'!$I$2:$J$50,2,0),"求和")="最新值",IFERROR(LOOKUP(9.99E+307,G639:R639),""),SUM(G639:R639))))</f>
        <v/>
      </c>
      <c r="T639" s="33" t="n"/>
      <c r="U639" s="33" t="n"/>
    </row>
    <row r="640">
      <c r="A640" s="26">
        <f>IF($B640="","",ROW()-3)</f>
        <v/>
      </c>
      <c r="B640" s="27" t="n"/>
      <c r="C640" s="27" t="n"/>
      <c r="D640" s="28" t="n"/>
      <c r="E640" s="29" t="n"/>
      <c r="F640" s="30" t="n"/>
      <c r="G640" s="31" t="n"/>
      <c r="H640" s="31" t="n"/>
      <c r="I640" s="31" t="n"/>
      <c r="J640" s="31" t="n"/>
      <c r="K640" s="31" t="n"/>
      <c r="L640" s="31" t="n"/>
      <c r="M640" s="31" t="n"/>
      <c r="N640" s="31" t="n"/>
      <c r="O640" s="31" t="n"/>
      <c r="P640" s="31" t="n"/>
      <c r="Q640" s="31" t="n"/>
      <c r="R640" s="31" t="n"/>
      <c r="S640" s="32">
        <f>IF($F640="","",IF(IFERROR(VLOOKUP($F640,'维度字典'!$I$2:$J$50,2,0),"求和")="手工录入","",IF(IFERROR(VLOOKUP($F640,'维度字典'!$I$2:$J$50,2,0),"求和")="最新值",IFERROR(LOOKUP(9.99E+307,G640:R640),""),SUM(G640:R640))))</f>
        <v/>
      </c>
      <c r="T640" s="33" t="n"/>
      <c r="U640" s="33" t="n"/>
    </row>
    <row r="641">
      <c r="A641" s="26">
        <f>IF($B641="","",ROW()-3)</f>
        <v/>
      </c>
      <c r="B641" s="27" t="n"/>
      <c r="C641" s="27" t="n"/>
      <c r="D641" s="28" t="n"/>
      <c r="E641" s="29" t="n"/>
      <c r="F641" s="30" t="n"/>
      <c r="G641" s="31" t="n"/>
      <c r="H641" s="31" t="n"/>
      <c r="I641" s="31" t="n"/>
      <c r="J641" s="31" t="n"/>
      <c r="K641" s="31" t="n"/>
      <c r="L641" s="31" t="n"/>
      <c r="M641" s="31" t="n"/>
      <c r="N641" s="31" t="n"/>
      <c r="O641" s="31" t="n"/>
      <c r="P641" s="31" t="n"/>
      <c r="Q641" s="31" t="n"/>
      <c r="R641" s="31" t="n"/>
      <c r="S641" s="32">
        <f>IF($F641="","",IF(IFERROR(VLOOKUP($F641,'维度字典'!$I$2:$J$50,2,0),"求和")="手工录入","",IF(IFERROR(VLOOKUP($F641,'维度字典'!$I$2:$J$50,2,0),"求和")="最新值",IFERROR(LOOKUP(9.99E+307,G641:R641),""),SUM(G641:R641))))</f>
        <v/>
      </c>
      <c r="T641" s="33" t="n"/>
      <c r="U641" s="33" t="n"/>
    </row>
    <row r="642">
      <c r="A642" s="26">
        <f>IF($B642="","",ROW()-3)</f>
        <v/>
      </c>
      <c r="B642" s="27" t="n"/>
      <c r="C642" s="27" t="n"/>
      <c r="D642" s="28" t="n"/>
      <c r="E642" s="29" t="n"/>
      <c r="F642" s="30" t="n"/>
      <c r="G642" s="31" t="n"/>
      <c r="H642" s="31" t="n"/>
      <c r="I642" s="31" t="n"/>
      <c r="J642" s="31" t="n"/>
      <c r="K642" s="31" t="n"/>
      <c r="L642" s="31" t="n"/>
      <c r="M642" s="31" t="n"/>
      <c r="N642" s="31" t="n"/>
      <c r="O642" s="31" t="n"/>
      <c r="P642" s="31" t="n"/>
      <c r="Q642" s="31" t="n"/>
      <c r="R642" s="31" t="n"/>
      <c r="S642" s="32">
        <f>IF($F642="","",IF(IFERROR(VLOOKUP($F642,'维度字典'!$I$2:$J$50,2,0),"求和")="手工录入","",IF(IFERROR(VLOOKUP($F642,'维度字典'!$I$2:$J$50,2,0),"求和")="最新值",IFERROR(LOOKUP(9.99E+307,G642:R642),""),SUM(G642:R642))))</f>
        <v/>
      </c>
      <c r="T642" s="33" t="n"/>
      <c r="U642" s="33" t="n"/>
    </row>
    <row r="643">
      <c r="A643" s="26">
        <f>IF($B643="","",ROW()-3)</f>
        <v/>
      </c>
      <c r="B643" s="27" t="n"/>
      <c r="C643" s="27" t="n"/>
      <c r="D643" s="28" t="n"/>
      <c r="E643" s="29" t="n"/>
      <c r="F643" s="30" t="n"/>
      <c r="G643" s="31" t="n"/>
      <c r="H643" s="31" t="n"/>
      <c r="I643" s="31" t="n"/>
      <c r="J643" s="31" t="n"/>
      <c r="K643" s="31" t="n"/>
      <c r="L643" s="31" t="n"/>
      <c r="M643" s="31" t="n"/>
      <c r="N643" s="31" t="n"/>
      <c r="O643" s="31" t="n"/>
      <c r="P643" s="31" t="n"/>
      <c r="Q643" s="31" t="n"/>
      <c r="R643" s="31" t="n"/>
      <c r="S643" s="32">
        <f>IF($F643="","",IF(IFERROR(VLOOKUP($F643,'维度字典'!$I$2:$J$50,2,0),"求和")="手工录入","",IF(IFERROR(VLOOKUP($F643,'维度字典'!$I$2:$J$50,2,0),"求和")="最新值",IFERROR(LOOKUP(9.99E+307,G643:R643),""),SUM(G643:R643))))</f>
        <v/>
      </c>
      <c r="T643" s="33" t="n"/>
      <c r="U643" s="33" t="n"/>
    </row>
    <row r="644">
      <c r="A644" s="26">
        <f>IF($B644="","",ROW()-3)</f>
        <v/>
      </c>
      <c r="B644" s="27" t="n"/>
      <c r="C644" s="27" t="n"/>
      <c r="D644" s="28" t="n"/>
      <c r="E644" s="29" t="n"/>
      <c r="F644" s="30" t="n"/>
      <c r="G644" s="31" t="n"/>
      <c r="H644" s="31" t="n"/>
      <c r="I644" s="31" t="n"/>
      <c r="J644" s="31" t="n"/>
      <c r="K644" s="31" t="n"/>
      <c r="L644" s="31" t="n"/>
      <c r="M644" s="31" t="n"/>
      <c r="N644" s="31" t="n"/>
      <c r="O644" s="31" t="n"/>
      <c r="P644" s="31" t="n"/>
      <c r="Q644" s="31" t="n"/>
      <c r="R644" s="31" t="n"/>
      <c r="S644" s="32">
        <f>IF($F644="","",IF(IFERROR(VLOOKUP($F644,'维度字典'!$I$2:$J$50,2,0),"求和")="手工录入","",IF(IFERROR(VLOOKUP($F644,'维度字典'!$I$2:$J$50,2,0),"求和")="最新值",IFERROR(LOOKUP(9.99E+307,G644:R644),""),SUM(G644:R644))))</f>
        <v/>
      </c>
      <c r="T644" s="33" t="n"/>
      <c r="U644" s="33" t="n"/>
    </row>
    <row r="645">
      <c r="A645" s="26">
        <f>IF($B645="","",ROW()-3)</f>
        <v/>
      </c>
      <c r="B645" s="27" t="n"/>
      <c r="C645" s="27" t="n"/>
      <c r="D645" s="28" t="n"/>
      <c r="E645" s="29" t="n"/>
      <c r="F645" s="30" t="n"/>
      <c r="G645" s="31" t="n"/>
      <c r="H645" s="31" t="n"/>
      <c r="I645" s="31" t="n"/>
      <c r="J645" s="31" t="n"/>
      <c r="K645" s="31" t="n"/>
      <c r="L645" s="31" t="n"/>
      <c r="M645" s="31" t="n"/>
      <c r="N645" s="31" t="n"/>
      <c r="O645" s="31" t="n"/>
      <c r="P645" s="31" t="n"/>
      <c r="Q645" s="31" t="n"/>
      <c r="R645" s="31" t="n"/>
      <c r="S645" s="32">
        <f>IF($F645="","",IF(IFERROR(VLOOKUP($F645,'维度字典'!$I$2:$J$50,2,0),"求和")="手工录入","",IF(IFERROR(VLOOKUP($F645,'维度字典'!$I$2:$J$50,2,0),"求和")="最新值",IFERROR(LOOKUP(9.99E+307,G645:R645),""),SUM(G645:R645))))</f>
        <v/>
      </c>
      <c r="T645" s="33" t="n"/>
      <c r="U645" s="33" t="n"/>
    </row>
    <row r="646">
      <c r="A646" s="26">
        <f>IF($B646="","",ROW()-3)</f>
        <v/>
      </c>
      <c r="B646" s="27" t="n"/>
      <c r="C646" s="27" t="n"/>
      <c r="D646" s="28" t="n"/>
      <c r="E646" s="29" t="n"/>
      <c r="F646" s="30" t="n"/>
      <c r="G646" s="31" t="n"/>
      <c r="H646" s="31" t="n"/>
      <c r="I646" s="31" t="n"/>
      <c r="J646" s="31" t="n"/>
      <c r="K646" s="31" t="n"/>
      <c r="L646" s="31" t="n"/>
      <c r="M646" s="31" t="n"/>
      <c r="N646" s="31" t="n"/>
      <c r="O646" s="31" t="n"/>
      <c r="P646" s="31" t="n"/>
      <c r="Q646" s="31" t="n"/>
      <c r="R646" s="31" t="n"/>
      <c r="S646" s="32">
        <f>IF($F646="","",IF(IFERROR(VLOOKUP($F646,'维度字典'!$I$2:$J$50,2,0),"求和")="手工录入","",IF(IFERROR(VLOOKUP($F646,'维度字典'!$I$2:$J$50,2,0),"求和")="最新值",IFERROR(LOOKUP(9.99E+307,G646:R646),""),SUM(G646:R646))))</f>
        <v/>
      </c>
      <c r="T646" s="33" t="n"/>
      <c r="U646" s="33" t="n"/>
    </row>
    <row r="647">
      <c r="A647" s="26">
        <f>IF($B647="","",ROW()-3)</f>
        <v/>
      </c>
      <c r="B647" s="27" t="n"/>
      <c r="C647" s="27" t="n"/>
      <c r="D647" s="28" t="n"/>
      <c r="E647" s="29" t="n"/>
      <c r="F647" s="30" t="n"/>
      <c r="G647" s="31" t="n"/>
      <c r="H647" s="31" t="n"/>
      <c r="I647" s="31" t="n"/>
      <c r="J647" s="31" t="n"/>
      <c r="K647" s="31" t="n"/>
      <c r="L647" s="31" t="n"/>
      <c r="M647" s="31" t="n"/>
      <c r="N647" s="31" t="n"/>
      <c r="O647" s="31" t="n"/>
      <c r="P647" s="31" t="n"/>
      <c r="Q647" s="31" t="n"/>
      <c r="R647" s="31" t="n"/>
      <c r="S647" s="32">
        <f>IF($F647="","",IF(IFERROR(VLOOKUP($F647,'维度字典'!$I$2:$J$50,2,0),"求和")="手工录入","",IF(IFERROR(VLOOKUP($F647,'维度字典'!$I$2:$J$50,2,0),"求和")="最新值",IFERROR(LOOKUP(9.99E+307,G647:R647),""),SUM(G647:R647))))</f>
        <v/>
      </c>
      <c r="T647" s="33" t="n"/>
      <c r="U647" s="33" t="n"/>
    </row>
    <row r="648">
      <c r="A648" s="26">
        <f>IF($B648="","",ROW()-3)</f>
        <v/>
      </c>
      <c r="B648" s="27" t="n"/>
      <c r="C648" s="27" t="n"/>
      <c r="D648" s="28" t="n"/>
      <c r="E648" s="29" t="n"/>
      <c r="F648" s="30" t="n"/>
      <c r="G648" s="31" t="n"/>
      <c r="H648" s="31" t="n"/>
      <c r="I648" s="31" t="n"/>
      <c r="J648" s="31" t="n"/>
      <c r="K648" s="31" t="n"/>
      <c r="L648" s="31" t="n"/>
      <c r="M648" s="31" t="n"/>
      <c r="N648" s="31" t="n"/>
      <c r="O648" s="31" t="n"/>
      <c r="P648" s="31" t="n"/>
      <c r="Q648" s="31" t="n"/>
      <c r="R648" s="31" t="n"/>
      <c r="S648" s="32">
        <f>IF($F648="","",IF(IFERROR(VLOOKUP($F648,'维度字典'!$I$2:$J$50,2,0),"求和")="手工录入","",IF(IFERROR(VLOOKUP($F648,'维度字典'!$I$2:$J$50,2,0),"求和")="最新值",IFERROR(LOOKUP(9.99E+307,G648:R648),""),SUM(G648:R648))))</f>
        <v/>
      </c>
      <c r="T648" s="33" t="n"/>
      <c r="U648" s="33" t="n"/>
    </row>
    <row r="649">
      <c r="A649" s="26">
        <f>IF($B649="","",ROW()-3)</f>
        <v/>
      </c>
      <c r="B649" s="27" t="n"/>
      <c r="C649" s="27" t="n"/>
      <c r="D649" s="28" t="n"/>
      <c r="E649" s="29" t="n"/>
      <c r="F649" s="30" t="n"/>
      <c r="G649" s="31" t="n"/>
      <c r="H649" s="31" t="n"/>
      <c r="I649" s="31" t="n"/>
      <c r="J649" s="31" t="n"/>
      <c r="K649" s="31" t="n"/>
      <c r="L649" s="31" t="n"/>
      <c r="M649" s="31" t="n"/>
      <c r="N649" s="31" t="n"/>
      <c r="O649" s="31" t="n"/>
      <c r="P649" s="31" t="n"/>
      <c r="Q649" s="31" t="n"/>
      <c r="R649" s="31" t="n"/>
      <c r="S649" s="32">
        <f>IF($F649="","",IF(IFERROR(VLOOKUP($F649,'维度字典'!$I$2:$J$50,2,0),"求和")="手工录入","",IF(IFERROR(VLOOKUP($F649,'维度字典'!$I$2:$J$50,2,0),"求和")="最新值",IFERROR(LOOKUP(9.99E+307,G649:R649),""),SUM(G649:R649))))</f>
        <v/>
      </c>
      <c r="T649" s="33" t="n"/>
      <c r="U649" s="33" t="n"/>
    </row>
    <row r="650">
      <c r="A650" s="26">
        <f>IF($B650="","",ROW()-3)</f>
        <v/>
      </c>
      <c r="B650" s="27" t="n"/>
      <c r="C650" s="27" t="n"/>
      <c r="D650" s="28" t="n"/>
      <c r="E650" s="29" t="n"/>
      <c r="F650" s="30" t="n"/>
      <c r="G650" s="31" t="n"/>
      <c r="H650" s="31" t="n"/>
      <c r="I650" s="31" t="n"/>
      <c r="J650" s="31" t="n"/>
      <c r="K650" s="31" t="n"/>
      <c r="L650" s="31" t="n"/>
      <c r="M650" s="31" t="n"/>
      <c r="N650" s="31" t="n"/>
      <c r="O650" s="31" t="n"/>
      <c r="P650" s="31" t="n"/>
      <c r="Q650" s="31" t="n"/>
      <c r="R650" s="31" t="n"/>
      <c r="S650" s="32">
        <f>IF($F650="","",IF(IFERROR(VLOOKUP($F650,'维度字典'!$I$2:$J$50,2,0),"求和")="手工录入","",IF(IFERROR(VLOOKUP($F650,'维度字典'!$I$2:$J$50,2,0),"求和")="最新值",IFERROR(LOOKUP(9.99E+307,G650:R650),""),SUM(G650:R650))))</f>
        <v/>
      </c>
      <c r="T650" s="33" t="n"/>
      <c r="U650" s="33" t="n"/>
    </row>
    <row r="651">
      <c r="A651" s="26">
        <f>IF($B651="","",ROW()-3)</f>
        <v/>
      </c>
      <c r="B651" s="27" t="n"/>
      <c r="C651" s="27" t="n"/>
      <c r="D651" s="28" t="n"/>
      <c r="E651" s="29" t="n"/>
      <c r="F651" s="30" t="n"/>
      <c r="G651" s="31" t="n"/>
      <c r="H651" s="31" t="n"/>
      <c r="I651" s="31" t="n"/>
      <c r="J651" s="31" t="n"/>
      <c r="K651" s="31" t="n"/>
      <c r="L651" s="31" t="n"/>
      <c r="M651" s="31" t="n"/>
      <c r="N651" s="31" t="n"/>
      <c r="O651" s="31" t="n"/>
      <c r="P651" s="31" t="n"/>
      <c r="Q651" s="31" t="n"/>
      <c r="R651" s="31" t="n"/>
      <c r="S651" s="32">
        <f>IF($F651="","",IF(IFERROR(VLOOKUP($F651,'维度字典'!$I$2:$J$50,2,0),"求和")="手工录入","",IF(IFERROR(VLOOKUP($F651,'维度字典'!$I$2:$J$50,2,0),"求和")="最新值",IFERROR(LOOKUP(9.99E+307,G651:R651),""),SUM(G651:R651))))</f>
        <v/>
      </c>
      <c r="T651" s="33" t="n"/>
      <c r="U651" s="33" t="n"/>
    </row>
    <row r="652">
      <c r="A652" s="26">
        <f>IF($B652="","",ROW()-3)</f>
        <v/>
      </c>
      <c r="B652" s="27" t="n"/>
      <c r="C652" s="27" t="n"/>
      <c r="D652" s="28" t="n"/>
      <c r="E652" s="29" t="n"/>
      <c r="F652" s="30" t="n"/>
      <c r="G652" s="31" t="n"/>
      <c r="H652" s="31" t="n"/>
      <c r="I652" s="31" t="n"/>
      <c r="J652" s="31" t="n"/>
      <c r="K652" s="31" t="n"/>
      <c r="L652" s="31" t="n"/>
      <c r="M652" s="31" t="n"/>
      <c r="N652" s="31" t="n"/>
      <c r="O652" s="31" t="n"/>
      <c r="P652" s="31" t="n"/>
      <c r="Q652" s="31" t="n"/>
      <c r="R652" s="31" t="n"/>
      <c r="S652" s="32">
        <f>IF($F652="","",IF(IFERROR(VLOOKUP($F652,'维度字典'!$I$2:$J$50,2,0),"求和")="手工录入","",IF(IFERROR(VLOOKUP($F652,'维度字典'!$I$2:$J$50,2,0),"求和")="最新值",IFERROR(LOOKUP(9.99E+307,G652:R652),""),SUM(G652:R652))))</f>
        <v/>
      </c>
      <c r="T652" s="33" t="n"/>
      <c r="U652" s="33" t="n"/>
    </row>
    <row r="653">
      <c r="A653" s="26">
        <f>IF($B653="","",ROW()-3)</f>
        <v/>
      </c>
      <c r="B653" s="27" t="n"/>
      <c r="C653" s="27" t="n"/>
      <c r="D653" s="28" t="n"/>
      <c r="E653" s="29" t="n"/>
      <c r="F653" s="30" t="n"/>
      <c r="G653" s="31" t="n"/>
      <c r="H653" s="31" t="n"/>
      <c r="I653" s="31" t="n"/>
      <c r="J653" s="31" t="n"/>
      <c r="K653" s="31" t="n"/>
      <c r="L653" s="31" t="n"/>
      <c r="M653" s="31" t="n"/>
      <c r="N653" s="31" t="n"/>
      <c r="O653" s="31" t="n"/>
      <c r="P653" s="31" t="n"/>
      <c r="Q653" s="31" t="n"/>
      <c r="R653" s="31" t="n"/>
      <c r="S653" s="32">
        <f>IF($F653="","",IF(IFERROR(VLOOKUP($F653,'维度字典'!$I$2:$J$50,2,0),"求和")="手工录入","",IF(IFERROR(VLOOKUP($F653,'维度字典'!$I$2:$J$50,2,0),"求和")="最新值",IFERROR(LOOKUP(9.99E+307,G653:R653),""),SUM(G653:R653))))</f>
        <v/>
      </c>
      <c r="T653" s="33" t="n"/>
      <c r="U653" s="33" t="n"/>
    </row>
    <row r="654">
      <c r="A654" s="26">
        <f>IF($B654="","",ROW()-3)</f>
        <v/>
      </c>
      <c r="B654" s="27" t="n"/>
      <c r="C654" s="27" t="n"/>
      <c r="D654" s="28" t="n"/>
      <c r="E654" s="29" t="n"/>
      <c r="F654" s="30" t="n"/>
      <c r="G654" s="31" t="n"/>
      <c r="H654" s="31" t="n"/>
      <c r="I654" s="31" t="n"/>
      <c r="J654" s="31" t="n"/>
      <c r="K654" s="31" t="n"/>
      <c r="L654" s="31" t="n"/>
      <c r="M654" s="31" t="n"/>
      <c r="N654" s="31" t="n"/>
      <c r="O654" s="31" t="n"/>
      <c r="P654" s="31" t="n"/>
      <c r="Q654" s="31" t="n"/>
      <c r="R654" s="31" t="n"/>
      <c r="S654" s="32">
        <f>IF($F654="","",IF(IFERROR(VLOOKUP($F654,'维度字典'!$I$2:$J$50,2,0),"求和")="手工录入","",IF(IFERROR(VLOOKUP($F654,'维度字典'!$I$2:$J$50,2,0),"求和")="最新值",IFERROR(LOOKUP(9.99E+307,G654:R654),""),SUM(G654:R654))))</f>
        <v/>
      </c>
      <c r="T654" s="33" t="n"/>
      <c r="U654" s="33" t="n"/>
    </row>
    <row r="655">
      <c r="A655" s="26">
        <f>IF($B655="","",ROW()-3)</f>
        <v/>
      </c>
      <c r="B655" s="27" t="n"/>
      <c r="C655" s="27" t="n"/>
      <c r="D655" s="28" t="n"/>
      <c r="E655" s="29" t="n"/>
      <c r="F655" s="30" t="n"/>
      <c r="G655" s="31" t="n"/>
      <c r="H655" s="31" t="n"/>
      <c r="I655" s="31" t="n"/>
      <c r="J655" s="31" t="n"/>
      <c r="K655" s="31" t="n"/>
      <c r="L655" s="31" t="n"/>
      <c r="M655" s="31" t="n"/>
      <c r="N655" s="31" t="n"/>
      <c r="O655" s="31" t="n"/>
      <c r="P655" s="31" t="n"/>
      <c r="Q655" s="31" t="n"/>
      <c r="R655" s="31" t="n"/>
      <c r="S655" s="32">
        <f>IF($F655="","",IF(IFERROR(VLOOKUP($F655,'维度字典'!$I$2:$J$50,2,0),"求和")="手工录入","",IF(IFERROR(VLOOKUP($F655,'维度字典'!$I$2:$J$50,2,0),"求和")="最新值",IFERROR(LOOKUP(9.99E+307,G655:R655),""),SUM(G655:R655))))</f>
        <v/>
      </c>
      <c r="T655" s="33" t="n"/>
      <c r="U655" s="33" t="n"/>
    </row>
    <row r="656">
      <c r="A656" s="26">
        <f>IF($B656="","",ROW()-3)</f>
        <v/>
      </c>
      <c r="B656" s="27" t="n"/>
      <c r="C656" s="27" t="n"/>
      <c r="D656" s="28" t="n"/>
      <c r="E656" s="29" t="n"/>
      <c r="F656" s="30" t="n"/>
      <c r="G656" s="31" t="n"/>
      <c r="H656" s="31" t="n"/>
      <c r="I656" s="31" t="n"/>
      <c r="J656" s="31" t="n"/>
      <c r="K656" s="31" t="n"/>
      <c r="L656" s="31" t="n"/>
      <c r="M656" s="31" t="n"/>
      <c r="N656" s="31" t="n"/>
      <c r="O656" s="31" t="n"/>
      <c r="P656" s="31" t="n"/>
      <c r="Q656" s="31" t="n"/>
      <c r="R656" s="31" t="n"/>
      <c r="S656" s="32">
        <f>IF($F656="","",IF(IFERROR(VLOOKUP($F656,'维度字典'!$I$2:$J$50,2,0),"求和")="手工录入","",IF(IFERROR(VLOOKUP($F656,'维度字典'!$I$2:$J$50,2,0),"求和")="最新值",IFERROR(LOOKUP(9.99E+307,G656:R656),""),SUM(G656:R656))))</f>
        <v/>
      </c>
      <c r="T656" s="33" t="n"/>
      <c r="U656" s="33" t="n"/>
    </row>
    <row r="657">
      <c r="A657" s="26">
        <f>IF($B657="","",ROW()-3)</f>
        <v/>
      </c>
      <c r="B657" s="27" t="n"/>
      <c r="C657" s="27" t="n"/>
      <c r="D657" s="28" t="n"/>
      <c r="E657" s="29" t="n"/>
      <c r="F657" s="30" t="n"/>
      <c r="G657" s="31" t="n"/>
      <c r="H657" s="31" t="n"/>
      <c r="I657" s="31" t="n"/>
      <c r="J657" s="31" t="n"/>
      <c r="K657" s="31" t="n"/>
      <c r="L657" s="31" t="n"/>
      <c r="M657" s="31" t="n"/>
      <c r="N657" s="31" t="n"/>
      <c r="O657" s="31" t="n"/>
      <c r="P657" s="31" t="n"/>
      <c r="Q657" s="31" t="n"/>
      <c r="R657" s="31" t="n"/>
      <c r="S657" s="32">
        <f>IF($F657="","",IF(IFERROR(VLOOKUP($F657,'维度字典'!$I$2:$J$50,2,0),"求和")="手工录入","",IF(IFERROR(VLOOKUP($F657,'维度字典'!$I$2:$J$50,2,0),"求和")="最新值",IFERROR(LOOKUP(9.99E+307,G657:R657),""),SUM(G657:R657))))</f>
        <v/>
      </c>
      <c r="T657" s="33" t="n"/>
      <c r="U657" s="33" t="n"/>
    </row>
    <row r="658">
      <c r="A658" s="26">
        <f>IF($B658="","",ROW()-3)</f>
        <v/>
      </c>
      <c r="B658" s="27" t="n"/>
      <c r="C658" s="27" t="n"/>
      <c r="D658" s="28" t="n"/>
      <c r="E658" s="29" t="n"/>
      <c r="F658" s="30" t="n"/>
      <c r="G658" s="31" t="n"/>
      <c r="H658" s="31" t="n"/>
      <c r="I658" s="31" t="n"/>
      <c r="J658" s="31" t="n"/>
      <c r="K658" s="31" t="n"/>
      <c r="L658" s="31" t="n"/>
      <c r="M658" s="31" t="n"/>
      <c r="N658" s="31" t="n"/>
      <c r="O658" s="31" t="n"/>
      <c r="P658" s="31" t="n"/>
      <c r="Q658" s="31" t="n"/>
      <c r="R658" s="31" t="n"/>
      <c r="S658" s="32">
        <f>IF($F658="","",IF(IFERROR(VLOOKUP($F658,'维度字典'!$I$2:$J$50,2,0),"求和")="手工录入","",IF(IFERROR(VLOOKUP($F658,'维度字典'!$I$2:$J$50,2,0),"求和")="最新值",IFERROR(LOOKUP(9.99E+307,G658:R658),""),SUM(G658:R658))))</f>
        <v/>
      </c>
      <c r="T658" s="33" t="n"/>
      <c r="U658" s="33" t="n"/>
    </row>
    <row r="659">
      <c r="A659" s="26">
        <f>IF($B659="","",ROW()-3)</f>
        <v/>
      </c>
      <c r="B659" s="27" t="n"/>
      <c r="C659" s="27" t="n"/>
      <c r="D659" s="28" t="n"/>
      <c r="E659" s="29" t="n"/>
      <c r="F659" s="30" t="n"/>
      <c r="G659" s="31" t="n"/>
      <c r="H659" s="31" t="n"/>
      <c r="I659" s="31" t="n"/>
      <c r="J659" s="31" t="n"/>
      <c r="K659" s="31" t="n"/>
      <c r="L659" s="31" t="n"/>
      <c r="M659" s="31" t="n"/>
      <c r="N659" s="31" t="n"/>
      <c r="O659" s="31" t="n"/>
      <c r="P659" s="31" t="n"/>
      <c r="Q659" s="31" t="n"/>
      <c r="R659" s="31" t="n"/>
      <c r="S659" s="32">
        <f>IF($F659="","",IF(IFERROR(VLOOKUP($F659,'维度字典'!$I$2:$J$50,2,0),"求和")="手工录入","",IF(IFERROR(VLOOKUP($F659,'维度字典'!$I$2:$J$50,2,0),"求和")="最新值",IFERROR(LOOKUP(9.99E+307,G659:R659),""),SUM(G659:R659))))</f>
        <v/>
      </c>
      <c r="T659" s="33" t="n"/>
      <c r="U659" s="33" t="n"/>
    </row>
    <row r="660">
      <c r="A660" s="26">
        <f>IF($B660="","",ROW()-3)</f>
        <v/>
      </c>
      <c r="B660" s="27" t="n"/>
      <c r="C660" s="27" t="n"/>
      <c r="D660" s="28" t="n"/>
      <c r="E660" s="29" t="n"/>
      <c r="F660" s="30" t="n"/>
      <c r="G660" s="31" t="n"/>
      <c r="H660" s="31" t="n"/>
      <c r="I660" s="31" t="n"/>
      <c r="J660" s="31" t="n"/>
      <c r="K660" s="31" t="n"/>
      <c r="L660" s="31" t="n"/>
      <c r="M660" s="31" t="n"/>
      <c r="N660" s="31" t="n"/>
      <c r="O660" s="31" t="n"/>
      <c r="P660" s="31" t="n"/>
      <c r="Q660" s="31" t="n"/>
      <c r="R660" s="31" t="n"/>
      <c r="S660" s="32">
        <f>IF($F660="","",IF(IFERROR(VLOOKUP($F660,'维度字典'!$I$2:$J$50,2,0),"求和")="手工录入","",IF(IFERROR(VLOOKUP($F660,'维度字典'!$I$2:$J$50,2,0),"求和")="最新值",IFERROR(LOOKUP(9.99E+307,G660:R660),""),SUM(G660:R660))))</f>
        <v/>
      </c>
      <c r="T660" s="33" t="n"/>
      <c r="U660" s="33" t="n"/>
    </row>
    <row r="661">
      <c r="A661" s="26">
        <f>IF($B661="","",ROW()-3)</f>
        <v/>
      </c>
      <c r="B661" s="27" t="n"/>
      <c r="C661" s="27" t="n"/>
      <c r="D661" s="28" t="n"/>
      <c r="E661" s="29" t="n"/>
      <c r="F661" s="30" t="n"/>
      <c r="G661" s="31" t="n"/>
      <c r="H661" s="31" t="n"/>
      <c r="I661" s="31" t="n"/>
      <c r="J661" s="31" t="n"/>
      <c r="K661" s="31" t="n"/>
      <c r="L661" s="31" t="n"/>
      <c r="M661" s="31" t="n"/>
      <c r="N661" s="31" t="n"/>
      <c r="O661" s="31" t="n"/>
      <c r="P661" s="31" t="n"/>
      <c r="Q661" s="31" t="n"/>
      <c r="R661" s="31" t="n"/>
      <c r="S661" s="32">
        <f>IF($F661="","",IF(IFERROR(VLOOKUP($F661,'维度字典'!$I$2:$J$50,2,0),"求和")="手工录入","",IF(IFERROR(VLOOKUP($F661,'维度字典'!$I$2:$J$50,2,0),"求和")="最新值",IFERROR(LOOKUP(9.99E+307,G661:R661),""),SUM(G661:R661))))</f>
        <v/>
      </c>
      <c r="T661" s="33" t="n"/>
      <c r="U661" s="33" t="n"/>
    </row>
    <row r="662">
      <c r="A662" s="26">
        <f>IF($B662="","",ROW()-3)</f>
        <v/>
      </c>
      <c r="B662" s="27" t="n"/>
      <c r="C662" s="27" t="n"/>
      <c r="D662" s="28" t="n"/>
      <c r="E662" s="29" t="n"/>
      <c r="F662" s="30" t="n"/>
      <c r="G662" s="31" t="n"/>
      <c r="H662" s="31" t="n"/>
      <c r="I662" s="31" t="n"/>
      <c r="J662" s="31" t="n"/>
      <c r="K662" s="31" t="n"/>
      <c r="L662" s="31" t="n"/>
      <c r="M662" s="31" t="n"/>
      <c r="N662" s="31" t="n"/>
      <c r="O662" s="31" t="n"/>
      <c r="P662" s="31" t="n"/>
      <c r="Q662" s="31" t="n"/>
      <c r="R662" s="31" t="n"/>
      <c r="S662" s="32">
        <f>IF($F662="","",IF(IFERROR(VLOOKUP($F662,'维度字典'!$I$2:$J$50,2,0),"求和")="手工录入","",IF(IFERROR(VLOOKUP($F662,'维度字典'!$I$2:$J$50,2,0),"求和")="最新值",IFERROR(LOOKUP(9.99E+307,G662:R662),""),SUM(G662:R662))))</f>
        <v/>
      </c>
      <c r="T662" s="33" t="n"/>
      <c r="U662" s="33" t="n"/>
    </row>
    <row r="663">
      <c r="A663" s="26">
        <f>IF($B663="","",ROW()-3)</f>
        <v/>
      </c>
      <c r="B663" s="27" t="n"/>
      <c r="C663" s="27" t="n"/>
      <c r="D663" s="28" t="n"/>
      <c r="E663" s="29" t="n"/>
      <c r="F663" s="30" t="n"/>
      <c r="G663" s="31" t="n"/>
      <c r="H663" s="31" t="n"/>
      <c r="I663" s="31" t="n"/>
      <c r="J663" s="31" t="n"/>
      <c r="K663" s="31" t="n"/>
      <c r="L663" s="31" t="n"/>
      <c r="M663" s="31" t="n"/>
      <c r="N663" s="31" t="n"/>
      <c r="O663" s="31" t="n"/>
      <c r="P663" s="31" t="n"/>
      <c r="Q663" s="31" t="n"/>
      <c r="R663" s="31" t="n"/>
      <c r="S663" s="32">
        <f>IF($F663="","",IF(IFERROR(VLOOKUP($F663,'维度字典'!$I$2:$J$50,2,0),"求和")="手工录入","",IF(IFERROR(VLOOKUP($F663,'维度字典'!$I$2:$J$50,2,0),"求和")="最新值",IFERROR(LOOKUP(9.99E+307,G663:R663),""),SUM(G663:R663))))</f>
        <v/>
      </c>
      <c r="T663" s="33" t="n"/>
      <c r="U663" s="33" t="n"/>
    </row>
    <row r="664">
      <c r="A664" s="26">
        <f>IF($B664="","",ROW()-3)</f>
        <v/>
      </c>
      <c r="B664" s="27" t="n"/>
      <c r="C664" s="27" t="n"/>
      <c r="D664" s="28" t="n"/>
      <c r="E664" s="29" t="n"/>
      <c r="F664" s="30" t="n"/>
      <c r="G664" s="31" t="n"/>
      <c r="H664" s="31" t="n"/>
      <c r="I664" s="31" t="n"/>
      <c r="J664" s="31" t="n"/>
      <c r="K664" s="31" t="n"/>
      <c r="L664" s="31" t="n"/>
      <c r="M664" s="31" t="n"/>
      <c r="N664" s="31" t="n"/>
      <c r="O664" s="31" t="n"/>
      <c r="P664" s="31" t="n"/>
      <c r="Q664" s="31" t="n"/>
      <c r="R664" s="31" t="n"/>
      <c r="S664" s="32">
        <f>IF($F664="","",IF(IFERROR(VLOOKUP($F664,'维度字典'!$I$2:$J$50,2,0),"求和")="手工录入","",IF(IFERROR(VLOOKUP($F664,'维度字典'!$I$2:$J$50,2,0),"求和")="最新值",IFERROR(LOOKUP(9.99E+307,G664:R664),""),SUM(G664:R664))))</f>
        <v/>
      </c>
      <c r="T664" s="33" t="n"/>
      <c r="U664" s="33" t="n"/>
    </row>
    <row r="665">
      <c r="A665" s="26">
        <f>IF($B665="","",ROW()-3)</f>
        <v/>
      </c>
      <c r="B665" s="27" t="n"/>
      <c r="C665" s="27" t="n"/>
      <c r="D665" s="28" t="n"/>
      <c r="E665" s="29" t="n"/>
      <c r="F665" s="30" t="n"/>
      <c r="G665" s="31" t="n"/>
      <c r="H665" s="31" t="n"/>
      <c r="I665" s="31" t="n"/>
      <c r="J665" s="31" t="n"/>
      <c r="K665" s="31" t="n"/>
      <c r="L665" s="31" t="n"/>
      <c r="M665" s="31" t="n"/>
      <c r="N665" s="31" t="n"/>
      <c r="O665" s="31" t="n"/>
      <c r="P665" s="31" t="n"/>
      <c r="Q665" s="31" t="n"/>
      <c r="R665" s="31" t="n"/>
      <c r="S665" s="32">
        <f>IF($F665="","",IF(IFERROR(VLOOKUP($F665,'维度字典'!$I$2:$J$50,2,0),"求和")="手工录入","",IF(IFERROR(VLOOKUP($F665,'维度字典'!$I$2:$J$50,2,0),"求和")="最新值",IFERROR(LOOKUP(9.99E+307,G665:R665),""),SUM(G665:R665))))</f>
        <v/>
      </c>
      <c r="T665" s="33" t="n"/>
      <c r="U665" s="33" t="n"/>
    </row>
    <row r="666">
      <c r="A666" s="26">
        <f>IF($B666="","",ROW()-3)</f>
        <v/>
      </c>
      <c r="B666" s="27" t="n"/>
      <c r="C666" s="27" t="n"/>
      <c r="D666" s="28" t="n"/>
      <c r="E666" s="29" t="n"/>
      <c r="F666" s="30" t="n"/>
      <c r="G666" s="31" t="n"/>
      <c r="H666" s="31" t="n"/>
      <c r="I666" s="31" t="n"/>
      <c r="J666" s="31" t="n"/>
      <c r="K666" s="31" t="n"/>
      <c r="L666" s="31" t="n"/>
      <c r="M666" s="31" t="n"/>
      <c r="N666" s="31" t="n"/>
      <c r="O666" s="31" t="n"/>
      <c r="P666" s="31" t="n"/>
      <c r="Q666" s="31" t="n"/>
      <c r="R666" s="31" t="n"/>
      <c r="S666" s="32">
        <f>IF($F666="","",IF(IFERROR(VLOOKUP($F666,'维度字典'!$I$2:$J$50,2,0),"求和")="手工录入","",IF(IFERROR(VLOOKUP($F666,'维度字典'!$I$2:$J$50,2,0),"求和")="最新值",IFERROR(LOOKUP(9.99E+307,G666:R666),""),SUM(G666:R666))))</f>
        <v/>
      </c>
      <c r="T666" s="33" t="n"/>
      <c r="U666" s="33" t="n"/>
    </row>
    <row r="667">
      <c r="A667" s="26">
        <f>IF($B667="","",ROW()-3)</f>
        <v/>
      </c>
      <c r="B667" s="27" t="n"/>
      <c r="C667" s="27" t="n"/>
      <c r="D667" s="28" t="n"/>
      <c r="E667" s="29" t="n"/>
      <c r="F667" s="30" t="n"/>
      <c r="G667" s="31" t="n"/>
      <c r="H667" s="31" t="n"/>
      <c r="I667" s="31" t="n"/>
      <c r="J667" s="31" t="n"/>
      <c r="K667" s="31" t="n"/>
      <c r="L667" s="31" t="n"/>
      <c r="M667" s="31" t="n"/>
      <c r="N667" s="31" t="n"/>
      <c r="O667" s="31" t="n"/>
      <c r="P667" s="31" t="n"/>
      <c r="Q667" s="31" t="n"/>
      <c r="R667" s="31" t="n"/>
      <c r="S667" s="32">
        <f>IF($F667="","",IF(IFERROR(VLOOKUP($F667,'维度字典'!$I$2:$J$50,2,0),"求和")="手工录入","",IF(IFERROR(VLOOKUP($F667,'维度字典'!$I$2:$J$50,2,0),"求和")="最新值",IFERROR(LOOKUP(9.99E+307,G667:R667),""),SUM(G667:R667))))</f>
        <v/>
      </c>
      <c r="T667" s="33" t="n"/>
      <c r="U667" s="33" t="n"/>
    </row>
    <row r="668">
      <c r="A668" s="26">
        <f>IF($B668="","",ROW()-3)</f>
        <v/>
      </c>
      <c r="B668" s="27" t="n"/>
      <c r="C668" s="27" t="n"/>
      <c r="D668" s="28" t="n"/>
      <c r="E668" s="29" t="n"/>
      <c r="F668" s="30" t="n"/>
      <c r="G668" s="31" t="n"/>
      <c r="H668" s="31" t="n"/>
      <c r="I668" s="31" t="n"/>
      <c r="J668" s="31" t="n"/>
      <c r="K668" s="31" t="n"/>
      <c r="L668" s="31" t="n"/>
      <c r="M668" s="31" t="n"/>
      <c r="N668" s="31" t="n"/>
      <c r="O668" s="31" t="n"/>
      <c r="P668" s="31" t="n"/>
      <c r="Q668" s="31" t="n"/>
      <c r="R668" s="31" t="n"/>
      <c r="S668" s="32">
        <f>IF($F668="","",IF(IFERROR(VLOOKUP($F668,'维度字典'!$I$2:$J$50,2,0),"求和")="手工录入","",IF(IFERROR(VLOOKUP($F668,'维度字典'!$I$2:$J$50,2,0),"求和")="最新值",IFERROR(LOOKUP(9.99E+307,G668:R668),""),SUM(G668:R668))))</f>
        <v/>
      </c>
      <c r="T668" s="33" t="n"/>
      <c r="U668" s="33" t="n"/>
    </row>
    <row r="669">
      <c r="A669" s="26">
        <f>IF($B669="","",ROW()-3)</f>
        <v/>
      </c>
      <c r="B669" s="27" t="n"/>
      <c r="C669" s="27" t="n"/>
      <c r="D669" s="28" t="n"/>
      <c r="E669" s="29" t="n"/>
      <c r="F669" s="30" t="n"/>
      <c r="G669" s="31" t="n"/>
      <c r="H669" s="31" t="n"/>
      <c r="I669" s="31" t="n"/>
      <c r="J669" s="31" t="n"/>
      <c r="K669" s="31" t="n"/>
      <c r="L669" s="31" t="n"/>
      <c r="M669" s="31" t="n"/>
      <c r="N669" s="31" t="n"/>
      <c r="O669" s="31" t="n"/>
      <c r="P669" s="31" t="n"/>
      <c r="Q669" s="31" t="n"/>
      <c r="R669" s="31" t="n"/>
      <c r="S669" s="32">
        <f>IF($F669="","",IF(IFERROR(VLOOKUP($F669,'维度字典'!$I$2:$J$50,2,0),"求和")="手工录入","",IF(IFERROR(VLOOKUP($F669,'维度字典'!$I$2:$J$50,2,0),"求和")="最新值",IFERROR(LOOKUP(9.99E+307,G669:R669),""),SUM(G669:R669))))</f>
        <v/>
      </c>
      <c r="T669" s="33" t="n"/>
      <c r="U669" s="33" t="n"/>
    </row>
    <row r="670">
      <c r="A670" s="26">
        <f>IF($B670="","",ROW()-3)</f>
        <v/>
      </c>
      <c r="B670" s="27" t="n"/>
      <c r="C670" s="27" t="n"/>
      <c r="D670" s="28" t="n"/>
      <c r="E670" s="29" t="n"/>
      <c r="F670" s="30" t="n"/>
      <c r="G670" s="31" t="n"/>
      <c r="H670" s="31" t="n"/>
      <c r="I670" s="31" t="n"/>
      <c r="J670" s="31" t="n"/>
      <c r="K670" s="31" t="n"/>
      <c r="L670" s="31" t="n"/>
      <c r="M670" s="31" t="n"/>
      <c r="N670" s="31" t="n"/>
      <c r="O670" s="31" t="n"/>
      <c r="P670" s="31" t="n"/>
      <c r="Q670" s="31" t="n"/>
      <c r="R670" s="31" t="n"/>
      <c r="S670" s="32">
        <f>IF($F670="","",IF(IFERROR(VLOOKUP($F670,'维度字典'!$I$2:$J$50,2,0),"求和")="手工录入","",IF(IFERROR(VLOOKUP($F670,'维度字典'!$I$2:$J$50,2,0),"求和")="最新值",IFERROR(LOOKUP(9.99E+307,G670:R670),""),SUM(G670:R670))))</f>
        <v/>
      </c>
      <c r="T670" s="33" t="n"/>
      <c r="U670" s="33" t="n"/>
    </row>
    <row r="671">
      <c r="A671" s="26">
        <f>IF($B671="","",ROW()-3)</f>
        <v/>
      </c>
      <c r="B671" s="27" t="n"/>
      <c r="C671" s="27" t="n"/>
      <c r="D671" s="28" t="n"/>
      <c r="E671" s="29" t="n"/>
      <c r="F671" s="30" t="n"/>
      <c r="G671" s="31" t="n"/>
      <c r="H671" s="31" t="n"/>
      <c r="I671" s="31" t="n"/>
      <c r="J671" s="31" t="n"/>
      <c r="K671" s="31" t="n"/>
      <c r="L671" s="31" t="n"/>
      <c r="M671" s="31" t="n"/>
      <c r="N671" s="31" t="n"/>
      <c r="O671" s="31" t="n"/>
      <c r="P671" s="31" t="n"/>
      <c r="Q671" s="31" t="n"/>
      <c r="R671" s="31" t="n"/>
      <c r="S671" s="32">
        <f>IF($F671="","",IF(IFERROR(VLOOKUP($F671,'维度字典'!$I$2:$J$50,2,0),"求和")="手工录入","",IF(IFERROR(VLOOKUP($F671,'维度字典'!$I$2:$J$50,2,0),"求和")="最新值",IFERROR(LOOKUP(9.99E+307,G671:R671),""),SUM(G671:R671))))</f>
        <v/>
      </c>
      <c r="T671" s="33" t="n"/>
      <c r="U671" s="33" t="n"/>
    </row>
    <row r="672">
      <c r="A672" s="26">
        <f>IF($B672="","",ROW()-3)</f>
        <v/>
      </c>
      <c r="B672" s="27" t="n"/>
      <c r="C672" s="27" t="n"/>
      <c r="D672" s="28" t="n"/>
      <c r="E672" s="29" t="n"/>
      <c r="F672" s="30" t="n"/>
      <c r="G672" s="31" t="n"/>
      <c r="H672" s="31" t="n"/>
      <c r="I672" s="31" t="n"/>
      <c r="J672" s="31" t="n"/>
      <c r="K672" s="31" t="n"/>
      <c r="L672" s="31" t="n"/>
      <c r="M672" s="31" t="n"/>
      <c r="N672" s="31" t="n"/>
      <c r="O672" s="31" t="n"/>
      <c r="P672" s="31" t="n"/>
      <c r="Q672" s="31" t="n"/>
      <c r="R672" s="31" t="n"/>
      <c r="S672" s="32">
        <f>IF($F672="","",IF(IFERROR(VLOOKUP($F672,'维度字典'!$I$2:$J$50,2,0),"求和")="手工录入","",IF(IFERROR(VLOOKUP($F672,'维度字典'!$I$2:$J$50,2,0),"求和")="最新值",IFERROR(LOOKUP(9.99E+307,G672:R672),""),SUM(G672:R672))))</f>
        <v/>
      </c>
      <c r="T672" s="33" t="n"/>
      <c r="U672" s="33" t="n"/>
    </row>
    <row r="673">
      <c r="A673" s="26">
        <f>IF($B673="","",ROW()-3)</f>
        <v/>
      </c>
      <c r="B673" s="27" t="n"/>
      <c r="C673" s="27" t="n"/>
      <c r="D673" s="28" t="n"/>
      <c r="E673" s="29" t="n"/>
      <c r="F673" s="30" t="n"/>
      <c r="G673" s="31" t="n"/>
      <c r="H673" s="31" t="n"/>
      <c r="I673" s="31" t="n"/>
      <c r="J673" s="31" t="n"/>
      <c r="K673" s="31" t="n"/>
      <c r="L673" s="31" t="n"/>
      <c r="M673" s="31" t="n"/>
      <c r="N673" s="31" t="n"/>
      <c r="O673" s="31" t="n"/>
      <c r="P673" s="31" t="n"/>
      <c r="Q673" s="31" t="n"/>
      <c r="R673" s="31" t="n"/>
      <c r="S673" s="32">
        <f>IF($F673="","",IF(IFERROR(VLOOKUP($F673,'维度字典'!$I$2:$J$50,2,0),"求和")="手工录入","",IF(IFERROR(VLOOKUP($F673,'维度字典'!$I$2:$J$50,2,0),"求和")="最新值",IFERROR(LOOKUP(9.99E+307,G673:R673),""),SUM(G673:R673))))</f>
        <v/>
      </c>
      <c r="T673" s="33" t="n"/>
      <c r="U673" s="33" t="n"/>
    </row>
    <row r="674">
      <c r="A674" s="26">
        <f>IF($B674="","",ROW()-3)</f>
        <v/>
      </c>
      <c r="B674" s="27" t="n"/>
      <c r="C674" s="27" t="n"/>
      <c r="D674" s="28" t="n"/>
      <c r="E674" s="29" t="n"/>
      <c r="F674" s="30" t="n"/>
      <c r="G674" s="31" t="n"/>
      <c r="H674" s="31" t="n"/>
      <c r="I674" s="31" t="n"/>
      <c r="J674" s="31" t="n"/>
      <c r="K674" s="31" t="n"/>
      <c r="L674" s="31" t="n"/>
      <c r="M674" s="31" t="n"/>
      <c r="N674" s="31" t="n"/>
      <c r="O674" s="31" t="n"/>
      <c r="P674" s="31" t="n"/>
      <c r="Q674" s="31" t="n"/>
      <c r="R674" s="31" t="n"/>
      <c r="S674" s="32">
        <f>IF($F674="","",IF(IFERROR(VLOOKUP($F674,'维度字典'!$I$2:$J$50,2,0),"求和")="手工录入","",IF(IFERROR(VLOOKUP($F674,'维度字典'!$I$2:$J$50,2,0),"求和")="最新值",IFERROR(LOOKUP(9.99E+307,G674:R674),""),SUM(G674:R674))))</f>
        <v/>
      </c>
      <c r="T674" s="33" t="n"/>
      <c r="U674" s="33" t="n"/>
    </row>
    <row r="675">
      <c r="A675" s="26">
        <f>IF($B675="","",ROW()-3)</f>
        <v/>
      </c>
      <c r="B675" s="27" t="n"/>
      <c r="C675" s="27" t="n"/>
      <c r="D675" s="28" t="n"/>
      <c r="E675" s="29" t="n"/>
      <c r="F675" s="30" t="n"/>
      <c r="G675" s="31" t="n"/>
      <c r="H675" s="31" t="n"/>
      <c r="I675" s="31" t="n"/>
      <c r="J675" s="31" t="n"/>
      <c r="K675" s="31" t="n"/>
      <c r="L675" s="31" t="n"/>
      <c r="M675" s="31" t="n"/>
      <c r="N675" s="31" t="n"/>
      <c r="O675" s="31" t="n"/>
      <c r="P675" s="31" t="n"/>
      <c r="Q675" s="31" t="n"/>
      <c r="R675" s="31" t="n"/>
      <c r="S675" s="32">
        <f>IF($F675="","",IF(IFERROR(VLOOKUP($F675,'维度字典'!$I$2:$J$50,2,0),"求和")="手工录入","",IF(IFERROR(VLOOKUP($F675,'维度字典'!$I$2:$J$50,2,0),"求和")="最新值",IFERROR(LOOKUP(9.99E+307,G675:R675),""),SUM(G675:R675))))</f>
        <v/>
      </c>
      <c r="T675" s="33" t="n"/>
      <c r="U675" s="33" t="n"/>
    </row>
    <row r="676">
      <c r="A676" s="26">
        <f>IF($B676="","",ROW()-3)</f>
        <v/>
      </c>
      <c r="B676" s="27" t="n"/>
      <c r="C676" s="27" t="n"/>
      <c r="D676" s="28" t="n"/>
      <c r="E676" s="29" t="n"/>
      <c r="F676" s="30" t="n"/>
      <c r="G676" s="31" t="n"/>
      <c r="H676" s="31" t="n"/>
      <c r="I676" s="31" t="n"/>
      <c r="J676" s="31" t="n"/>
      <c r="K676" s="31" t="n"/>
      <c r="L676" s="31" t="n"/>
      <c r="M676" s="31" t="n"/>
      <c r="N676" s="31" t="n"/>
      <c r="O676" s="31" t="n"/>
      <c r="P676" s="31" t="n"/>
      <c r="Q676" s="31" t="n"/>
      <c r="R676" s="31" t="n"/>
      <c r="S676" s="32">
        <f>IF($F676="","",IF(IFERROR(VLOOKUP($F676,'维度字典'!$I$2:$J$50,2,0),"求和")="手工录入","",IF(IFERROR(VLOOKUP($F676,'维度字典'!$I$2:$J$50,2,0),"求和")="最新值",IFERROR(LOOKUP(9.99E+307,G676:R676),""),SUM(G676:R676))))</f>
        <v/>
      </c>
      <c r="T676" s="33" t="n"/>
      <c r="U676" s="33" t="n"/>
    </row>
    <row r="677">
      <c r="A677" s="26">
        <f>IF($B677="","",ROW()-3)</f>
        <v/>
      </c>
      <c r="B677" s="27" t="n"/>
      <c r="C677" s="27" t="n"/>
      <c r="D677" s="28" t="n"/>
      <c r="E677" s="29" t="n"/>
      <c r="F677" s="30" t="n"/>
      <c r="G677" s="31" t="n"/>
      <c r="H677" s="31" t="n"/>
      <c r="I677" s="31" t="n"/>
      <c r="J677" s="31" t="n"/>
      <c r="K677" s="31" t="n"/>
      <c r="L677" s="31" t="n"/>
      <c r="M677" s="31" t="n"/>
      <c r="N677" s="31" t="n"/>
      <c r="O677" s="31" t="n"/>
      <c r="P677" s="31" t="n"/>
      <c r="Q677" s="31" t="n"/>
      <c r="R677" s="31" t="n"/>
      <c r="S677" s="32">
        <f>IF($F677="","",IF(IFERROR(VLOOKUP($F677,'维度字典'!$I$2:$J$50,2,0),"求和")="手工录入","",IF(IFERROR(VLOOKUP($F677,'维度字典'!$I$2:$J$50,2,0),"求和")="最新值",IFERROR(LOOKUP(9.99E+307,G677:R677),""),SUM(G677:R677))))</f>
        <v/>
      </c>
      <c r="T677" s="33" t="n"/>
      <c r="U677" s="33" t="n"/>
    </row>
    <row r="678">
      <c r="A678" s="26">
        <f>IF($B678="","",ROW()-3)</f>
        <v/>
      </c>
      <c r="B678" s="27" t="n"/>
      <c r="C678" s="27" t="n"/>
      <c r="D678" s="28" t="n"/>
      <c r="E678" s="29" t="n"/>
      <c r="F678" s="30" t="n"/>
      <c r="G678" s="31" t="n"/>
      <c r="H678" s="31" t="n"/>
      <c r="I678" s="31" t="n"/>
      <c r="J678" s="31" t="n"/>
      <c r="K678" s="31" t="n"/>
      <c r="L678" s="31" t="n"/>
      <c r="M678" s="31" t="n"/>
      <c r="N678" s="31" t="n"/>
      <c r="O678" s="31" t="n"/>
      <c r="P678" s="31" t="n"/>
      <c r="Q678" s="31" t="n"/>
      <c r="R678" s="31" t="n"/>
      <c r="S678" s="32">
        <f>IF($F678="","",IF(IFERROR(VLOOKUP($F678,'维度字典'!$I$2:$J$50,2,0),"求和")="手工录入","",IF(IFERROR(VLOOKUP($F678,'维度字典'!$I$2:$J$50,2,0),"求和")="最新值",IFERROR(LOOKUP(9.99E+307,G678:R678),""),SUM(G678:R678))))</f>
        <v/>
      </c>
      <c r="T678" s="33" t="n"/>
      <c r="U678" s="33" t="n"/>
    </row>
    <row r="679">
      <c r="A679" s="26">
        <f>IF($B679="","",ROW()-3)</f>
        <v/>
      </c>
      <c r="B679" s="27" t="n"/>
      <c r="C679" s="27" t="n"/>
      <c r="D679" s="28" t="n"/>
      <c r="E679" s="29" t="n"/>
      <c r="F679" s="30" t="n"/>
      <c r="G679" s="31" t="n"/>
      <c r="H679" s="31" t="n"/>
      <c r="I679" s="31" t="n"/>
      <c r="J679" s="31" t="n"/>
      <c r="K679" s="31" t="n"/>
      <c r="L679" s="31" t="n"/>
      <c r="M679" s="31" t="n"/>
      <c r="N679" s="31" t="n"/>
      <c r="O679" s="31" t="n"/>
      <c r="P679" s="31" t="n"/>
      <c r="Q679" s="31" t="n"/>
      <c r="R679" s="31" t="n"/>
      <c r="S679" s="32">
        <f>IF($F679="","",IF(IFERROR(VLOOKUP($F679,'维度字典'!$I$2:$J$50,2,0),"求和")="手工录入","",IF(IFERROR(VLOOKUP($F679,'维度字典'!$I$2:$J$50,2,0),"求和")="最新值",IFERROR(LOOKUP(9.99E+307,G679:R679),""),SUM(G679:R679))))</f>
        <v/>
      </c>
      <c r="T679" s="33" t="n"/>
      <c r="U679" s="33" t="n"/>
    </row>
    <row r="680">
      <c r="A680" s="26">
        <f>IF($B680="","",ROW()-3)</f>
        <v/>
      </c>
      <c r="B680" s="27" t="n"/>
      <c r="C680" s="27" t="n"/>
      <c r="D680" s="28" t="n"/>
      <c r="E680" s="29" t="n"/>
      <c r="F680" s="30" t="n"/>
      <c r="G680" s="31" t="n"/>
      <c r="H680" s="31" t="n"/>
      <c r="I680" s="31" t="n"/>
      <c r="J680" s="31" t="n"/>
      <c r="K680" s="31" t="n"/>
      <c r="L680" s="31" t="n"/>
      <c r="M680" s="31" t="n"/>
      <c r="N680" s="31" t="n"/>
      <c r="O680" s="31" t="n"/>
      <c r="P680" s="31" t="n"/>
      <c r="Q680" s="31" t="n"/>
      <c r="R680" s="31" t="n"/>
      <c r="S680" s="32">
        <f>IF($F680="","",IF(IFERROR(VLOOKUP($F680,'维度字典'!$I$2:$J$50,2,0),"求和")="手工录入","",IF(IFERROR(VLOOKUP($F680,'维度字典'!$I$2:$J$50,2,0),"求和")="最新值",IFERROR(LOOKUP(9.99E+307,G680:R680),""),SUM(G680:R680))))</f>
        <v/>
      </c>
      <c r="T680" s="33" t="n"/>
      <c r="U680" s="33" t="n"/>
    </row>
    <row r="681">
      <c r="A681" s="26">
        <f>IF($B681="","",ROW()-3)</f>
        <v/>
      </c>
      <c r="B681" s="27" t="n"/>
      <c r="C681" s="27" t="n"/>
      <c r="D681" s="28" t="n"/>
      <c r="E681" s="29" t="n"/>
      <c r="F681" s="30" t="n"/>
      <c r="G681" s="31" t="n"/>
      <c r="H681" s="31" t="n"/>
      <c r="I681" s="31" t="n"/>
      <c r="J681" s="31" t="n"/>
      <c r="K681" s="31" t="n"/>
      <c r="L681" s="31" t="n"/>
      <c r="M681" s="31" t="n"/>
      <c r="N681" s="31" t="n"/>
      <c r="O681" s="31" t="n"/>
      <c r="P681" s="31" t="n"/>
      <c r="Q681" s="31" t="n"/>
      <c r="R681" s="31" t="n"/>
      <c r="S681" s="32">
        <f>IF($F681="","",IF(IFERROR(VLOOKUP($F681,'维度字典'!$I$2:$J$50,2,0),"求和")="手工录入","",IF(IFERROR(VLOOKUP($F681,'维度字典'!$I$2:$J$50,2,0),"求和")="最新值",IFERROR(LOOKUP(9.99E+307,G681:R681),""),SUM(G681:R681))))</f>
        <v/>
      </c>
      <c r="T681" s="33" t="n"/>
      <c r="U681" s="33" t="n"/>
    </row>
    <row r="682">
      <c r="A682" s="26">
        <f>IF($B682="","",ROW()-3)</f>
        <v/>
      </c>
      <c r="B682" s="27" t="n"/>
      <c r="C682" s="27" t="n"/>
      <c r="D682" s="28" t="n"/>
      <c r="E682" s="29" t="n"/>
      <c r="F682" s="30" t="n"/>
      <c r="G682" s="31" t="n"/>
      <c r="H682" s="31" t="n"/>
      <c r="I682" s="31" t="n"/>
      <c r="J682" s="31" t="n"/>
      <c r="K682" s="31" t="n"/>
      <c r="L682" s="31" t="n"/>
      <c r="M682" s="31" t="n"/>
      <c r="N682" s="31" t="n"/>
      <c r="O682" s="31" t="n"/>
      <c r="P682" s="31" t="n"/>
      <c r="Q682" s="31" t="n"/>
      <c r="R682" s="31" t="n"/>
      <c r="S682" s="32">
        <f>IF($F682="","",IF(IFERROR(VLOOKUP($F682,'维度字典'!$I$2:$J$50,2,0),"求和")="手工录入","",IF(IFERROR(VLOOKUP($F682,'维度字典'!$I$2:$J$50,2,0),"求和")="最新值",IFERROR(LOOKUP(9.99E+307,G682:R682),""),SUM(G682:R682))))</f>
        <v/>
      </c>
      <c r="T682" s="33" t="n"/>
      <c r="U682" s="33" t="n"/>
    </row>
    <row r="683">
      <c r="A683" s="26">
        <f>IF($B683="","",ROW()-3)</f>
        <v/>
      </c>
      <c r="B683" s="27" t="n"/>
      <c r="C683" s="27" t="n"/>
      <c r="D683" s="28" t="n"/>
      <c r="E683" s="29" t="n"/>
      <c r="F683" s="30" t="n"/>
      <c r="G683" s="31" t="n"/>
      <c r="H683" s="31" t="n"/>
      <c r="I683" s="31" t="n"/>
      <c r="J683" s="31" t="n"/>
      <c r="K683" s="31" t="n"/>
      <c r="L683" s="31" t="n"/>
      <c r="M683" s="31" t="n"/>
      <c r="N683" s="31" t="n"/>
      <c r="O683" s="31" t="n"/>
      <c r="P683" s="31" t="n"/>
      <c r="Q683" s="31" t="n"/>
      <c r="R683" s="31" t="n"/>
      <c r="S683" s="32">
        <f>IF($F683="","",IF(IFERROR(VLOOKUP($F683,'维度字典'!$I$2:$J$50,2,0),"求和")="手工录入","",IF(IFERROR(VLOOKUP($F683,'维度字典'!$I$2:$J$50,2,0),"求和")="最新值",IFERROR(LOOKUP(9.99E+307,G683:R683),""),SUM(G683:R683))))</f>
        <v/>
      </c>
      <c r="T683" s="33" t="n"/>
      <c r="U683" s="33" t="n"/>
    </row>
    <row r="684">
      <c r="A684" s="26">
        <f>IF($B684="","",ROW()-3)</f>
        <v/>
      </c>
      <c r="B684" s="27" t="n"/>
      <c r="C684" s="27" t="n"/>
      <c r="D684" s="28" t="n"/>
      <c r="E684" s="29" t="n"/>
      <c r="F684" s="30" t="n"/>
      <c r="G684" s="31" t="n"/>
      <c r="H684" s="31" t="n"/>
      <c r="I684" s="31" t="n"/>
      <c r="J684" s="31" t="n"/>
      <c r="K684" s="31" t="n"/>
      <c r="L684" s="31" t="n"/>
      <c r="M684" s="31" t="n"/>
      <c r="N684" s="31" t="n"/>
      <c r="O684" s="31" t="n"/>
      <c r="P684" s="31" t="n"/>
      <c r="Q684" s="31" t="n"/>
      <c r="R684" s="31" t="n"/>
      <c r="S684" s="32">
        <f>IF($F684="","",IF(IFERROR(VLOOKUP($F684,'维度字典'!$I$2:$J$50,2,0),"求和")="手工录入","",IF(IFERROR(VLOOKUP($F684,'维度字典'!$I$2:$J$50,2,0),"求和")="最新值",IFERROR(LOOKUP(9.99E+307,G684:R684),""),SUM(G684:R684))))</f>
        <v/>
      </c>
      <c r="T684" s="33" t="n"/>
      <c r="U684" s="33" t="n"/>
    </row>
    <row r="685">
      <c r="A685" s="26">
        <f>IF($B685="","",ROW()-3)</f>
        <v/>
      </c>
      <c r="B685" s="27" t="n"/>
      <c r="C685" s="27" t="n"/>
      <c r="D685" s="28" t="n"/>
      <c r="E685" s="29" t="n"/>
      <c r="F685" s="30" t="n"/>
      <c r="G685" s="31" t="n"/>
      <c r="H685" s="31" t="n"/>
      <c r="I685" s="31" t="n"/>
      <c r="J685" s="31" t="n"/>
      <c r="K685" s="31" t="n"/>
      <c r="L685" s="31" t="n"/>
      <c r="M685" s="31" t="n"/>
      <c r="N685" s="31" t="n"/>
      <c r="O685" s="31" t="n"/>
      <c r="P685" s="31" t="n"/>
      <c r="Q685" s="31" t="n"/>
      <c r="R685" s="31" t="n"/>
      <c r="S685" s="32">
        <f>IF($F685="","",IF(IFERROR(VLOOKUP($F685,'维度字典'!$I$2:$J$50,2,0),"求和")="手工录入","",IF(IFERROR(VLOOKUP($F685,'维度字典'!$I$2:$J$50,2,0),"求和")="最新值",IFERROR(LOOKUP(9.99E+307,G685:R685),""),SUM(G685:R685))))</f>
        <v/>
      </c>
      <c r="T685" s="33" t="n"/>
      <c r="U685" s="33" t="n"/>
    </row>
    <row r="686">
      <c r="A686" s="26">
        <f>IF($B686="","",ROW()-3)</f>
        <v/>
      </c>
      <c r="B686" s="27" t="n"/>
      <c r="C686" s="27" t="n"/>
      <c r="D686" s="28" t="n"/>
      <c r="E686" s="29" t="n"/>
      <c r="F686" s="30" t="n"/>
      <c r="G686" s="31" t="n"/>
      <c r="H686" s="31" t="n"/>
      <c r="I686" s="31" t="n"/>
      <c r="J686" s="31" t="n"/>
      <c r="K686" s="31" t="n"/>
      <c r="L686" s="31" t="n"/>
      <c r="M686" s="31" t="n"/>
      <c r="N686" s="31" t="n"/>
      <c r="O686" s="31" t="n"/>
      <c r="P686" s="31" t="n"/>
      <c r="Q686" s="31" t="n"/>
      <c r="R686" s="31" t="n"/>
      <c r="S686" s="32">
        <f>IF($F686="","",IF(IFERROR(VLOOKUP($F686,'维度字典'!$I$2:$J$50,2,0),"求和")="手工录入","",IF(IFERROR(VLOOKUP($F686,'维度字典'!$I$2:$J$50,2,0),"求和")="最新值",IFERROR(LOOKUP(9.99E+307,G686:R686),""),SUM(G686:R686))))</f>
        <v/>
      </c>
      <c r="T686" s="33" t="n"/>
      <c r="U686" s="33" t="n"/>
    </row>
    <row r="687">
      <c r="A687" s="26">
        <f>IF($B687="","",ROW()-3)</f>
        <v/>
      </c>
      <c r="B687" s="27" t="n"/>
      <c r="C687" s="27" t="n"/>
      <c r="D687" s="28" t="n"/>
      <c r="E687" s="29" t="n"/>
      <c r="F687" s="30" t="n"/>
      <c r="G687" s="31" t="n"/>
      <c r="H687" s="31" t="n"/>
      <c r="I687" s="31" t="n"/>
      <c r="J687" s="31" t="n"/>
      <c r="K687" s="31" t="n"/>
      <c r="L687" s="31" t="n"/>
      <c r="M687" s="31" t="n"/>
      <c r="N687" s="31" t="n"/>
      <c r="O687" s="31" t="n"/>
      <c r="P687" s="31" t="n"/>
      <c r="Q687" s="31" t="n"/>
      <c r="R687" s="31" t="n"/>
      <c r="S687" s="32">
        <f>IF($F687="","",IF(IFERROR(VLOOKUP($F687,'维度字典'!$I$2:$J$50,2,0),"求和")="手工录入","",IF(IFERROR(VLOOKUP($F687,'维度字典'!$I$2:$J$50,2,0),"求和")="最新值",IFERROR(LOOKUP(9.99E+307,G687:R687),""),SUM(G687:R687))))</f>
        <v/>
      </c>
      <c r="T687" s="33" t="n"/>
      <c r="U687" s="33" t="n"/>
    </row>
    <row r="688">
      <c r="A688" s="26">
        <f>IF($B688="","",ROW()-3)</f>
        <v/>
      </c>
      <c r="B688" s="27" t="n"/>
      <c r="C688" s="27" t="n"/>
      <c r="D688" s="28" t="n"/>
      <c r="E688" s="29" t="n"/>
      <c r="F688" s="30" t="n"/>
      <c r="G688" s="31" t="n"/>
      <c r="H688" s="31" t="n"/>
      <c r="I688" s="31" t="n"/>
      <c r="J688" s="31" t="n"/>
      <c r="K688" s="31" t="n"/>
      <c r="L688" s="31" t="n"/>
      <c r="M688" s="31" t="n"/>
      <c r="N688" s="31" t="n"/>
      <c r="O688" s="31" t="n"/>
      <c r="P688" s="31" t="n"/>
      <c r="Q688" s="31" t="n"/>
      <c r="R688" s="31" t="n"/>
      <c r="S688" s="32">
        <f>IF($F688="","",IF(IFERROR(VLOOKUP($F688,'维度字典'!$I$2:$J$50,2,0),"求和")="手工录入","",IF(IFERROR(VLOOKUP($F688,'维度字典'!$I$2:$J$50,2,0),"求和")="最新值",IFERROR(LOOKUP(9.99E+307,G688:R688),""),SUM(G688:R688))))</f>
        <v/>
      </c>
      <c r="T688" s="33" t="n"/>
      <c r="U688" s="33" t="n"/>
    </row>
    <row r="689">
      <c r="A689" s="26">
        <f>IF($B689="","",ROW()-3)</f>
        <v/>
      </c>
      <c r="B689" s="27" t="n"/>
      <c r="C689" s="27" t="n"/>
      <c r="D689" s="28" t="n"/>
      <c r="E689" s="29" t="n"/>
      <c r="F689" s="30" t="n"/>
      <c r="G689" s="31" t="n"/>
      <c r="H689" s="31" t="n"/>
      <c r="I689" s="31" t="n"/>
      <c r="J689" s="31" t="n"/>
      <c r="K689" s="31" t="n"/>
      <c r="L689" s="31" t="n"/>
      <c r="M689" s="31" t="n"/>
      <c r="N689" s="31" t="n"/>
      <c r="O689" s="31" t="n"/>
      <c r="P689" s="31" t="n"/>
      <c r="Q689" s="31" t="n"/>
      <c r="R689" s="31" t="n"/>
      <c r="S689" s="32">
        <f>IF($F689="","",IF(IFERROR(VLOOKUP($F689,'维度字典'!$I$2:$J$50,2,0),"求和")="手工录入","",IF(IFERROR(VLOOKUP($F689,'维度字典'!$I$2:$J$50,2,0),"求和")="最新值",IFERROR(LOOKUP(9.99E+307,G689:R689),""),SUM(G689:R689))))</f>
        <v/>
      </c>
      <c r="T689" s="33" t="n"/>
      <c r="U689" s="33" t="n"/>
    </row>
    <row r="690">
      <c r="A690" s="26">
        <f>IF($B690="","",ROW()-3)</f>
        <v/>
      </c>
      <c r="B690" s="27" t="n"/>
      <c r="C690" s="27" t="n"/>
      <c r="D690" s="28" t="n"/>
      <c r="E690" s="29" t="n"/>
      <c r="F690" s="30" t="n"/>
      <c r="G690" s="31" t="n"/>
      <c r="H690" s="31" t="n"/>
      <c r="I690" s="31" t="n"/>
      <c r="J690" s="31" t="n"/>
      <c r="K690" s="31" t="n"/>
      <c r="L690" s="31" t="n"/>
      <c r="M690" s="31" t="n"/>
      <c r="N690" s="31" t="n"/>
      <c r="O690" s="31" t="n"/>
      <c r="P690" s="31" t="n"/>
      <c r="Q690" s="31" t="n"/>
      <c r="R690" s="31" t="n"/>
      <c r="S690" s="32">
        <f>IF($F690="","",IF(IFERROR(VLOOKUP($F690,'维度字典'!$I$2:$J$50,2,0),"求和")="手工录入","",IF(IFERROR(VLOOKUP($F690,'维度字典'!$I$2:$J$50,2,0),"求和")="最新值",IFERROR(LOOKUP(9.99E+307,G690:R690),""),SUM(G690:R690))))</f>
        <v/>
      </c>
      <c r="T690" s="33" t="n"/>
      <c r="U690" s="33" t="n"/>
    </row>
    <row r="691">
      <c r="A691" s="26">
        <f>IF($B691="","",ROW()-3)</f>
        <v/>
      </c>
      <c r="B691" s="27" t="n"/>
      <c r="C691" s="27" t="n"/>
      <c r="D691" s="28" t="n"/>
      <c r="E691" s="29" t="n"/>
      <c r="F691" s="30" t="n"/>
      <c r="G691" s="31" t="n"/>
      <c r="H691" s="31" t="n"/>
      <c r="I691" s="31" t="n"/>
      <c r="J691" s="31" t="n"/>
      <c r="K691" s="31" t="n"/>
      <c r="L691" s="31" t="n"/>
      <c r="M691" s="31" t="n"/>
      <c r="N691" s="31" t="n"/>
      <c r="O691" s="31" t="n"/>
      <c r="P691" s="31" t="n"/>
      <c r="Q691" s="31" t="n"/>
      <c r="R691" s="31" t="n"/>
      <c r="S691" s="32">
        <f>IF($F691="","",IF(IFERROR(VLOOKUP($F691,'维度字典'!$I$2:$J$50,2,0),"求和")="手工录入","",IF(IFERROR(VLOOKUP($F691,'维度字典'!$I$2:$J$50,2,0),"求和")="最新值",IFERROR(LOOKUP(9.99E+307,G691:R691),""),SUM(G691:R691))))</f>
        <v/>
      </c>
      <c r="T691" s="33" t="n"/>
      <c r="U691" s="33" t="n"/>
    </row>
    <row r="692">
      <c r="A692" s="26">
        <f>IF($B692="","",ROW()-3)</f>
        <v/>
      </c>
      <c r="B692" s="27" t="n"/>
      <c r="C692" s="27" t="n"/>
      <c r="D692" s="28" t="n"/>
      <c r="E692" s="29" t="n"/>
      <c r="F692" s="30" t="n"/>
      <c r="G692" s="31" t="n"/>
      <c r="H692" s="31" t="n"/>
      <c r="I692" s="31" t="n"/>
      <c r="J692" s="31" t="n"/>
      <c r="K692" s="31" t="n"/>
      <c r="L692" s="31" t="n"/>
      <c r="M692" s="31" t="n"/>
      <c r="N692" s="31" t="n"/>
      <c r="O692" s="31" t="n"/>
      <c r="P692" s="31" t="n"/>
      <c r="Q692" s="31" t="n"/>
      <c r="R692" s="31" t="n"/>
      <c r="S692" s="32">
        <f>IF($F692="","",IF(IFERROR(VLOOKUP($F692,'维度字典'!$I$2:$J$50,2,0),"求和")="手工录入","",IF(IFERROR(VLOOKUP($F692,'维度字典'!$I$2:$J$50,2,0),"求和")="最新值",IFERROR(LOOKUP(9.99E+307,G692:R692),""),SUM(G692:R692))))</f>
        <v/>
      </c>
      <c r="T692" s="33" t="n"/>
      <c r="U692" s="33" t="n"/>
    </row>
    <row r="693">
      <c r="A693" s="26">
        <f>IF($B693="","",ROW()-3)</f>
        <v/>
      </c>
      <c r="B693" s="27" t="n"/>
      <c r="C693" s="27" t="n"/>
      <c r="D693" s="28" t="n"/>
      <c r="E693" s="29" t="n"/>
      <c r="F693" s="30" t="n"/>
      <c r="G693" s="31" t="n"/>
      <c r="H693" s="31" t="n"/>
      <c r="I693" s="31" t="n"/>
      <c r="J693" s="31" t="n"/>
      <c r="K693" s="31" t="n"/>
      <c r="L693" s="31" t="n"/>
      <c r="M693" s="31" t="n"/>
      <c r="N693" s="31" t="n"/>
      <c r="O693" s="31" t="n"/>
      <c r="P693" s="31" t="n"/>
      <c r="Q693" s="31" t="n"/>
      <c r="R693" s="31" t="n"/>
      <c r="S693" s="32">
        <f>IF($F693="","",IF(IFERROR(VLOOKUP($F693,'维度字典'!$I$2:$J$50,2,0),"求和")="手工录入","",IF(IFERROR(VLOOKUP($F693,'维度字典'!$I$2:$J$50,2,0),"求和")="最新值",IFERROR(LOOKUP(9.99E+307,G693:R693),""),SUM(G693:R693))))</f>
        <v/>
      </c>
      <c r="T693" s="33" t="n"/>
      <c r="U693" s="33" t="n"/>
    </row>
    <row r="694">
      <c r="A694" s="26">
        <f>IF($B694="","",ROW()-3)</f>
        <v/>
      </c>
      <c r="B694" s="27" t="n"/>
      <c r="C694" s="27" t="n"/>
      <c r="D694" s="28" t="n"/>
      <c r="E694" s="29" t="n"/>
      <c r="F694" s="30" t="n"/>
      <c r="G694" s="31" t="n"/>
      <c r="H694" s="31" t="n"/>
      <c r="I694" s="31" t="n"/>
      <c r="J694" s="31" t="n"/>
      <c r="K694" s="31" t="n"/>
      <c r="L694" s="31" t="n"/>
      <c r="M694" s="31" t="n"/>
      <c r="N694" s="31" t="n"/>
      <c r="O694" s="31" t="n"/>
      <c r="P694" s="31" t="n"/>
      <c r="Q694" s="31" t="n"/>
      <c r="R694" s="31" t="n"/>
      <c r="S694" s="32">
        <f>IF($F694="","",IF(IFERROR(VLOOKUP($F694,'维度字典'!$I$2:$J$50,2,0),"求和")="手工录入","",IF(IFERROR(VLOOKUP($F694,'维度字典'!$I$2:$J$50,2,0),"求和")="最新值",IFERROR(LOOKUP(9.99E+307,G694:R694),""),SUM(G694:R694))))</f>
        <v/>
      </c>
      <c r="T694" s="33" t="n"/>
      <c r="U694" s="33" t="n"/>
    </row>
    <row r="695">
      <c r="A695" s="26">
        <f>IF($B695="","",ROW()-3)</f>
        <v/>
      </c>
      <c r="B695" s="27" t="n"/>
      <c r="C695" s="27" t="n"/>
      <c r="D695" s="28" t="n"/>
      <c r="E695" s="29" t="n"/>
      <c r="F695" s="30" t="n"/>
      <c r="G695" s="31" t="n"/>
      <c r="H695" s="31" t="n"/>
      <c r="I695" s="31" t="n"/>
      <c r="J695" s="31" t="n"/>
      <c r="K695" s="31" t="n"/>
      <c r="L695" s="31" t="n"/>
      <c r="M695" s="31" t="n"/>
      <c r="N695" s="31" t="n"/>
      <c r="O695" s="31" t="n"/>
      <c r="P695" s="31" t="n"/>
      <c r="Q695" s="31" t="n"/>
      <c r="R695" s="31" t="n"/>
      <c r="S695" s="32">
        <f>IF($F695="","",IF(IFERROR(VLOOKUP($F695,'维度字典'!$I$2:$J$50,2,0),"求和")="手工录入","",IF(IFERROR(VLOOKUP($F695,'维度字典'!$I$2:$J$50,2,0),"求和")="最新值",IFERROR(LOOKUP(9.99E+307,G695:R695),""),SUM(G695:R695))))</f>
        <v/>
      </c>
      <c r="T695" s="33" t="n"/>
      <c r="U695" s="33" t="n"/>
    </row>
    <row r="696">
      <c r="A696" s="26">
        <f>IF($B696="","",ROW()-3)</f>
        <v/>
      </c>
      <c r="B696" s="27" t="n"/>
      <c r="C696" s="27" t="n"/>
      <c r="D696" s="28" t="n"/>
      <c r="E696" s="29" t="n"/>
      <c r="F696" s="30" t="n"/>
      <c r="G696" s="31" t="n"/>
      <c r="H696" s="31" t="n"/>
      <c r="I696" s="31" t="n"/>
      <c r="J696" s="31" t="n"/>
      <c r="K696" s="31" t="n"/>
      <c r="L696" s="31" t="n"/>
      <c r="M696" s="31" t="n"/>
      <c r="N696" s="31" t="n"/>
      <c r="O696" s="31" t="n"/>
      <c r="P696" s="31" t="n"/>
      <c r="Q696" s="31" t="n"/>
      <c r="R696" s="31" t="n"/>
      <c r="S696" s="32">
        <f>IF($F696="","",IF(IFERROR(VLOOKUP($F696,'维度字典'!$I$2:$J$50,2,0),"求和")="手工录入","",IF(IFERROR(VLOOKUP($F696,'维度字典'!$I$2:$J$50,2,0),"求和")="最新值",IFERROR(LOOKUP(9.99E+307,G696:R696),""),SUM(G696:R696))))</f>
        <v/>
      </c>
      <c r="T696" s="33" t="n"/>
      <c r="U696" s="33" t="n"/>
    </row>
    <row r="697">
      <c r="A697" s="26">
        <f>IF($B697="","",ROW()-3)</f>
        <v/>
      </c>
      <c r="B697" s="27" t="n"/>
      <c r="C697" s="27" t="n"/>
      <c r="D697" s="28" t="n"/>
      <c r="E697" s="29" t="n"/>
      <c r="F697" s="30" t="n"/>
      <c r="G697" s="31" t="n"/>
      <c r="H697" s="31" t="n"/>
      <c r="I697" s="31" t="n"/>
      <c r="J697" s="31" t="n"/>
      <c r="K697" s="31" t="n"/>
      <c r="L697" s="31" t="n"/>
      <c r="M697" s="31" t="n"/>
      <c r="N697" s="31" t="n"/>
      <c r="O697" s="31" t="n"/>
      <c r="P697" s="31" t="n"/>
      <c r="Q697" s="31" t="n"/>
      <c r="R697" s="31" t="n"/>
      <c r="S697" s="32">
        <f>IF($F697="","",IF(IFERROR(VLOOKUP($F697,'维度字典'!$I$2:$J$50,2,0),"求和")="手工录入","",IF(IFERROR(VLOOKUP($F697,'维度字典'!$I$2:$J$50,2,0),"求和")="最新值",IFERROR(LOOKUP(9.99E+307,G697:R697),""),SUM(G697:R697))))</f>
        <v/>
      </c>
      <c r="T697" s="33" t="n"/>
      <c r="U697" s="33" t="n"/>
    </row>
    <row r="698">
      <c r="A698" s="26">
        <f>IF($B698="","",ROW()-3)</f>
        <v/>
      </c>
      <c r="B698" s="27" t="n"/>
      <c r="C698" s="27" t="n"/>
      <c r="D698" s="28" t="n"/>
      <c r="E698" s="29" t="n"/>
      <c r="F698" s="30" t="n"/>
      <c r="G698" s="31" t="n"/>
      <c r="H698" s="31" t="n"/>
      <c r="I698" s="31" t="n"/>
      <c r="J698" s="31" t="n"/>
      <c r="K698" s="31" t="n"/>
      <c r="L698" s="31" t="n"/>
      <c r="M698" s="31" t="n"/>
      <c r="N698" s="31" t="n"/>
      <c r="O698" s="31" t="n"/>
      <c r="P698" s="31" t="n"/>
      <c r="Q698" s="31" t="n"/>
      <c r="R698" s="31" t="n"/>
      <c r="S698" s="32">
        <f>IF($F698="","",IF(IFERROR(VLOOKUP($F698,'维度字典'!$I$2:$J$50,2,0),"求和")="手工录入","",IF(IFERROR(VLOOKUP($F698,'维度字典'!$I$2:$J$50,2,0),"求和")="最新值",IFERROR(LOOKUP(9.99E+307,G698:R698),""),SUM(G698:R698))))</f>
        <v/>
      </c>
      <c r="T698" s="33" t="n"/>
      <c r="U698" s="33" t="n"/>
    </row>
    <row r="699">
      <c r="A699" s="26">
        <f>IF($B699="","",ROW()-3)</f>
        <v/>
      </c>
      <c r="B699" s="27" t="n"/>
      <c r="C699" s="27" t="n"/>
      <c r="D699" s="28" t="n"/>
      <c r="E699" s="29" t="n"/>
      <c r="F699" s="30" t="n"/>
      <c r="G699" s="31" t="n"/>
      <c r="H699" s="31" t="n"/>
      <c r="I699" s="31" t="n"/>
      <c r="J699" s="31" t="n"/>
      <c r="K699" s="31" t="n"/>
      <c r="L699" s="31" t="n"/>
      <c r="M699" s="31" t="n"/>
      <c r="N699" s="31" t="n"/>
      <c r="O699" s="31" t="n"/>
      <c r="P699" s="31" t="n"/>
      <c r="Q699" s="31" t="n"/>
      <c r="R699" s="31" t="n"/>
      <c r="S699" s="32">
        <f>IF($F699="","",IF(IFERROR(VLOOKUP($F699,'维度字典'!$I$2:$J$50,2,0),"求和")="手工录入","",IF(IFERROR(VLOOKUP($F699,'维度字典'!$I$2:$J$50,2,0),"求和")="最新值",IFERROR(LOOKUP(9.99E+307,G699:R699),""),SUM(G699:R699))))</f>
        <v/>
      </c>
      <c r="T699" s="33" t="n"/>
      <c r="U699" s="33" t="n"/>
    </row>
    <row r="700">
      <c r="A700" s="26">
        <f>IF($B700="","",ROW()-3)</f>
        <v/>
      </c>
      <c r="B700" s="27" t="n"/>
      <c r="C700" s="27" t="n"/>
      <c r="D700" s="28" t="n"/>
      <c r="E700" s="29" t="n"/>
      <c r="F700" s="30" t="n"/>
      <c r="G700" s="31" t="n"/>
      <c r="H700" s="31" t="n"/>
      <c r="I700" s="31" t="n"/>
      <c r="J700" s="31" t="n"/>
      <c r="K700" s="31" t="n"/>
      <c r="L700" s="31" t="n"/>
      <c r="M700" s="31" t="n"/>
      <c r="N700" s="31" t="n"/>
      <c r="O700" s="31" t="n"/>
      <c r="P700" s="31" t="n"/>
      <c r="Q700" s="31" t="n"/>
      <c r="R700" s="31" t="n"/>
      <c r="S700" s="32">
        <f>IF($F700="","",IF(IFERROR(VLOOKUP($F700,'维度字典'!$I$2:$J$50,2,0),"求和")="手工录入","",IF(IFERROR(VLOOKUP($F700,'维度字典'!$I$2:$J$50,2,0),"求和")="最新值",IFERROR(LOOKUP(9.99E+307,G700:R700),""),SUM(G700:R700))))</f>
        <v/>
      </c>
      <c r="T700" s="33" t="n"/>
      <c r="U700" s="33" t="n"/>
    </row>
    <row r="701">
      <c r="A701" s="26">
        <f>IF($B701="","",ROW()-3)</f>
        <v/>
      </c>
      <c r="B701" s="27" t="n"/>
      <c r="C701" s="27" t="n"/>
      <c r="D701" s="28" t="n"/>
      <c r="E701" s="29" t="n"/>
      <c r="F701" s="30" t="n"/>
      <c r="G701" s="31" t="n"/>
      <c r="H701" s="31" t="n"/>
      <c r="I701" s="31" t="n"/>
      <c r="J701" s="31" t="n"/>
      <c r="K701" s="31" t="n"/>
      <c r="L701" s="31" t="n"/>
      <c r="M701" s="31" t="n"/>
      <c r="N701" s="31" t="n"/>
      <c r="O701" s="31" t="n"/>
      <c r="P701" s="31" t="n"/>
      <c r="Q701" s="31" t="n"/>
      <c r="R701" s="31" t="n"/>
      <c r="S701" s="32">
        <f>IF($F701="","",IF(IFERROR(VLOOKUP($F701,'维度字典'!$I$2:$J$50,2,0),"求和")="手工录入","",IF(IFERROR(VLOOKUP($F701,'维度字典'!$I$2:$J$50,2,0),"求和")="最新值",IFERROR(LOOKUP(9.99E+307,G701:R701),""),SUM(G701:R701))))</f>
        <v/>
      </c>
      <c r="T701" s="33" t="n"/>
      <c r="U701" s="33" t="n"/>
    </row>
    <row r="702">
      <c r="A702" s="26">
        <f>IF($B702="","",ROW()-3)</f>
        <v/>
      </c>
      <c r="B702" s="27" t="n"/>
      <c r="C702" s="27" t="n"/>
      <c r="D702" s="28" t="n"/>
      <c r="E702" s="29" t="n"/>
      <c r="F702" s="30" t="n"/>
      <c r="G702" s="31" t="n"/>
      <c r="H702" s="31" t="n"/>
      <c r="I702" s="31" t="n"/>
      <c r="J702" s="31" t="n"/>
      <c r="K702" s="31" t="n"/>
      <c r="L702" s="31" t="n"/>
      <c r="M702" s="31" t="n"/>
      <c r="N702" s="31" t="n"/>
      <c r="O702" s="31" t="n"/>
      <c r="P702" s="31" t="n"/>
      <c r="Q702" s="31" t="n"/>
      <c r="R702" s="31" t="n"/>
      <c r="S702" s="32">
        <f>IF($F702="","",IF(IFERROR(VLOOKUP($F702,'维度字典'!$I$2:$J$50,2,0),"求和")="手工录入","",IF(IFERROR(VLOOKUP($F702,'维度字典'!$I$2:$J$50,2,0),"求和")="最新值",IFERROR(LOOKUP(9.99E+307,G702:R702),""),SUM(G702:R702))))</f>
        <v/>
      </c>
      <c r="T702" s="33" t="n"/>
      <c r="U702" s="33" t="n"/>
    </row>
    <row r="703">
      <c r="A703" s="26">
        <f>IF($B703="","",ROW()-3)</f>
        <v/>
      </c>
      <c r="B703" s="27" t="n"/>
      <c r="C703" s="27" t="n"/>
      <c r="D703" s="28" t="n"/>
      <c r="E703" s="29" t="n"/>
      <c r="F703" s="30" t="n"/>
      <c r="G703" s="31" t="n"/>
      <c r="H703" s="31" t="n"/>
      <c r="I703" s="31" t="n"/>
      <c r="J703" s="31" t="n"/>
      <c r="K703" s="31" t="n"/>
      <c r="L703" s="31" t="n"/>
      <c r="M703" s="31" t="n"/>
      <c r="N703" s="31" t="n"/>
      <c r="O703" s="31" t="n"/>
      <c r="P703" s="31" t="n"/>
      <c r="Q703" s="31" t="n"/>
      <c r="R703" s="31" t="n"/>
      <c r="S703" s="32">
        <f>IF($F703="","",IF(IFERROR(VLOOKUP($F703,'维度字典'!$I$2:$J$50,2,0),"求和")="手工录入","",IF(IFERROR(VLOOKUP($F703,'维度字典'!$I$2:$J$50,2,0),"求和")="最新值",IFERROR(LOOKUP(9.99E+307,G703:R703),""),SUM(G703:R703))))</f>
        <v/>
      </c>
      <c r="T703" s="33" t="n"/>
      <c r="U703" s="33" t="n"/>
    </row>
    <row r="704">
      <c r="A704" s="26">
        <f>IF($B704="","",ROW()-3)</f>
        <v/>
      </c>
      <c r="B704" s="27" t="n"/>
      <c r="C704" s="27" t="n"/>
      <c r="D704" s="28" t="n"/>
      <c r="E704" s="29" t="n"/>
      <c r="F704" s="30" t="n"/>
      <c r="G704" s="31" t="n"/>
      <c r="H704" s="31" t="n"/>
      <c r="I704" s="31" t="n"/>
      <c r="J704" s="31" t="n"/>
      <c r="K704" s="31" t="n"/>
      <c r="L704" s="31" t="n"/>
      <c r="M704" s="31" t="n"/>
      <c r="N704" s="31" t="n"/>
      <c r="O704" s="31" t="n"/>
      <c r="P704" s="31" t="n"/>
      <c r="Q704" s="31" t="n"/>
      <c r="R704" s="31" t="n"/>
      <c r="S704" s="32">
        <f>IF($F704="","",IF(IFERROR(VLOOKUP($F704,'维度字典'!$I$2:$J$50,2,0),"求和")="手工录入","",IF(IFERROR(VLOOKUP($F704,'维度字典'!$I$2:$J$50,2,0),"求和")="最新值",IFERROR(LOOKUP(9.99E+307,G704:R704),""),SUM(G704:R704))))</f>
        <v/>
      </c>
      <c r="T704" s="33" t="n"/>
      <c r="U704" s="33" t="n"/>
    </row>
    <row r="705">
      <c r="A705" s="26">
        <f>IF($B705="","",ROW()-3)</f>
        <v/>
      </c>
      <c r="B705" s="27" t="n"/>
      <c r="C705" s="27" t="n"/>
      <c r="D705" s="28" t="n"/>
      <c r="E705" s="29" t="n"/>
      <c r="F705" s="30" t="n"/>
      <c r="G705" s="31" t="n"/>
      <c r="H705" s="31" t="n"/>
      <c r="I705" s="31" t="n"/>
      <c r="J705" s="31" t="n"/>
      <c r="K705" s="31" t="n"/>
      <c r="L705" s="31" t="n"/>
      <c r="M705" s="31" t="n"/>
      <c r="N705" s="31" t="n"/>
      <c r="O705" s="31" t="n"/>
      <c r="P705" s="31" t="n"/>
      <c r="Q705" s="31" t="n"/>
      <c r="R705" s="31" t="n"/>
      <c r="S705" s="32">
        <f>IF($F705="","",IF(IFERROR(VLOOKUP($F705,'维度字典'!$I$2:$J$50,2,0),"求和")="手工录入","",IF(IFERROR(VLOOKUP($F705,'维度字典'!$I$2:$J$50,2,0),"求和")="最新值",IFERROR(LOOKUP(9.99E+307,G705:R705),""),SUM(G705:R705))))</f>
        <v/>
      </c>
      <c r="T705" s="33" t="n"/>
      <c r="U705" s="33" t="n"/>
    </row>
    <row r="706">
      <c r="A706" s="26">
        <f>IF($B706="","",ROW()-3)</f>
        <v/>
      </c>
      <c r="B706" s="27" t="n"/>
      <c r="C706" s="27" t="n"/>
      <c r="D706" s="28" t="n"/>
      <c r="E706" s="29" t="n"/>
      <c r="F706" s="30" t="n"/>
      <c r="G706" s="31" t="n"/>
      <c r="H706" s="31" t="n"/>
      <c r="I706" s="31" t="n"/>
      <c r="J706" s="31" t="n"/>
      <c r="K706" s="31" t="n"/>
      <c r="L706" s="31" t="n"/>
      <c r="M706" s="31" t="n"/>
      <c r="N706" s="31" t="n"/>
      <c r="O706" s="31" t="n"/>
      <c r="P706" s="31" t="n"/>
      <c r="Q706" s="31" t="n"/>
      <c r="R706" s="31" t="n"/>
      <c r="S706" s="32">
        <f>IF($F706="","",IF(IFERROR(VLOOKUP($F706,'维度字典'!$I$2:$J$50,2,0),"求和")="手工录入","",IF(IFERROR(VLOOKUP($F706,'维度字典'!$I$2:$J$50,2,0),"求和")="最新值",IFERROR(LOOKUP(9.99E+307,G706:R706),""),SUM(G706:R706))))</f>
        <v/>
      </c>
      <c r="T706" s="33" t="n"/>
      <c r="U706" s="33" t="n"/>
    </row>
    <row r="707">
      <c r="A707" s="26">
        <f>IF($B707="","",ROW()-3)</f>
        <v/>
      </c>
      <c r="B707" s="27" t="n"/>
      <c r="C707" s="27" t="n"/>
      <c r="D707" s="28" t="n"/>
      <c r="E707" s="29" t="n"/>
      <c r="F707" s="30" t="n"/>
      <c r="G707" s="31" t="n"/>
      <c r="H707" s="31" t="n"/>
      <c r="I707" s="31" t="n"/>
      <c r="J707" s="31" t="n"/>
      <c r="K707" s="31" t="n"/>
      <c r="L707" s="31" t="n"/>
      <c r="M707" s="31" t="n"/>
      <c r="N707" s="31" t="n"/>
      <c r="O707" s="31" t="n"/>
      <c r="P707" s="31" t="n"/>
      <c r="Q707" s="31" t="n"/>
      <c r="R707" s="31" t="n"/>
      <c r="S707" s="32">
        <f>IF($F707="","",IF(IFERROR(VLOOKUP($F707,'维度字典'!$I$2:$J$50,2,0),"求和")="手工录入","",IF(IFERROR(VLOOKUP($F707,'维度字典'!$I$2:$J$50,2,0),"求和")="最新值",IFERROR(LOOKUP(9.99E+307,G707:R707),""),SUM(G707:R707))))</f>
        <v/>
      </c>
      <c r="T707" s="33" t="n"/>
      <c r="U707" s="33" t="n"/>
    </row>
    <row r="708">
      <c r="A708" s="26">
        <f>IF($B708="","",ROW()-3)</f>
        <v/>
      </c>
      <c r="B708" s="27" t="n"/>
      <c r="C708" s="27" t="n"/>
      <c r="D708" s="28" t="n"/>
      <c r="E708" s="29" t="n"/>
      <c r="F708" s="30" t="n"/>
      <c r="G708" s="31" t="n"/>
      <c r="H708" s="31" t="n"/>
      <c r="I708" s="31" t="n"/>
      <c r="J708" s="31" t="n"/>
      <c r="K708" s="31" t="n"/>
      <c r="L708" s="31" t="n"/>
      <c r="M708" s="31" t="n"/>
      <c r="N708" s="31" t="n"/>
      <c r="O708" s="31" t="n"/>
      <c r="P708" s="31" t="n"/>
      <c r="Q708" s="31" t="n"/>
      <c r="R708" s="31" t="n"/>
      <c r="S708" s="32">
        <f>IF($F708="","",IF(IFERROR(VLOOKUP($F708,'维度字典'!$I$2:$J$50,2,0),"求和")="手工录入","",IF(IFERROR(VLOOKUP($F708,'维度字典'!$I$2:$J$50,2,0),"求和")="最新值",IFERROR(LOOKUP(9.99E+307,G708:R708),""),SUM(G708:R708))))</f>
        <v/>
      </c>
      <c r="T708" s="33" t="n"/>
      <c r="U708" s="33" t="n"/>
    </row>
    <row r="709">
      <c r="A709" s="26">
        <f>IF($B709="","",ROW()-3)</f>
        <v/>
      </c>
      <c r="B709" s="27" t="n"/>
      <c r="C709" s="27" t="n"/>
      <c r="D709" s="28" t="n"/>
      <c r="E709" s="29" t="n"/>
      <c r="F709" s="30" t="n"/>
      <c r="G709" s="31" t="n"/>
      <c r="H709" s="31" t="n"/>
      <c r="I709" s="31" t="n"/>
      <c r="J709" s="31" t="n"/>
      <c r="K709" s="31" t="n"/>
      <c r="L709" s="31" t="n"/>
      <c r="M709" s="31" t="n"/>
      <c r="N709" s="31" t="n"/>
      <c r="O709" s="31" t="n"/>
      <c r="P709" s="31" t="n"/>
      <c r="Q709" s="31" t="n"/>
      <c r="R709" s="31" t="n"/>
      <c r="S709" s="32">
        <f>IF($F709="","",IF(IFERROR(VLOOKUP($F709,'维度字典'!$I$2:$J$50,2,0),"求和")="手工录入","",IF(IFERROR(VLOOKUP($F709,'维度字典'!$I$2:$J$50,2,0),"求和")="最新值",IFERROR(LOOKUP(9.99E+307,G709:R709),""),SUM(G709:R709))))</f>
        <v/>
      </c>
      <c r="T709" s="33" t="n"/>
      <c r="U709" s="33" t="n"/>
    </row>
    <row r="710">
      <c r="A710" s="26">
        <f>IF($B710="","",ROW()-3)</f>
        <v/>
      </c>
      <c r="B710" s="27" t="n"/>
      <c r="C710" s="27" t="n"/>
      <c r="D710" s="28" t="n"/>
      <c r="E710" s="29" t="n"/>
      <c r="F710" s="30" t="n"/>
      <c r="G710" s="31" t="n"/>
      <c r="H710" s="31" t="n"/>
      <c r="I710" s="31" t="n"/>
      <c r="J710" s="31" t="n"/>
      <c r="K710" s="31" t="n"/>
      <c r="L710" s="31" t="n"/>
      <c r="M710" s="31" t="n"/>
      <c r="N710" s="31" t="n"/>
      <c r="O710" s="31" t="n"/>
      <c r="P710" s="31" t="n"/>
      <c r="Q710" s="31" t="n"/>
      <c r="R710" s="31" t="n"/>
      <c r="S710" s="32">
        <f>IF($F710="","",IF(IFERROR(VLOOKUP($F710,'维度字典'!$I$2:$J$50,2,0),"求和")="手工录入","",IF(IFERROR(VLOOKUP($F710,'维度字典'!$I$2:$J$50,2,0),"求和")="最新值",IFERROR(LOOKUP(9.99E+307,G710:R710),""),SUM(G710:R710))))</f>
        <v/>
      </c>
      <c r="T710" s="33" t="n"/>
      <c r="U710" s="33" t="n"/>
    </row>
    <row r="711">
      <c r="A711" s="26">
        <f>IF($B711="","",ROW()-3)</f>
        <v/>
      </c>
      <c r="B711" s="27" t="n"/>
      <c r="C711" s="27" t="n"/>
      <c r="D711" s="28" t="n"/>
      <c r="E711" s="29" t="n"/>
      <c r="F711" s="30" t="n"/>
      <c r="G711" s="31" t="n"/>
      <c r="H711" s="31" t="n"/>
      <c r="I711" s="31" t="n"/>
      <c r="J711" s="31" t="n"/>
      <c r="K711" s="31" t="n"/>
      <c r="L711" s="31" t="n"/>
      <c r="M711" s="31" t="n"/>
      <c r="N711" s="31" t="n"/>
      <c r="O711" s="31" t="n"/>
      <c r="P711" s="31" t="n"/>
      <c r="Q711" s="31" t="n"/>
      <c r="R711" s="31" t="n"/>
      <c r="S711" s="32">
        <f>IF($F711="","",IF(IFERROR(VLOOKUP($F711,'维度字典'!$I$2:$J$50,2,0),"求和")="手工录入","",IF(IFERROR(VLOOKUP($F711,'维度字典'!$I$2:$J$50,2,0),"求和")="最新值",IFERROR(LOOKUP(9.99E+307,G711:R711),""),SUM(G711:R711))))</f>
        <v/>
      </c>
      <c r="T711" s="33" t="n"/>
      <c r="U711" s="33" t="n"/>
    </row>
    <row r="712">
      <c r="A712" s="26">
        <f>IF($B712="","",ROW()-3)</f>
        <v/>
      </c>
      <c r="B712" s="27" t="n"/>
      <c r="C712" s="27" t="n"/>
      <c r="D712" s="28" t="n"/>
      <c r="E712" s="29" t="n"/>
      <c r="F712" s="30" t="n"/>
      <c r="G712" s="31" t="n"/>
      <c r="H712" s="31" t="n"/>
      <c r="I712" s="31" t="n"/>
      <c r="J712" s="31" t="n"/>
      <c r="K712" s="31" t="n"/>
      <c r="L712" s="31" t="n"/>
      <c r="M712" s="31" t="n"/>
      <c r="N712" s="31" t="n"/>
      <c r="O712" s="31" t="n"/>
      <c r="P712" s="31" t="n"/>
      <c r="Q712" s="31" t="n"/>
      <c r="R712" s="31" t="n"/>
      <c r="S712" s="32">
        <f>IF($F712="","",IF(IFERROR(VLOOKUP($F712,'维度字典'!$I$2:$J$50,2,0),"求和")="手工录入","",IF(IFERROR(VLOOKUP($F712,'维度字典'!$I$2:$J$50,2,0),"求和")="最新值",IFERROR(LOOKUP(9.99E+307,G712:R712),""),SUM(G712:R712))))</f>
        <v/>
      </c>
      <c r="T712" s="33" t="n"/>
      <c r="U712" s="33" t="n"/>
    </row>
    <row r="713">
      <c r="A713" s="26">
        <f>IF($B713="","",ROW()-3)</f>
        <v/>
      </c>
      <c r="B713" s="27" t="n"/>
      <c r="C713" s="27" t="n"/>
      <c r="D713" s="28" t="n"/>
      <c r="E713" s="29" t="n"/>
      <c r="F713" s="30" t="n"/>
      <c r="G713" s="31" t="n"/>
      <c r="H713" s="31" t="n"/>
      <c r="I713" s="31" t="n"/>
      <c r="J713" s="31" t="n"/>
      <c r="K713" s="31" t="n"/>
      <c r="L713" s="31" t="n"/>
      <c r="M713" s="31" t="n"/>
      <c r="N713" s="31" t="n"/>
      <c r="O713" s="31" t="n"/>
      <c r="P713" s="31" t="n"/>
      <c r="Q713" s="31" t="n"/>
      <c r="R713" s="31" t="n"/>
      <c r="S713" s="32">
        <f>IF($F713="","",IF(IFERROR(VLOOKUP($F713,'维度字典'!$I$2:$J$50,2,0),"求和")="手工录入","",IF(IFERROR(VLOOKUP($F713,'维度字典'!$I$2:$J$50,2,0),"求和")="最新值",IFERROR(LOOKUP(9.99E+307,G713:R713),""),SUM(G713:R713))))</f>
        <v/>
      </c>
      <c r="T713" s="33" t="n"/>
      <c r="U713" s="33" t="n"/>
    </row>
    <row r="714">
      <c r="A714" s="26">
        <f>IF($B714="","",ROW()-3)</f>
        <v/>
      </c>
      <c r="B714" s="27" t="n"/>
      <c r="C714" s="27" t="n"/>
      <c r="D714" s="28" t="n"/>
      <c r="E714" s="29" t="n"/>
      <c r="F714" s="30" t="n"/>
      <c r="G714" s="31" t="n"/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n"/>
      <c r="R714" s="31" t="n"/>
      <c r="S714" s="32">
        <f>IF($F714="","",IF(IFERROR(VLOOKUP($F714,'维度字典'!$I$2:$J$50,2,0),"求和")="手工录入","",IF(IFERROR(VLOOKUP($F714,'维度字典'!$I$2:$J$50,2,0),"求和")="最新值",IFERROR(LOOKUP(9.99E+307,G714:R714),""),SUM(G714:R714))))</f>
        <v/>
      </c>
      <c r="T714" s="33" t="n"/>
      <c r="U714" s="33" t="n"/>
    </row>
    <row r="715">
      <c r="A715" s="26">
        <f>IF($B715="","",ROW()-3)</f>
        <v/>
      </c>
      <c r="B715" s="27" t="n"/>
      <c r="C715" s="27" t="n"/>
      <c r="D715" s="28" t="n"/>
      <c r="E715" s="29" t="n"/>
      <c r="F715" s="30" t="n"/>
      <c r="G715" s="31" t="n"/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n"/>
      <c r="R715" s="31" t="n"/>
      <c r="S715" s="32">
        <f>IF($F715="","",IF(IFERROR(VLOOKUP($F715,'维度字典'!$I$2:$J$50,2,0),"求和")="手工录入","",IF(IFERROR(VLOOKUP($F715,'维度字典'!$I$2:$J$50,2,0),"求和")="最新值",IFERROR(LOOKUP(9.99E+307,G715:R715),""),SUM(G715:R715))))</f>
        <v/>
      </c>
      <c r="T715" s="33" t="n"/>
      <c r="U715" s="33" t="n"/>
    </row>
    <row r="716">
      <c r="A716" s="26">
        <f>IF($B716="","",ROW()-3)</f>
        <v/>
      </c>
      <c r="B716" s="27" t="n"/>
      <c r="C716" s="27" t="n"/>
      <c r="D716" s="28" t="n"/>
      <c r="E716" s="29" t="n"/>
      <c r="F716" s="30" t="n"/>
      <c r="G716" s="31" t="n"/>
      <c r="H716" s="31" t="n"/>
      <c r="I716" s="31" t="n"/>
      <c r="J716" s="31" t="n"/>
      <c r="K716" s="31" t="n"/>
      <c r="L716" s="31" t="n"/>
      <c r="M716" s="31" t="n"/>
      <c r="N716" s="31" t="n"/>
      <c r="O716" s="31" t="n"/>
      <c r="P716" s="31" t="n"/>
      <c r="Q716" s="31" t="n"/>
      <c r="R716" s="31" t="n"/>
      <c r="S716" s="32">
        <f>IF($F716="","",IF(IFERROR(VLOOKUP($F716,'维度字典'!$I$2:$J$50,2,0),"求和")="手工录入","",IF(IFERROR(VLOOKUP($F716,'维度字典'!$I$2:$J$50,2,0),"求和")="最新值",IFERROR(LOOKUP(9.99E+307,G716:R716),""),SUM(G716:R716))))</f>
        <v/>
      </c>
      <c r="T716" s="33" t="n"/>
      <c r="U716" s="33" t="n"/>
    </row>
    <row r="717">
      <c r="A717" s="26">
        <f>IF($B717="","",ROW()-3)</f>
        <v/>
      </c>
      <c r="B717" s="27" t="n"/>
      <c r="C717" s="27" t="n"/>
      <c r="D717" s="28" t="n"/>
      <c r="E717" s="29" t="n"/>
      <c r="F717" s="30" t="n"/>
      <c r="G717" s="31" t="n"/>
      <c r="H717" s="31" t="n"/>
      <c r="I717" s="31" t="n"/>
      <c r="J717" s="31" t="n"/>
      <c r="K717" s="31" t="n"/>
      <c r="L717" s="31" t="n"/>
      <c r="M717" s="31" t="n"/>
      <c r="N717" s="31" t="n"/>
      <c r="O717" s="31" t="n"/>
      <c r="P717" s="31" t="n"/>
      <c r="Q717" s="31" t="n"/>
      <c r="R717" s="31" t="n"/>
      <c r="S717" s="32">
        <f>IF($F717="","",IF(IFERROR(VLOOKUP($F717,'维度字典'!$I$2:$J$50,2,0),"求和")="手工录入","",IF(IFERROR(VLOOKUP($F717,'维度字典'!$I$2:$J$50,2,0),"求和")="最新值",IFERROR(LOOKUP(9.99E+307,G717:R717),""),SUM(G717:R717))))</f>
        <v/>
      </c>
      <c r="T717" s="33" t="n"/>
      <c r="U717" s="33" t="n"/>
    </row>
    <row r="718">
      <c r="A718" s="26">
        <f>IF($B718="","",ROW()-3)</f>
        <v/>
      </c>
      <c r="B718" s="27" t="n"/>
      <c r="C718" s="27" t="n"/>
      <c r="D718" s="28" t="n"/>
      <c r="E718" s="29" t="n"/>
      <c r="F718" s="30" t="n"/>
      <c r="G718" s="31" t="n"/>
      <c r="H718" s="31" t="n"/>
      <c r="I718" s="31" t="n"/>
      <c r="J718" s="31" t="n"/>
      <c r="K718" s="31" t="n"/>
      <c r="L718" s="31" t="n"/>
      <c r="M718" s="31" t="n"/>
      <c r="N718" s="31" t="n"/>
      <c r="O718" s="31" t="n"/>
      <c r="P718" s="31" t="n"/>
      <c r="Q718" s="31" t="n"/>
      <c r="R718" s="31" t="n"/>
      <c r="S718" s="32">
        <f>IF($F718="","",IF(IFERROR(VLOOKUP($F718,'维度字典'!$I$2:$J$50,2,0),"求和")="手工录入","",IF(IFERROR(VLOOKUP($F718,'维度字典'!$I$2:$J$50,2,0),"求和")="最新值",IFERROR(LOOKUP(9.99E+307,G718:R718),""),SUM(G718:R718))))</f>
        <v/>
      </c>
      <c r="T718" s="33" t="n"/>
      <c r="U718" s="33" t="n"/>
    </row>
    <row r="719">
      <c r="A719" s="26">
        <f>IF($B719="","",ROW()-3)</f>
        <v/>
      </c>
      <c r="B719" s="27" t="n"/>
      <c r="C719" s="27" t="n"/>
      <c r="D719" s="28" t="n"/>
      <c r="E719" s="29" t="n"/>
      <c r="F719" s="30" t="n"/>
      <c r="G719" s="31" t="n"/>
      <c r="H719" s="31" t="n"/>
      <c r="I719" s="31" t="n"/>
      <c r="J719" s="31" t="n"/>
      <c r="K719" s="31" t="n"/>
      <c r="L719" s="31" t="n"/>
      <c r="M719" s="31" t="n"/>
      <c r="N719" s="31" t="n"/>
      <c r="O719" s="31" t="n"/>
      <c r="P719" s="31" t="n"/>
      <c r="Q719" s="31" t="n"/>
      <c r="R719" s="31" t="n"/>
      <c r="S719" s="32">
        <f>IF($F719="","",IF(IFERROR(VLOOKUP($F719,'维度字典'!$I$2:$J$50,2,0),"求和")="手工录入","",IF(IFERROR(VLOOKUP($F719,'维度字典'!$I$2:$J$50,2,0),"求和")="最新值",IFERROR(LOOKUP(9.99E+307,G719:R719),""),SUM(G719:R719))))</f>
        <v/>
      </c>
      <c r="T719" s="33" t="n"/>
      <c r="U719" s="33" t="n"/>
    </row>
    <row r="720">
      <c r="A720" s="26">
        <f>IF($B720="","",ROW()-3)</f>
        <v/>
      </c>
      <c r="B720" s="27" t="n"/>
      <c r="C720" s="27" t="n"/>
      <c r="D720" s="28" t="n"/>
      <c r="E720" s="29" t="n"/>
      <c r="F720" s="30" t="n"/>
      <c r="G720" s="31" t="n"/>
      <c r="H720" s="31" t="n"/>
      <c r="I720" s="31" t="n"/>
      <c r="J720" s="31" t="n"/>
      <c r="K720" s="31" t="n"/>
      <c r="L720" s="31" t="n"/>
      <c r="M720" s="31" t="n"/>
      <c r="N720" s="31" t="n"/>
      <c r="O720" s="31" t="n"/>
      <c r="P720" s="31" t="n"/>
      <c r="Q720" s="31" t="n"/>
      <c r="R720" s="31" t="n"/>
      <c r="S720" s="32">
        <f>IF($F720="","",IF(IFERROR(VLOOKUP($F720,'维度字典'!$I$2:$J$50,2,0),"求和")="手工录入","",IF(IFERROR(VLOOKUP($F720,'维度字典'!$I$2:$J$50,2,0),"求和")="最新值",IFERROR(LOOKUP(9.99E+307,G720:R720),""),SUM(G720:R720))))</f>
        <v/>
      </c>
      <c r="T720" s="33" t="n"/>
      <c r="U720" s="33" t="n"/>
    </row>
    <row r="721">
      <c r="A721" s="26">
        <f>IF($B721="","",ROW()-3)</f>
        <v/>
      </c>
      <c r="B721" s="27" t="n"/>
      <c r="C721" s="27" t="n"/>
      <c r="D721" s="28" t="n"/>
      <c r="E721" s="29" t="n"/>
      <c r="F721" s="30" t="n"/>
      <c r="G721" s="31" t="n"/>
      <c r="H721" s="31" t="n"/>
      <c r="I721" s="31" t="n"/>
      <c r="J721" s="31" t="n"/>
      <c r="K721" s="31" t="n"/>
      <c r="L721" s="31" t="n"/>
      <c r="M721" s="31" t="n"/>
      <c r="N721" s="31" t="n"/>
      <c r="O721" s="31" t="n"/>
      <c r="P721" s="31" t="n"/>
      <c r="Q721" s="31" t="n"/>
      <c r="R721" s="31" t="n"/>
      <c r="S721" s="32">
        <f>IF($F721="","",IF(IFERROR(VLOOKUP($F721,'维度字典'!$I$2:$J$50,2,0),"求和")="手工录入","",IF(IFERROR(VLOOKUP($F721,'维度字典'!$I$2:$J$50,2,0),"求和")="最新值",IFERROR(LOOKUP(9.99E+307,G721:R721),""),SUM(G721:R721))))</f>
        <v/>
      </c>
      <c r="T721" s="33" t="n"/>
      <c r="U721" s="33" t="n"/>
    </row>
    <row r="722">
      <c r="A722" s="26">
        <f>IF($B722="","",ROW()-3)</f>
        <v/>
      </c>
      <c r="B722" s="27" t="n"/>
      <c r="C722" s="27" t="n"/>
      <c r="D722" s="28" t="n"/>
      <c r="E722" s="29" t="n"/>
      <c r="F722" s="30" t="n"/>
      <c r="G722" s="31" t="n"/>
      <c r="H722" s="31" t="n"/>
      <c r="I722" s="31" t="n"/>
      <c r="J722" s="31" t="n"/>
      <c r="K722" s="31" t="n"/>
      <c r="L722" s="31" t="n"/>
      <c r="M722" s="31" t="n"/>
      <c r="N722" s="31" t="n"/>
      <c r="O722" s="31" t="n"/>
      <c r="P722" s="31" t="n"/>
      <c r="Q722" s="31" t="n"/>
      <c r="R722" s="31" t="n"/>
      <c r="S722" s="32">
        <f>IF($F722="","",IF(IFERROR(VLOOKUP($F722,'维度字典'!$I$2:$J$50,2,0),"求和")="手工录入","",IF(IFERROR(VLOOKUP($F722,'维度字典'!$I$2:$J$50,2,0),"求和")="最新值",IFERROR(LOOKUP(9.99E+307,G722:R722),""),SUM(G722:R722))))</f>
        <v/>
      </c>
      <c r="T722" s="33" t="n"/>
      <c r="U722" s="33" t="n"/>
    </row>
    <row r="723">
      <c r="A723" s="26">
        <f>IF($B723="","",ROW()-3)</f>
        <v/>
      </c>
      <c r="B723" s="27" t="n"/>
      <c r="C723" s="27" t="n"/>
      <c r="D723" s="28" t="n"/>
      <c r="E723" s="29" t="n"/>
      <c r="F723" s="30" t="n"/>
      <c r="G723" s="31" t="n"/>
      <c r="H723" s="31" t="n"/>
      <c r="I723" s="31" t="n"/>
      <c r="J723" s="31" t="n"/>
      <c r="K723" s="31" t="n"/>
      <c r="L723" s="31" t="n"/>
      <c r="M723" s="31" t="n"/>
      <c r="N723" s="31" t="n"/>
      <c r="O723" s="31" t="n"/>
      <c r="P723" s="31" t="n"/>
      <c r="Q723" s="31" t="n"/>
      <c r="R723" s="31" t="n"/>
      <c r="S723" s="32">
        <f>IF($F723="","",IF(IFERROR(VLOOKUP($F723,'维度字典'!$I$2:$J$50,2,0),"求和")="手工录入","",IF(IFERROR(VLOOKUP($F723,'维度字典'!$I$2:$J$50,2,0),"求和")="最新值",IFERROR(LOOKUP(9.99E+307,G723:R723),""),SUM(G723:R723))))</f>
        <v/>
      </c>
      <c r="T723" s="33" t="n"/>
      <c r="U723" s="33" t="n"/>
    </row>
    <row r="724">
      <c r="A724" s="26">
        <f>IF($B724="","",ROW()-3)</f>
        <v/>
      </c>
      <c r="B724" s="27" t="n"/>
      <c r="C724" s="27" t="n"/>
      <c r="D724" s="28" t="n"/>
      <c r="E724" s="29" t="n"/>
      <c r="F724" s="30" t="n"/>
      <c r="G724" s="31" t="n"/>
      <c r="H724" s="31" t="n"/>
      <c r="I724" s="31" t="n"/>
      <c r="J724" s="31" t="n"/>
      <c r="K724" s="31" t="n"/>
      <c r="L724" s="31" t="n"/>
      <c r="M724" s="31" t="n"/>
      <c r="N724" s="31" t="n"/>
      <c r="O724" s="31" t="n"/>
      <c r="P724" s="31" t="n"/>
      <c r="Q724" s="31" t="n"/>
      <c r="R724" s="31" t="n"/>
      <c r="S724" s="32">
        <f>IF($F724="","",IF(IFERROR(VLOOKUP($F724,'维度字典'!$I$2:$J$50,2,0),"求和")="手工录入","",IF(IFERROR(VLOOKUP($F724,'维度字典'!$I$2:$J$50,2,0),"求和")="最新值",IFERROR(LOOKUP(9.99E+307,G724:R724),""),SUM(G724:R724))))</f>
        <v/>
      </c>
      <c r="T724" s="33" t="n"/>
      <c r="U724" s="33" t="n"/>
    </row>
    <row r="725">
      <c r="A725" s="26">
        <f>IF($B725="","",ROW()-3)</f>
        <v/>
      </c>
      <c r="B725" s="27" t="n"/>
      <c r="C725" s="27" t="n"/>
      <c r="D725" s="28" t="n"/>
      <c r="E725" s="29" t="n"/>
      <c r="F725" s="30" t="n"/>
      <c r="G725" s="31" t="n"/>
      <c r="H725" s="31" t="n"/>
      <c r="I725" s="31" t="n"/>
      <c r="J725" s="31" t="n"/>
      <c r="K725" s="31" t="n"/>
      <c r="L725" s="31" t="n"/>
      <c r="M725" s="31" t="n"/>
      <c r="N725" s="31" t="n"/>
      <c r="O725" s="31" t="n"/>
      <c r="P725" s="31" t="n"/>
      <c r="Q725" s="31" t="n"/>
      <c r="R725" s="31" t="n"/>
      <c r="S725" s="32">
        <f>IF($F725="","",IF(IFERROR(VLOOKUP($F725,'维度字典'!$I$2:$J$50,2,0),"求和")="手工录入","",IF(IFERROR(VLOOKUP($F725,'维度字典'!$I$2:$J$50,2,0),"求和")="最新值",IFERROR(LOOKUP(9.99E+307,G725:R725),""),SUM(G725:R725))))</f>
        <v/>
      </c>
      <c r="T725" s="33" t="n"/>
      <c r="U725" s="33" t="n"/>
    </row>
    <row r="726">
      <c r="A726" s="26">
        <f>IF($B726="","",ROW()-3)</f>
        <v/>
      </c>
      <c r="B726" s="27" t="n"/>
      <c r="C726" s="27" t="n"/>
      <c r="D726" s="28" t="n"/>
      <c r="E726" s="29" t="n"/>
      <c r="F726" s="30" t="n"/>
      <c r="G726" s="31" t="n"/>
      <c r="H726" s="31" t="n"/>
      <c r="I726" s="31" t="n"/>
      <c r="J726" s="31" t="n"/>
      <c r="K726" s="31" t="n"/>
      <c r="L726" s="31" t="n"/>
      <c r="M726" s="31" t="n"/>
      <c r="N726" s="31" t="n"/>
      <c r="O726" s="31" t="n"/>
      <c r="P726" s="31" t="n"/>
      <c r="Q726" s="31" t="n"/>
      <c r="R726" s="31" t="n"/>
      <c r="S726" s="32">
        <f>IF($F726="","",IF(IFERROR(VLOOKUP($F726,'维度字典'!$I$2:$J$50,2,0),"求和")="手工录入","",IF(IFERROR(VLOOKUP($F726,'维度字典'!$I$2:$J$50,2,0),"求和")="最新值",IFERROR(LOOKUP(9.99E+307,G726:R726),""),SUM(G726:R726))))</f>
        <v/>
      </c>
      <c r="T726" s="33" t="n"/>
      <c r="U726" s="33" t="n"/>
    </row>
    <row r="727">
      <c r="A727" s="26">
        <f>IF($B727="","",ROW()-3)</f>
        <v/>
      </c>
      <c r="B727" s="27" t="n"/>
      <c r="C727" s="27" t="n"/>
      <c r="D727" s="28" t="n"/>
      <c r="E727" s="29" t="n"/>
      <c r="F727" s="30" t="n"/>
      <c r="G727" s="31" t="n"/>
      <c r="H727" s="31" t="n"/>
      <c r="I727" s="31" t="n"/>
      <c r="J727" s="31" t="n"/>
      <c r="K727" s="31" t="n"/>
      <c r="L727" s="31" t="n"/>
      <c r="M727" s="31" t="n"/>
      <c r="N727" s="31" t="n"/>
      <c r="O727" s="31" t="n"/>
      <c r="P727" s="31" t="n"/>
      <c r="Q727" s="31" t="n"/>
      <c r="R727" s="31" t="n"/>
      <c r="S727" s="32">
        <f>IF($F727="","",IF(IFERROR(VLOOKUP($F727,'维度字典'!$I$2:$J$50,2,0),"求和")="手工录入","",IF(IFERROR(VLOOKUP($F727,'维度字典'!$I$2:$J$50,2,0),"求和")="最新值",IFERROR(LOOKUP(9.99E+307,G727:R727),""),SUM(G727:R727))))</f>
        <v/>
      </c>
      <c r="T727" s="33" t="n"/>
      <c r="U727" s="33" t="n"/>
    </row>
    <row r="728">
      <c r="A728" s="26">
        <f>IF($B728="","",ROW()-3)</f>
        <v/>
      </c>
      <c r="B728" s="27" t="n"/>
      <c r="C728" s="27" t="n"/>
      <c r="D728" s="28" t="n"/>
      <c r="E728" s="29" t="n"/>
      <c r="F728" s="30" t="n"/>
      <c r="G728" s="31" t="n"/>
      <c r="H728" s="31" t="n"/>
      <c r="I728" s="31" t="n"/>
      <c r="J728" s="31" t="n"/>
      <c r="K728" s="31" t="n"/>
      <c r="L728" s="31" t="n"/>
      <c r="M728" s="31" t="n"/>
      <c r="N728" s="31" t="n"/>
      <c r="O728" s="31" t="n"/>
      <c r="P728" s="31" t="n"/>
      <c r="Q728" s="31" t="n"/>
      <c r="R728" s="31" t="n"/>
      <c r="S728" s="32">
        <f>IF($F728="","",IF(IFERROR(VLOOKUP($F728,'维度字典'!$I$2:$J$50,2,0),"求和")="手工录入","",IF(IFERROR(VLOOKUP($F728,'维度字典'!$I$2:$J$50,2,0),"求和")="最新值",IFERROR(LOOKUP(9.99E+307,G728:R728),""),SUM(G728:R728))))</f>
        <v/>
      </c>
      <c r="T728" s="33" t="n"/>
      <c r="U728" s="33" t="n"/>
    </row>
    <row r="729">
      <c r="A729" s="26">
        <f>IF($B729="","",ROW()-3)</f>
        <v/>
      </c>
      <c r="B729" s="27" t="n"/>
      <c r="C729" s="27" t="n"/>
      <c r="D729" s="28" t="n"/>
      <c r="E729" s="29" t="n"/>
      <c r="F729" s="30" t="n"/>
      <c r="G729" s="31" t="n"/>
      <c r="H729" s="31" t="n"/>
      <c r="I729" s="31" t="n"/>
      <c r="J729" s="31" t="n"/>
      <c r="K729" s="31" t="n"/>
      <c r="L729" s="31" t="n"/>
      <c r="M729" s="31" t="n"/>
      <c r="N729" s="31" t="n"/>
      <c r="O729" s="31" t="n"/>
      <c r="P729" s="31" t="n"/>
      <c r="Q729" s="31" t="n"/>
      <c r="R729" s="31" t="n"/>
      <c r="S729" s="32">
        <f>IF($F729="","",IF(IFERROR(VLOOKUP($F729,'维度字典'!$I$2:$J$50,2,0),"求和")="手工录入","",IF(IFERROR(VLOOKUP($F729,'维度字典'!$I$2:$J$50,2,0),"求和")="最新值",IFERROR(LOOKUP(9.99E+307,G729:R729),""),SUM(G729:R729))))</f>
        <v/>
      </c>
      <c r="T729" s="33" t="n"/>
      <c r="U729" s="33" t="n"/>
    </row>
    <row r="730">
      <c r="A730" s="26">
        <f>IF($B730="","",ROW()-3)</f>
        <v/>
      </c>
      <c r="B730" s="27" t="n"/>
      <c r="C730" s="27" t="n"/>
      <c r="D730" s="28" t="n"/>
      <c r="E730" s="29" t="n"/>
      <c r="F730" s="30" t="n"/>
      <c r="G730" s="31" t="n"/>
      <c r="H730" s="31" t="n"/>
      <c r="I730" s="31" t="n"/>
      <c r="J730" s="31" t="n"/>
      <c r="K730" s="31" t="n"/>
      <c r="L730" s="31" t="n"/>
      <c r="M730" s="31" t="n"/>
      <c r="N730" s="31" t="n"/>
      <c r="O730" s="31" t="n"/>
      <c r="P730" s="31" t="n"/>
      <c r="Q730" s="31" t="n"/>
      <c r="R730" s="31" t="n"/>
      <c r="S730" s="32">
        <f>IF($F730="","",IF(IFERROR(VLOOKUP($F730,'维度字典'!$I$2:$J$50,2,0),"求和")="手工录入","",IF(IFERROR(VLOOKUP($F730,'维度字典'!$I$2:$J$50,2,0),"求和")="最新值",IFERROR(LOOKUP(9.99E+307,G730:R730),""),SUM(G730:R730))))</f>
        <v/>
      </c>
      <c r="T730" s="33" t="n"/>
      <c r="U730" s="33" t="n"/>
    </row>
    <row r="731">
      <c r="A731" s="26">
        <f>IF($B731="","",ROW()-3)</f>
        <v/>
      </c>
      <c r="B731" s="27" t="n"/>
      <c r="C731" s="27" t="n"/>
      <c r="D731" s="28" t="n"/>
      <c r="E731" s="29" t="n"/>
      <c r="F731" s="30" t="n"/>
      <c r="G731" s="31" t="n"/>
      <c r="H731" s="31" t="n"/>
      <c r="I731" s="31" t="n"/>
      <c r="J731" s="31" t="n"/>
      <c r="K731" s="31" t="n"/>
      <c r="L731" s="31" t="n"/>
      <c r="M731" s="31" t="n"/>
      <c r="N731" s="31" t="n"/>
      <c r="O731" s="31" t="n"/>
      <c r="P731" s="31" t="n"/>
      <c r="Q731" s="31" t="n"/>
      <c r="R731" s="31" t="n"/>
      <c r="S731" s="32">
        <f>IF($F731="","",IF(IFERROR(VLOOKUP($F731,'维度字典'!$I$2:$J$50,2,0),"求和")="手工录入","",IF(IFERROR(VLOOKUP($F731,'维度字典'!$I$2:$J$50,2,0),"求和")="最新值",IFERROR(LOOKUP(9.99E+307,G731:R731),""),SUM(G731:R731))))</f>
        <v/>
      </c>
      <c r="T731" s="33" t="n"/>
      <c r="U731" s="33" t="n"/>
    </row>
    <row r="732">
      <c r="A732" s="26">
        <f>IF($B732="","",ROW()-3)</f>
        <v/>
      </c>
      <c r="B732" s="27" t="n"/>
      <c r="C732" s="27" t="n"/>
      <c r="D732" s="28" t="n"/>
      <c r="E732" s="29" t="n"/>
      <c r="F732" s="30" t="n"/>
      <c r="G732" s="31" t="n"/>
      <c r="H732" s="31" t="n"/>
      <c r="I732" s="31" t="n"/>
      <c r="J732" s="31" t="n"/>
      <c r="K732" s="31" t="n"/>
      <c r="L732" s="31" t="n"/>
      <c r="M732" s="31" t="n"/>
      <c r="N732" s="31" t="n"/>
      <c r="O732" s="31" t="n"/>
      <c r="P732" s="31" t="n"/>
      <c r="Q732" s="31" t="n"/>
      <c r="R732" s="31" t="n"/>
      <c r="S732" s="32">
        <f>IF($F732="","",IF(IFERROR(VLOOKUP($F732,'维度字典'!$I$2:$J$50,2,0),"求和")="手工录入","",IF(IFERROR(VLOOKUP($F732,'维度字典'!$I$2:$J$50,2,0),"求和")="最新值",IFERROR(LOOKUP(9.99E+307,G732:R732),""),SUM(G732:R732))))</f>
        <v/>
      </c>
      <c r="T732" s="33" t="n"/>
      <c r="U732" s="33" t="n"/>
    </row>
    <row r="733">
      <c r="A733" s="26">
        <f>IF($B733="","",ROW()-3)</f>
        <v/>
      </c>
      <c r="B733" s="27" t="n"/>
      <c r="C733" s="27" t="n"/>
      <c r="D733" s="28" t="n"/>
      <c r="E733" s="29" t="n"/>
      <c r="F733" s="30" t="n"/>
      <c r="G733" s="31" t="n"/>
      <c r="H733" s="31" t="n"/>
      <c r="I733" s="31" t="n"/>
      <c r="J733" s="31" t="n"/>
      <c r="K733" s="31" t="n"/>
      <c r="L733" s="31" t="n"/>
      <c r="M733" s="31" t="n"/>
      <c r="N733" s="31" t="n"/>
      <c r="O733" s="31" t="n"/>
      <c r="P733" s="31" t="n"/>
      <c r="Q733" s="31" t="n"/>
      <c r="R733" s="31" t="n"/>
      <c r="S733" s="32">
        <f>IF($F733="","",IF(IFERROR(VLOOKUP($F733,'维度字典'!$I$2:$J$50,2,0),"求和")="手工录入","",IF(IFERROR(VLOOKUP($F733,'维度字典'!$I$2:$J$50,2,0),"求和")="最新值",IFERROR(LOOKUP(9.99E+307,G733:R733),""),SUM(G733:R733))))</f>
        <v/>
      </c>
      <c r="T733" s="33" t="n"/>
      <c r="U733" s="33" t="n"/>
    </row>
    <row r="734">
      <c r="A734" s="26">
        <f>IF($B734="","",ROW()-3)</f>
        <v/>
      </c>
      <c r="B734" s="27" t="n"/>
      <c r="C734" s="27" t="n"/>
      <c r="D734" s="28" t="n"/>
      <c r="E734" s="29" t="n"/>
      <c r="F734" s="30" t="n"/>
      <c r="G734" s="31" t="n"/>
      <c r="H734" s="31" t="n"/>
      <c r="I734" s="31" t="n"/>
      <c r="J734" s="31" t="n"/>
      <c r="K734" s="31" t="n"/>
      <c r="L734" s="31" t="n"/>
      <c r="M734" s="31" t="n"/>
      <c r="N734" s="31" t="n"/>
      <c r="O734" s="31" t="n"/>
      <c r="P734" s="31" t="n"/>
      <c r="Q734" s="31" t="n"/>
      <c r="R734" s="31" t="n"/>
      <c r="S734" s="32">
        <f>IF($F734="","",IF(IFERROR(VLOOKUP($F734,'维度字典'!$I$2:$J$50,2,0),"求和")="手工录入","",IF(IFERROR(VLOOKUP($F734,'维度字典'!$I$2:$J$50,2,0),"求和")="最新值",IFERROR(LOOKUP(9.99E+307,G734:R734),""),SUM(G734:R734))))</f>
        <v/>
      </c>
      <c r="T734" s="33" t="n"/>
      <c r="U734" s="33" t="n"/>
    </row>
    <row r="735">
      <c r="A735" s="26">
        <f>IF($B735="","",ROW()-3)</f>
        <v/>
      </c>
      <c r="B735" s="27" t="n"/>
      <c r="C735" s="27" t="n"/>
      <c r="D735" s="28" t="n"/>
      <c r="E735" s="29" t="n"/>
      <c r="F735" s="30" t="n"/>
      <c r="G735" s="31" t="n"/>
      <c r="H735" s="31" t="n"/>
      <c r="I735" s="31" t="n"/>
      <c r="J735" s="31" t="n"/>
      <c r="K735" s="31" t="n"/>
      <c r="L735" s="31" t="n"/>
      <c r="M735" s="31" t="n"/>
      <c r="N735" s="31" t="n"/>
      <c r="O735" s="31" t="n"/>
      <c r="P735" s="31" t="n"/>
      <c r="Q735" s="31" t="n"/>
      <c r="R735" s="31" t="n"/>
      <c r="S735" s="32">
        <f>IF($F735="","",IF(IFERROR(VLOOKUP($F735,'维度字典'!$I$2:$J$50,2,0),"求和")="手工录入","",IF(IFERROR(VLOOKUP($F735,'维度字典'!$I$2:$J$50,2,0),"求和")="最新值",IFERROR(LOOKUP(9.99E+307,G735:R735),""),SUM(G735:R735))))</f>
        <v/>
      </c>
      <c r="T735" s="33" t="n"/>
      <c r="U735" s="33" t="n"/>
    </row>
    <row r="736">
      <c r="A736" s="26">
        <f>IF($B736="","",ROW()-3)</f>
        <v/>
      </c>
      <c r="B736" s="27" t="n"/>
      <c r="C736" s="27" t="n"/>
      <c r="D736" s="28" t="n"/>
      <c r="E736" s="29" t="n"/>
      <c r="F736" s="30" t="n"/>
      <c r="G736" s="31" t="n"/>
      <c r="H736" s="31" t="n"/>
      <c r="I736" s="31" t="n"/>
      <c r="J736" s="31" t="n"/>
      <c r="K736" s="31" t="n"/>
      <c r="L736" s="31" t="n"/>
      <c r="M736" s="31" t="n"/>
      <c r="N736" s="31" t="n"/>
      <c r="O736" s="31" t="n"/>
      <c r="P736" s="31" t="n"/>
      <c r="Q736" s="31" t="n"/>
      <c r="R736" s="31" t="n"/>
      <c r="S736" s="32">
        <f>IF($F736="","",IF(IFERROR(VLOOKUP($F736,'维度字典'!$I$2:$J$50,2,0),"求和")="手工录入","",IF(IFERROR(VLOOKUP($F736,'维度字典'!$I$2:$J$50,2,0),"求和")="最新值",IFERROR(LOOKUP(9.99E+307,G736:R736),""),SUM(G736:R736))))</f>
        <v/>
      </c>
      <c r="T736" s="33" t="n"/>
      <c r="U736" s="33" t="n"/>
    </row>
    <row r="737">
      <c r="A737" s="26">
        <f>IF($B737="","",ROW()-3)</f>
        <v/>
      </c>
      <c r="B737" s="27" t="n"/>
      <c r="C737" s="27" t="n"/>
      <c r="D737" s="28" t="n"/>
      <c r="E737" s="29" t="n"/>
      <c r="F737" s="30" t="n"/>
      <c r="G737" s="31" t="n"/>
      <c r="H737" s="31" t="n"/>
      <c r="I737" s="31" t="n"/>
      <c r="J737" s="31" t="n"/>
      <c r="K737" s="31" t="n"/>
      <c r="L737" s="31" t="n"/>
      <c r="M737" s="31" t="n"/>
      <c r="N737" s="31" t="n"/>
      <c r="O737" s="31" t="n"/>
      <c r="P737" s="31" t="n"/>
      <c r="Q737" s="31" t="n"/>
      <c r="R737" s="31" t="n"/>
      <c r="S737" s="32">
        <f>IF($F737="","",IF(IFERROR(VLOOKUP($F737,'维度字典'!$I$2:$J$50,2,0),"求和")="手工录入","",IF(IFERROR(VLOOKUP($F737,'维度字典'!$I$2:$J$50,2,0),"求和")="最新值",IFERROR(LOOKUP(9.99E+307,G737:R737),""),SUM(G737:R737))))</f>
        <v/>
      </c>
      <c r="T737" s="33" t="n"/>
      <c r="U737" s="33" t="n"/>
    </row>
    <row r="738">
      <c r="A738" s="26">
        <f>IF($B738="","",ROW()-3)</f>
        <v/>
      </c>
      <c r="B738" s="27" t="n"/>
      <c r="C738" s="27" t="n"/>
      <c r="D738" s="28" t="n"/>
      <c r="E738" s="29" t="n"/>
      <c r="F738" s="30" t="n"/>
      <c r="G738" s="31" t="n"/>
      <c r="H738" s="31" t="n"/>
      <c r="I738" s="31" t="n"/>
      <c r="J738" s="31" t="n"/>
      <c r="K738" s="31" t="n"/>
      <c r="L738" s="31" t="n"/>
      <c r="M738" s="31" t="n"/>
      <c r="N738" s="31" t="n"/>
      <c r="O738" s="31" t="n"/>
      <c r="P738" s="31" t="n"/>
      <c r="Q738" s="31" t="n"/>
      <c r="R738" s="31" t="n"/>
      <c r="S738" s="32">
        <f>IF($F738="","",IF(IFERROR(VLOOKUP($F738,'维度字典'!$I$2:$J$50,2,0),"求和")="手工录入","",IF(IFERROR(VLOOKUP($F738,'维度字典'!$I$2:$J$50,2,0),"求和")="最新值",IFERROR(LOOKUP(9.99E+307,G738:R738),""),SUM(G738:R738))))</f>
        <v/>
      </c>
      <c r="T738" s="33" t="n"/>
      <c r="U738" s="33" t="n"/>
    </row>
    <row r="739">
      <c r="A739" s="26">
        <f>IF($B739="","",ROW()-3)</f>
        <v/>
      </c>
      <c r="B739" s="27" t="n"/>
      <c r="C739" s="27" t="n"/>
      <c r="D739" s="28" t="n"/>
      <c r="E739" s="29" t="n"/>
      <c r="F739" s="30" t="n"/>
      <c r="G739" s="31" t="n"/>
      <c r="H739" s="31" t="n"/>
      <c r="I739" s="31" t="n"/>
      <c r="J739" s="31" t="n"/>
      <c r="K739" s="31" t="n"/>
      <c r="L739" s="31" t="n"/>
      <c r="M739" s="31" t="n"/>
      <c r="N739" s="31" t="n"/>
      <c r="O739" s="31" t="n"/>
      <c r="P739" s="31" t="n"/>
      <c r="Q739" s="31" t="n"/>
      <c r="R739" s="31" t="n"/>
      <c r="S739" s="32">
        <f>IF($F739="","",IF(IFERROR(VLOOKUP($F739,'维度字典'!$I$2:$J$50,2,0),"求和")="手工录入","",IF(IFERROR(VLOOKUP($F739,'维度字典'!$I$2:$J$50,2,0),"求和")="最新值",IFERROR(LOOKUP(9.99E+307,G739:R739),""),SUM(G739:R739))))</f>
        <v/>
      </c>
      <c r="T739" s="33" t="n"/>
      <c r="U739" s="33" t="n"/>
    </row>
    <row r="740">
      <c r="A740" s="26">
        <f>IF($B740="","",ROW()-3)</f>
        <v/>
      </c>
      <c r="B740" s="27" t="n"/>
      <c r="C740" s="27" t="n"/>
      <c r="D740" s="28" t="n"/>
      <c r="E740" s="29" t="n"/>
      <c r="F740" s="30" t="n"/>
      <c r="G740" s="31" t="n"/>
      <c r="H740" s="31" t="n"/>
      <c r="I740" s="31" t="n"/>
      <c r="J740" s="31" t="n"/>
      <c r="K740" s="31" t="n"/>
      <c r="L740" s="31" t="n"/>
      <c r="M740" s="31" t="n"/>
      <c r="N740" s="31" t="n"/>
      <c r="O740" s="31" t="n"/>
      <c r="P740" s="31" t="n"/>
      <c r="Q740" s="31" t="n"/>
      <c r="R740" s="31" t="n"/>
      <c r="S740" s="32">
        <f>IF($F740="","",IF(IFERROR(VLOOKUP($F740,'维度字典'!$I$2:$J$50,2,0),"求和")="手工录入","",IF(IFERROR(VLOOKUP($F740,'维度字典'!$I$2:$J$50,2,0),"求和")="最新值",IFERROR(LOOKUP(9.99E+307,G740:R740),""),SUM(G740:R740))))</f>
        <v/>
      </c>
      <c r="T740" s="33" t="n"/>
      <c r="U740" s="33" t="n"/>
    </row>
    <row r="741">
      <c r="A741" s="26">
        <f>IF($B741="","",ROW()-3)</f>
        <v/>
      </c>
      <c r="B741" s="27" t="n"/>
      <c r="C741" s="27" t="n"/>
      <c r="D741" s="28" t="n"/>
      <c r="E741" s="29" t="n"/>
      <c r="F741" s="30" t="n"/>
      <c r="G741" s="31" t="n"/>
      <c r="H741" s="31" t="n"/>
      <c r="I741" s="31" t="n"/>
      <c r="J741" s="31" t="n"/>
      <c r="K741" s="31" t="n"/>
      <c r="L741" s="31" t="n"/>
      <c r="M741" s="31" t="n"/>
      <c r="N741" s="31" t="n"/>
      <c r="O741" s="31" t="n"/>
      <c r="P741" s="31" t="n"/>
      <c r="Q741" s="31" t="n"/>
      <c r="R741" s="31" t="n"/>
      <c r="S741" s="32">
        <f>IF($F741="","",IF(IFERROR(VLOOKUP($F741,'维度字典'!$I$2:$J$50,2,0),"求和")="手工录入","",IF(IFERROR(VLOOKUP($F741,'维度字典'!$I$2:$J$50,2,0),"求和")="最新值",IFERROR(LOOKUP(9.99E+307,G741:R741),""),SUM(G741:R741))))</f>
        <v/>
      </c>
      <c r="T741" s="33" t="n"/>
      <c r="U741" s="33" t="n"/>
    </row>
    <row r="742">
      <c r="A742" s="26">
        <f>IF($B742="","",ROW()-3)</f>
        <v/>
      </c>
      <c r="B742" s="27" t="n"/>
      <c r="C742" s="27" t="n"/>
      <c r="D742" s="28" t="n"/>
      <c r="E742" s="29" t="n"/>
      <c r="F742" s="30" t="n"/>
      <c r="G742" s="31" t="n"/>
      <c r="H742" s="31" t="n"/>
      <c r="I742" s="31" t="n"/>
      <c r="J742" s="31" t="n"/>
      <c r="K742" s="31" t="n"/>
      <c r="L742" s="31" t="n"/>
      <c r="M742" s="31" t="n"/>
      <c r="N742" s="31" t="n"/>
      <c r="O742" s="31" t="n"/>
      <c r="P742" s="31" t="n"/>
      <c r="Q742" s="31" t="n"/>
      <c r="R742" s="31" t="n"/>
      <c r="S742" s="32">
        <f>IF($F742="","",IF(IFERROR(VLOOKUP($F742,'维度字典'!$I$2:$J$50,2,0),"求和")="手工录入","",IF(IFERROR(VLOOKUP($F742,'维度字典'!$I$2:$J$50,2,0),"求和")="最新值",IFERROR(LOOKUP(9.99E+307,G742:R742),""),SUM(G742:R742))))</f>
        <v/>
      </c>
      <c r="T742" s="33" t="n"/>
      <c r="U742" s="33" t="n"/>
    </row>
    <row r="743">
      <c r="A743" s="26">
        <f>IF($B743="","",ROW()-3)</f>
        <v/>
      </c>
      <c r="B743" s="27" t="n"/>
      <c r="C743" s="27" t="n"/>
      <c r="D743" s="28" t="n"/>
      <c r="E743" s="29" t="n"/>
      <c r="F743" s="30" t="n"/>
      <c r="G743" s="31" t="n"/>
      <c r="H743" s="31" t="n"/>
      <c r="I743" s="31" t="n"/>
      <c r="J743" s="31" t="n"/>
      <c r="K743" s="31" t="n"/>
      <c r="L743" s="31" t="n"/>
      <c r="M743" s="31" t="n"/>
      <c r="N743" s="31" t="n"/>
      <c r="O743" s="31" t="n"/>
      <c r="P743" s="31" t="n"/>
      <c r="Q743" s="31" t="n"/>
      <c r="R743" s="31" t="n"/>
      <c r="S743" s="32">
        <f>IF($F743="","",IF(IFERROR(VLOOKUP($F743,'维度字典'!$I$2:$J$50,2,0),"求和")="手工录入","",IF(IFERROR(VLOOKUP($F743,'维度字典'!$I$2:$J$50,2,0),"求和")="最新值",IFERROR(LOOKUP(9.99E+307,G743:R743),""),SUM(G743:R743))))</f>
        <v/>
      </c>
      <c r="T743" s="33" t="n"/>
      <c r="U743" s="33" t="n"/>
    </row>
    <row r="744">
      <c r="A744" s="26">
        <f>IF($B744="","",ROW()-3)</f>
        <v/>
      </c>
      <c r="B744" s="27" t="n"/>
      <c r="C744" s="27" t="n"/>
      <c r="D744" s="28" t="n"/>
      <c r="E744" s="29" t="n"/>
      <c r="F744" s="30" t="n"/>
      <c r="G744" s="31" t="n"/>
      <c r="H744" s="31" t="n"/>
      <c r="I744" s="31" t="n"/>
      <c r="J744" s="31" t="n"/>
      <c r="K744" s="31" t="n"/>
      <c r="L744" s="31" t="n"/>
      <c r="M744" s="31" t="n"/>
      <c r="N744" s="31" t="n"/>
      <c r="O744" s="31" t="n"/>
      <c r="P744" s="31" t="n"/>
      <c r="Q744" s="31" t="n"/>
      <c r="R744" s="31" t="n"/>
      <c r="S744" s="32">
        <f>IF($F744="","",IF(IFERROR(VLOOKUP($F744,'维度字典'!$I$2:$J$50,2,0),"求和")="手工录入","",IF(IFERROR(VLOOKUP($F744,'维度字典'!$I$2:$J$50,2,0),"求和")="最新值",IFERROR(LOOKUP(9.99E+307,G744:R744),""),SUM(G744:R744))))</f>
        <v/>
      </c>
      <c r="T744" s="33" t="n"/>
      <c r="U744" s="33" t="n"/>
    </row>
    <row r="745">
      <c r="A745" s="26">
        <f>IF($B745="","",ROW()-3)</f>
        <v/>
      </c>
      <c r="B745" s="27" t="n"/>
      <c r="C745" s="27" t="n"/>
      <c r="D745" s="28" t="n"/>
      <c r="E745" s="29" t="n"/>
      <c r="F745" s="30" t="n"/>
      <c r="G745" s="31" t="n"/>
      <c r="H745" s="31" t="n"/>
      <c r="I745" s="31" t="n"/>
      <c r="J745" s="31" t="n"/>
      <c r="K745" s="31" t="n"/>
      <c r="L745" s="31" t="n"/>
      <c r="M745" s="31" t="n"/>
      <c r="N745" s="31" t="n"/>
      <c r="O745" s="31" t="n"/>
      <c r="P745" s="31" t="n"/>
      <c r="Q745" s="31" t="n"/>
      <c r="R745" s="31" t="n"/>
      <c r="S745" s="32">
        <f>IF($F745="","",IF(IFERROR(VLOOKUP($F745,'维度字典'!$I$2:$J$50,2,0),"求和")="手工录入","",IF(IFERROR(VLOOKUP($F745,'维度字典'!$I$2:$J$50,2,0),"求和")="最新值",IFERROR(LOOKUP(9.99E+307,G745:R745),""),SUM(G745:R745))))</f>
        <v/>
      </c>
      <c r="T745" s="33" t="n"/>
      <c r="U745" s="33" t="n"/>
    </row>
    <row r="746">
      <c r="A746" s="26">
        <f>IF($B746="","",ROW()-3)</f>
        <v/>
      </c>
      <c r="B746" s="27" t="n"/>
      <c r="C746" s="27" t="n"/>
      <c r="D746" s="28" t="n"/>
      <c r="E746" s="29" t="n"/>
      <c r="F746" s="30" t="n"/>
      <c r="G746" s="31" t="n"/>
      <c r="H746" s="31" t="n"/>
      <c r="I746" s="31" t="n"/>
      <c r="J746" s="31" t="n"/>
      <c r="K746" s="31" t="n"/>
      <c r="L746" s="31" t="n"/>
      <c r="M746" s="31" t="n"/>
      <c r="N746" s="31" t="n"/>
      <c r="O746" s="31" t="n"/>
      <c r="P746" s="31" t="n"/>
      <c r="Q746" s="31" t="n"/>
      <c r="R746" s="31" t="n"/>
      <c r="S746" s="32">
        <f>IF($F746="","",IF(IFERROR(VLOOKUP($F746,'维度字典'!$I$2:$J$50,2,0),"求和")="手工录入","",IF(IFERROR(VLOOKUP($F746,'维度字典'!$I$2:$J$50,2,0),"求和")="最新值",IFERROR(LOOKUP(9.99E+307,G746:R746),""),SUM(G746:R746))))</f>
        <v/>
      </c>
      <c r="T746" s="33" t="n"/>
      <c r="U746" s="33" t="n"/>
    </row>
    <row r="747">
      <c r="A747" s="26">
        <f>IF($B747="","",ROW()-3)</f>
        <v/>
      </c>
      <c r="B747" s="27" t="n"/>
      <c r="C747" s="27" t="n"/>
      <c r="D747" s="28" t="n"/>
      <c r="E747" s="29" t="n"/>
      <c r="F747" s="30" t="n"/>
      <c r="G747" s="31" t="n"/>
      <c r="H747" s="31" t="n"/>
      <c r="I747" s="31" t="n"/>
      <c r="J747" s="31" t="n"/>
      <c r="K747" s="31" t="n"/>
      <c r="L747" s="31" t="n"/>
      <c r="M747" s="31" t="n"/>
      <c r="N747" s="31" t="n"/>
      <c r="O747" s="31" t="n"/>
      <c r="P747" s="31" t="n"/>
      <c r="Q747" s="31" t="n"/>
      <c r="R747" s="31" t="n"/>
      <c r="S747" s="32">
        <f>IF($F747="","",IF(IFERROR(VLOOKUP($F747,'维度字典'!$I$2:$J$50,2,0),"求和")="手工录入","",IF(IFERROR(VLOOKUP($F747,'维度字典'!$I$2:$J$50,2,0),"求和")="最新值",IFERROR(LOOKUP(9.99E+307,G747:R747),""),SUM(G747:R747))))</f>
        <v/>
      </c>
      <c r="T747" s="33" t="n"/>
      <c r="U747" s="33" t="n"/>
    </row>
    <row r="748">
      <c r="A748" s="26">
        <f>IF($B748="","",ROW()-3)</f>
        <v/>
      </c>
      <c r="B748" s="27" t="n"/>
      <c r="C748" s="27" t="n"/>
      <c r="D748" s="28" t="n"/>
      <c r="E748" s="29" t="n"/>
      <c r="F748" s="30" t="n"/>
      <c r="G748" s="31" t="n"/>
      <c r="H748" s="31" t="n"/>
      <c r="I748" s="31" t="n"/>
      <c r="J748" s="31" t="n"/>
      <c r="K748" s="31" t="n"/>
      <c r="L748" s="31" t="n"/>
      <c r="M748" s="31" t="n"/>
      <c r="N748" s="31" t="n"/>
      <c r="O748" s="31" t="n"/>
      <c r="P748" s="31" t="n"/>
      <c r="Q748" s="31" t="n"/>
      <c r="R748" s="31" t="n"/>
      <c r="S748" s="32">
        <f>IF($F748="","",IF(IFERROR(VLOOKUP($F748,'维度字典'!$I$2:$J$50,2,0),"求和")="手工录入","",IF(IFERROR(VLOOKUP($F748,'维度字典'!$I$2:$J$50,2,0),"求和")="最新值",IFERROR(LOOKUP(9.99E+307,G748:R748),""),SUM(G748:R748))))</f>
        <v/>
      </c>
      <c r="T748" s="33" t="n"/>
      <c r="U748" s="33" t="n"/>
    </row>
    <row r="749">
      <c r="A749" s="26">
        <f>IF($B749="","",ROW()-3)</f>
        <v/>
      </c>
      <c r="B749" s="27" t="n"/>
      <c r="C749" s="27" t="n"/>
      <c r="D749" s="28" t="n"/>
      <c r="E749" s="29" t="n"/>
      <c r="F749" s="30" t="n"/>
      <c r="G749" s="31" t="n"/>
      <c r="H749" s="31" t="n"/>
      <c r="I749" s="31" t="n"/>
      <c r="J749" s="31" t="n"/>
      <c r="K749" s="31" t="n"/>
      <c r="L749" s="31" t="n"/>
      <c r="M749" s="31" t="n"/>
      <c r="N749" s="31" t="n"/>
      <c r="O749" s="31" t="n"/>
      <c r="P749" s="31" t="n"/>
      <c r="Q749" s="31" t="n"/>
      <c r="R749" s="31" t="n"/>
      <c r="S749" s="32">
        <f>IF($F749="","",IF(IFERROR(VLOOKUP($F749,'维度字典'!$I$2:$J$50,2,0),"求和")="手工录入","",IF(IFERROR(VLOOKUP($F749,'维度字典'!$I$2:$J$50,2,0),"求和")="最新值",IFERROR(LOOKUP(9.99E+307,G749:R749),""),SUM(G749:R749))))</f>
        <v/>
      </c>
      <c r="T749" s="33" t="n"/>
      <c r="U749" s="33" t="n"/>
    </row>
    <row r="750">
      <c r="A750" s="26">
        <f>IF($B750="","",ROW()-3)</f>
        <v/>
      </c>
      <c r="B750" s="27" t="n"/>
      <c r="C750" s="27" t="n"/>
      <c r="D750" s="28" t="n"/>
      <c r="E750" s="29" t="n"/>
      <c r="F750" s="30" t="n"/>
      <c r="G750" s="31" t="n"/>
      <c r="H750" s="31" t="n"/>
      <c r="I750" s="31" t="n"/>
      <c r="J750" s="31" t="n"/>
      <c r="K750" s="31" t="n"/>
      <c r="L750" s="31" t="n"/>
      <c r="M750" s="31" t="n"/>
      <c r="N750" s="31" t="n"/>
      <c r="O750" s="31" t="n"/>
      <c r="P750" s="31" t="n"/>
      <c r="Q750" s="31" t="n"/>
      <c r="R750" s="31" t="n"/>
      <c r="S750" s="32">
        <f>IF($F750="","",IF(IFERROR(VLOOKUP($F750,'维度字典'!$I$2:$J$50,2,0),"求和")="手工录入","",IF(IFERROR(VLOOKUP($F750,'维度字典'!$I$2:$J$50,2,0),"求和")="最新值",IFERROR(LOOKUP(9.99E+307,G750:R750),""),SUM(G750:R750))))</f>
        <v/>
      </c>
      <c r="T750" s="33" t="n"/>
      <c r="U750" s="33" t="n"/>
    </row>
    <row r="751">
      <c r="A751" s="26">
        <f>IF($B751="","",ROW()-3)</f>
        <v/>
      </c>
      <c r="B751" s="27" t="n"/>
      <c r="C751" s="27" t="n"/>
      <c r="D751" s="28" t="n"/>
      <c r="E751" s="29" t="n"/>
      <c r="F751" s="30" t="n"/>
      <c r="G751" s="31" t="n"/>
      <c r="H751" s="31" t="n"/>
      <c r="I751" s="31" t="n"/>
      <c r="J751" s="31" t="n"/>
      <c r="K751" s="31" t="n"/>
      <c r="L751" s="31" t="n"/>
      <c r="M751" s="31" t="n"/>
      <c r="N751" s="31" t="n"/>
      <c r="O751" s="31" t="n"/>
      <c r="P751" s="31" t="n"/>
      <c r="Q751" s="31" t="n"/>
      <c r="R751" s="31" t="n"/>
      <c r="S751" s="32">
        <f>IF($F751="","",IF(IFERROR(VLOOKUP($F751,'维度字典'!$I$2:$J$50,2,0),"求和")="手工录入","",IF(IFERROR(VLOOKUP($F751,'维度字典'!$I$2:$J$50,2,0),"求和")="最新值",IFERROR(LOOKUP(9.99E+307,G751:R751),""),SUM(G751:R751))))</f>
        <v/>
      </c>
      <c r="T751" s="33" t="n"/>
      <c r="U751" s="33" t="n"/>
    </row>
    <row r="752">
      <c r="A752" s="26">
        <f>IF($B752="","",ROW()-3)</f>
        <v/>
      </c>
      <c r="B752" s="27" t="n"/>
      <c r="C752" s="27" t="n"/>
      <c r="D752" s="28" t="n"/>
      <c r="E752" s="29" t="n"/>
      <c r="F752" s="30" t="n"/>
      <c r="G752" s="31" t="n"/>
      <c r="H752" s="31" t="n"/>
      <c r="I752" s="31" t="n"/>
      <c r="J752" s="31" t="n"/>
      <c r="K752" s="31" t="n"/>
      <c r="L752" s="31" t="n"/>
      <c r="M752" s="31" t="n"/>
      <c r="N752" s="31" t="n"/>
      <c r="O752" s="31" t="n"/>
      <c r="P752" s="31" t="n"/>
      <c r="Q752" s="31" t="n"/>
      <c r="R752" s="31" t="n"/>
      <c r="S752" s="32">
        <f>IF($F752="","",IF(IFERROR(VLOOKUP($F752,'维度字典'!$I$2:$J$50,2,0),"求和")="手工录入","",IF(IFERROR(VLOOKUP($F752,'维度字典'!$I$2:$J$50,2,0),"求和")="最新值",IFERROR(LOOKUP(9.99E+307,G752:R752),""),SUM(G752:R752))))</f>
        <v/>
      </c>
      <c r="T752" s="33" t="n"/>
      <c r="U752" s="33" t="n"/>
    </row>
    <row r="753">
      <c r="A753" s="26">
        <f>IF($B753="","",ROW()-3)</f>
        <v/>
      </c>
      <c r="B753" s="27" t="n"/>
      <c r="C753" s="27" t="n"/>
      <c r="D753" s="28" t="n"/>
      <c r="E753" s="29" t="n"/>
      <c r="F753" s="30" t="n"/>
      <c r="G753" s="31" t="n"/>
      <c r="H753" s="31" t="n"/>
      <c r="I753" s="31" t="n"/>
      <c r="J753" s="31" t="n"/>
      <c r="K753" s="31" t="n"/>
      <c r="L753" s="31" t="n"/>
      <c r="M753" s="31" t="n"/>
      <c r="N753" s="31" t="n"/>
      <c r="O753" s="31" t="n"/>
      <c r="P753" s="31" t="n"/>
      <c r="Q753" s="31" t="n"/>
      <c r="R753" s="31" t="n"/>
      <c r="S753" s="32">
        <f>IF($F753="","",IF(IFERROR(VLOOKUP($F753,'维度字典'!$I$2:$J$50,2,0),"求和")="手工录入","",IF(IFERROR(VLOOKUP($F753,'维度字典'!$I$2:$J$50,2,0),"求和")="最新值",IFERROR(LOOKUP(9.99E+307,G753:R753),""),SUM(G753:R753))))</f>
        <v/>
      </c>
      <c r="T753" s="33" t="n"/>
      <c r="U753" s="33" t="n"/>
    </row>
    <row r="754">
      <c r="A754" s="26">
        <f>IF($B754="","",ROW()-3)</f>
        <v/>
      </c>
      <c r="B754" s="27" t="n"/>
      <c r="C754" s="27" t="n"/>
      <c r="D754" s="28" t="n"/>
      <c r="E754" s="29" t="n"/>
      <c r="F754" s="30" t="n"/>
      <c r="G754" s="31" t="n"/>
      <c r="H754" s="31" t="n"/>
      <c r="I754" s="31" t="n"/>
      <c r="J754" s="31" t="n"/>
      <c r="K754" s="31" t="n"/>
      <c r="L754" s="31" t="n"/>
      <c r="M754" s="31" t="n"/>
      <c r="N754" s="31" t="n"/>
      <c r="O754" s="31" t="n"/>
      <c r="P754" s="31" t="n"/>
      <c r="Q754" s="31" t="n"/>
      <c r="R754" s="31" t="n"/>
      <c r="S754" s="32">
        <f>IF($F754="","",IF(IFERROR(VLOOKUP($F754,'维度字典'!$I$2:$J$50,2,0),"求和")="手工录入","",IF(IFERROR(VLOOKUP($F754,'维度字典'!$I$2:$J$50,2,0),"求和")="最新值",IFERROR(LOOKUP(9.99E+307,G754:R754),""),SUM(G754:R754))))</f>
        <v/>
      </c>
      <c r="T754" s="33" t="n"/>
      <c r="U754" s="33" t="n"/>
    </row>
    <row r="755">
      <c r="A755" s="26">
        <f>IF($B755="","",ROW()-3)</f>
        <v/>
      </c>
      <c r="B755" s="27" t="n"/>
      <c r="C755" s="27" t="n"/>
      <c r="D755" s="28" t="n"/>
      <c r="E755" s="29" t="n"/>
      <c r="F755" s="30" t="n"/>
      <c r="G755" s="31" t="n"/>
      <c r="H755" s="31" t="n"/>
      <c r="I755" s="31" t="n"/>
      <c r="J755" s="31" t="n"/>
      <c r="K755" s="31" t="n"/>
      <c r="L755" s="31" t="n"/>
      <c r="M755" s="31" t="n"/>
      <c r="N755" s="31" t="n"/>
      <c r="O755" s="31" t="n"/>
      <c r="P755" s="31" t="n"/>
      <c r="Q755" s="31" t="n"/>
      <c r="R755" s="31" t="n"/>
      <c r="S755" s="32">
        <f>IF($F755="","",IF(IFERROR(VLOOKUP($F755,'维度字典'!$I$2:$J$50,2,0),"求和")="手工录入","",IF(IFERROR(VLOOKUP($F755,'维度字典'!$I$2:$J$50,2,0),"求和")="最新值",IFERROR(LOOKUP(9.99E+307,G755:R755),""),SUM(G755:R755))))</f>
        <v/>
      </c>
      <c r="T755" s="33" t="n"/>
      <c r="U755" s="33" t="n"/>
    </row>
    <row r="756">
      <c r="A756" s="26">
        <f>IF($B756="","",ROW()-3)</f>
        <v/>
      </c>
      <c r="B756" s="27" t="n"/>
      <c r="C756" s="27" t="n"/>
      <c r="D756" s="28" t="n"/>
      <c r="E756" s="29" t="n"/>
      <c r="F756" s="30" t="n"/>
      <c r="G756" s="31" t="n"/>
      <c r="H756" s="31" t="n"/>
      <c r="I756" s="31" t="n"/>
      <c r="J756" s="31" t="n"/>
      <c r="K756" s="31" t="n"/>
      <c r="L756" s="31" t="n"/>
      <c r="M756" s="31" t="n"/>
      <c r="N756" s="31" t="n"/>
      <c r="O756" s="31" t="n"/>
      <c r="P756" s="31" t="n"/>
      <c r="Q756" s="31" t="n"/>
      <c r="R756" s="31" t="n"/>
      <c r="S756" s="32">
        <f>IF($F756="","",IF(IFERROR(VLOOKUP($F756,'维度字典'!$I$2:$J$50,2,0),"求和")="手工录入","",IF(IFERROR(VLOOKUP($F756,'维度字典'!$I$2:$J$50,2,0),"求和")="最新值",IFERROR(LOOKUP(9.99E+307,G756:R756),""),SUM(G756:R756))))</f>
        <v/>
      </c>
      <c r="T756" s="33" t="n"/>
      <c r="U756" s="33" t="n"/>
    </row>
    <row r="757">
      <c r="A757" s="26">
        <f>IF($B757="","",ROW()-3)</f>
        <v/>
      </c>
      <c r="B757" s="27" t="n"/>
      <c r="C757" s="27" t="n"/>
      <c r="D757" s="28" t="n"/>
      <c r="E757" s="29" t="n"/>
      <c r="F757" s="30" t="n"/>
      <c r="G757" s="31" t="n"/>
      <c r="H757" s="31" t="n"/>
      <c r="I757" s="31" t="n"/>
      <c r="J757" s="31" t="n"/>
      <c r="K757" s="31" t="n"/>
      <c r="L757" s="31" t="n"/>
      <c r="M757" s="31" t="n"/>
      <c r="N757" s="31" t="n"/>
      <c r="O757" s="31" t="n"/>
      <c r="P757" s="31" t="n"/>
      <c r="Q757" s="31" t="n"/>
      <c r="R757" s="31" t="n"/>
      <c r="S757" s="32">
        <f>IF($F757="","",IF(IFERROR(VLOOKUP($F757,'维度字典'!$I$2:$J$50,2,0),"求和")="手工录入","",IF(IFERROR(VLOOKUP($F757,'维度字典'!$I$2:$J$50,2,0),"求和")="最新值",IFERROR(LOOKUP(9.99E+307,G757:R757),""),SUM(G757:R757))))</f>
        <v/>
      </c>
      <c r="T757" s="33" t="n"/>
      <c r="U757" s="33" t="n"/>
    </row>
    <row r="758">
      <c r="A758" s="26">
        <f>IF($B758="","",ROW()-3)</f>
        <v/>
      </c>
      <c r="B758" s="27" t="n"/>
      <c r="C758" s="27" t="n"/>
      <c r="D758" s="28" t="n"/>
      <c r="E758" s="29" t="n"/>
      <c r="F758" s="30" t="n"/>
      <c r="G758" s="31" t="n"/>
      <c r="H758" s="31" t="n"/>
      <c r="I758" s="31" t="n"/>
      <c r="J758" s="31" t="n"/>
      <c r="K758" s="31" t="n"/>
      <c r="L758" s="31" t="n"/>
      <c r="M758" s="31" t="n"/>
      <c r="N758" s="31" t="n"/>
      <c r="O758" s="31" t="n"/>
      <c r="P758" s="31" t="n"/>
      <c r="Q758" s="31" t="n"/>
      <c r="R758" s="31" t="n"/>
      <c r="S758" s="32">
        <f>IF($F758="","",IF(IFERROR(VLOOKUP($F758,'维度字典'!$I$2:$J$50,2,0),"求和")="手工录入","",IF(IFERROR(VLOOKUP($F758,'维度字典'!$I$2:$J$50,2,0),"求和")="最新值",IFERROR(LOOKUP(9.99E+307,G758:R758),""),SUM(G758:R758))))</f>
        <v/>
      </c>
      <c r="T758" s="33" t="n"/>
      <c r="U758" s="33" t="n"/>
    </row>
    <row r="759">
      <c r="A759" s="26">
        <f>IF($B759="","",ROW()-3)</f>
        <v/>
      </c>
      <c r="B759" s="27" t="n"/>
      <c r="C759" s="27" t="n"/>
      <c r="D759" s="28" t="n"/>
      <c r="E759" s="29" t="n"/>
      <c r="F759" s="30" t="n"/>
      <c r="G759" s="31" t="n"/>
      <c r="H759" s="31" t="n"/>
      <c r="I759" s="31" t="n"/>
      <c r="J759" s="31" t="n"/>
      <c r="K759" s="31" t="n"/>
      <c r="L759" s="31" t="n"/>
      <c r="M759" s="31" t="n"/>
      <c r="N759" s="31" t="n"/>
      <c r="O759" s="31" t="n"/>
      <c r="P759" s="31" t="n"/>
      <c r="Q759" s="31" t="n"/>
      <c r="R759" s="31" t="n"/>
      <c r="S759" s="32">
        <f>IF($F759="","",IF(IFERROR(VLOOKUP($F759,'维度字典'!$I$2:$J$50,2,0),"求和")="手工录入","",IF(IFERROR(VLOOKUP($F759,'维度字典'!$I$2:$J$50,2,0),"求和")="最新值",IFERROR(LOOKUP(9.99E+307,G759:R759),""),SUM(G759:R759))))</f>
        <v/>
      </c>
      <c r="T759" s="33" t="n"/>
      <c r="U759" s="33" t="n"/>
    </row>
    <row r="760">
      <c r="A760" s="26">
        <f>IF($B760="","",ROW()-3)</f>
        <v/>
      </c>
      <c r="B760" s="27" t="n"/>
      <c r="C760" s="27" t="n"/>
      <c r="D760" s="28" t="n"/>
      <c r="E760" s="29" t="n"/>
      <c r="F760" s="30" t="n"/>
      <c r="G760" s="31" t="n"/>
      <c r="H760" s="31" t="n"/>
      <c r="I760" s="31" t="n"/>
      <c r="J760" s="31" t="n"/>
      <c r="K760" s="31" t="n"/>
      <c r="L760" s="31" t="n"/>
      <c r="M760" s="31" t="n"/>
      <c r="N760" s="31" t="n"/>
      <c r="O760" s="31" t="n"/>
      <c r="P760" s="31" t="n"/>
      <c r="Q760" s="31" t="n"/>
      <c r="R760" s="31" t="n"/>
      <c r="S760" s="32">
        <f>IF($F760="","",IF(IFERROR(VLOOKUP($F760,'维度字典'!$I$2:$J$50,2,0),"求和")="手工录入","",IF(IFERROR(VLOOKUP($F760,'维度字典'!$I$2:$J$50,2,0),"求和")="最新值",IFERROR(LOOKUP(9.99E+307,G760:R760),""),SUM(G760:R760))))</f>
        <v/>
      </c>
      <c r="T760" s="33" t="n"/>
      <c r="U760" s="33" t="n"/>
    </row>
    <row r="761">
      <c r="A761" s="26">
        <f>IF($B761="","",ROW()-3)</f>
        <v/>
      </c>
      <c r="B761" s="27" t="n"/>
      <c r="C761" s="27" t="n"/>
      <c r="D761" s="28" t="n"/>
      <c r="E761" s="29" t="n"/>
      <c r="F761" s="30" t="n"/>
      <c r="G761" s="31" t="n"/>
      <c r="H761" s="31" t="n"/>
      <c r="I761" s="31" t="n"/>
      <c r="J761" s="31" t="n"/>
      <c r="K761" s="31" t="n"/>
      <c r="L761" s="31" t="n"/>
      <c r="M761" s="31" t="n"/>
      <c r="N761" s="31" t="n"/>
      <c r="O761" s="31" t="n"/>
      <c r="P761" s="31" t="n"/>
      <c r="Q761" s="31" t="n"/>
      <c r="R761" s="31" t="n"/>
      <c r="S761" s="32">
        <f>IF($F761="","",IF(IFERROR(VLOOKUP($F761,'维度字典'!$I$2:$J$50,2,0),"求和")="手工录入","",IF(IFERROR(VLOOKUP($F761,'维度字典'!$I$2:$J$50,2,0),"求和")="最新值",IFERROR(LOOKUP(9.99E+307,G761:R761),""),SUM(G761:R761))))</f>
        <v/>
      </c>
      <c r="T761" s="33" t="n"/>
      <c r="U761" s="33" t="n"/>
    </row>
    <row r="762">
      <c r="A762" s="26">
        <f>IF($B762="","",ROW()-3)</f>
        <v/>
      </c>
      <c r="B762" s="27" t="n"/>
      <c r="C762" s="27" t="n"/>
      <c r="D762" s="28" t="n"/>
      <c r="E762" s="29" t="n"/>
      <c r="F762" s="30" t="n"/>
      <c r="G762" s="31" t="n"/>
      <c r="H762" s="31" t="n"/>
      <c r="I762" s="31" t="n"/>
      <c r="J762" s="31" t="n"/>
      <c r="K762" s="31" t="n"/>
      <c r="L762" s="31" t="n"/>
      <c r="M762" s="31" t="n"/>
      <c r="N762" s="31" t="n"/>
      <c r="O762" s="31" t="n"/>
      <c r="P762" s="31" t="n"/>
      <c r="Q762" s="31" t="n"/>
      <c r="R762" s="31" t="n"/>
      <c r="S762" s="32">
        <f>IF($F762="","",IF(IFERROR(VLOOKUP($F762,'维度字典'!$I$2:$J$50,2,0),"求和")="手工录入","",IF(IFERROR(VLOOKUP($F762,'维度字典'!$I$2:$J$50,2,0),"求和")="最新值",IFERROR(LOOKUP(9.99E+307,G762:R762),""),SUM(G762:R762))))</f>
        <v/>
      </c>
      <c r="T762" s="33" t="n"/>
      <c r="U762" s="33" t="n"/>
    </row>
    <row r="763">
      <c r="A763" s="26">
        <f>IF($B763="","",ROW()-3)</f>
        <v/>
      </c>
      <c r="B763" s="27" t="n"/>
      <c r="C763" s="27" t="n"/>
      <c r="D763" s="28" t="n"/>
      <c r="E763" s="29" t="n"/>
      <c r="F763" s="30" t="n"/>
      <c r="G763" s="31" t="n"/>
      <c r="H763" s="31" t="n"/>
      <c r="I763" s="31" t="n"/>
      <c r="J763" s="31" t="n"/>
      <c r="K763" s="31" t="n"/>
      <c r="L763" s="31" t="n"/>
      <c r="M763" s="31" t="n"/>
      <c r="N763" s="31" t="n"/>
      <c r="O763" s="31" t="n"/>
      <c r="P763" s="31" t="n"/>
      <c r="Q763" s="31" t="n"/>
      <c r="R763" s="31" t="n"/>
      <c r="S763" s="32">
        <f>IF($F763="","",IF(IFERROR(VLOOKUP($F763,'维度字典'!$I$2:$J$50,2,0),"求和")="手工录入","",IF(IFERROR(VLOOKUP($F763,'维度字典'!$I$2:$J$50,2,0),"求和")="最新值",IFERROR(LOOKUP(9.99E+307,G763:R763),""),SUM(G763:R763))))</f>
        <v/>
      </c>
      <c r="T763" s="33" t="n"/>
      <c r="U763" s="33" t="n"/>
    </row>
    <row r="764">
      <c r="A764" s="26">
        <f>IF($B764="","",ROW()-3)</f>
        <v/>
      </c>
      <c r="B764" s="27" t="n"/>
      <c r="C764" s="27" t="n"/>
      <c r="D764" s="28" t="n"/>
      <c r="E764" s="29" t="n"/>
      <c r="F764" s="30" t="n"/>
      <c r="G764" s="31" t="n"/>
      <c r="H764" s="31" t="n"/>
      <c r="I764" s="31" t="n"/>
      <c r="J764" s="31" t="n"/>
      <c r="K764" s="31" t="n"/>
      <c r="L764" s="31" t="n"/>
      <c r="M764" s="31" t="n"/>
      <c r="N764" s="31" t="n"/>
      <c r="O764" s="31" t="n"/>
      <c r="P764" s="31" t="n"/>
      <c r="Q764" s="31" t="n"/>
      <c r="R764" s="31" t="n"/>
      <c r="S764" s="32">
        <f>IF($F764="","",IF(IFERROR(VLOOKUP($F764,'维度字典'!$I$2:$J$50,2,0),"求和")="手工录入","",IF(IFERROR(VLOOKUP($F764,'维度字典'!$I$2:$J$50,2,0),"求和")="最新值",IFERROR(LOOKUP(9.99E+307,G764:R764),""),SUM(G764:R764))))</f>
        <v/>
      </c>
      <c r="T764" s="33" t="n"/>
      <c r="U764" s="33" t="n"/>
    </row>
    <row r="765">
      <c r="A765" s="26">
        <f>IF($B765="","",ROW()-3)</f>
        <v/>
      </c>
      <c r="B765" s="27" t="n"/>
      <c r="C765" s="27" t="n"/>
      <c r="D765" s="28" t="n"/>
      <c r="E765" s="29" t="n"/>
      <c r="F765" s="30" t="n"/>
      <c r="G765" s="31" t="n"/>
      <c r="H765" s="31" t="n"/>
      <c r="I765" s="31" t="n"/>
      <c r="J765" s="31" t="n"/>
      <c r="K765" s="31" t="n"/>
      <c r="L765" s="31" t="n"/>
      <c r="M765" s="31" t="n"/>
      <c r="N765" s="31" t="n"/>
      <c r="O765" s="31" t="n"/>
      <c r="P765" s="31" t="n"/>
      <c r="Q765" s="31" t="n"/>
      <c r="R765" s="31" t="n"/>
      <c r="S765" s="32">
        <f>IF($F765="","",IF(IFERROR(VLOOKUP($F765,'维度字典'!$I$2:$J$50,2,0),"求和")="手工录入","",IF(IFERROR(VLOOKUP($F765,'维度字典'!$I$2:$J$50,2,0),"求和")="最新值",IFERROR(LOOKUP(9.99E+307,G765:R765),""),SUM(G765:R765))))</f>
        <v/>
      </c>
      <c r="T765" s="33" t="n"/>
      <c r="U765" s="33" t="n"/>
    </row>
    <row r="766">
      <c r="A766" s="26">
        <f>IF($B766="","",ROW()-3)</f>
        <v/>
      </c>
      <c r="B766" s="27" t="n"/>
      <c r="C766" s="27" t="n"/>
      <c r="D766" s="28" t="n"/>
      <c r="E766" s="29" t="n"/>
      <c r="F766" s="30" t="n"/>
      <c r="G766" s="31" t="n"/>
      <c r="H766" s="31" t="n"/>
      <c r="I766" s="31" t="n"/>
      <c r="J766" s="31" t="n"/>
      <c r="K766" s="31" t="n"/>
      <c r="L766" s="31" t="n"/>
      <c r="M766" s="31" t="n"/>
      <c r="N766" s="31" t="n"/>
      <c r="O766" s="31" t="n"/>
      <c r="P766" s="31" t="n"/>
      <c r="Q766" s="31" t="n"/>
      <c r="R766" s="31" t="n"/>
      <c r="S766" s="32">
        <f>IF($F766="","",IF(IFERROR(VLOOKUP($F766,'维度字典'!$I$2:$J$50,2,0),"求和")="手工录入","",IF(IFERROR(VLOOKUP($F766,'维度字典'!$I$2:$J$50,2,0),"求和")="最新值",IFERROR(LOOKUP(9.99E+307,G766:R766),""),SUM(G766:R766))))</f>
        <v/>
      </c>
      <c r="T766" s="33" t="n"/>
      <c r="U766" s="33" t="n"/>
    </row>
    <row r="767">
      <c r="A767" s="26">
        <f>IF($B767="","",ROW()-3)</f>
        <v/>
      </c>
      <c r="B767" s="27" t="n"/>
      <c r="C767" s="27" t="n"/>
      <c r="D767" s="28" t="n"/>
      <c r="E767" s="29" t="n"/>
      <c r="F767" s="30" t="n"/>
      <c r="G767" s="31" t="n"/>
      <c r="H767" s="31" t="n"/>
      <c r="I767" s="31" t="n"/>
      <c r="J767" s="31" t="n"/>
      <c r="K767" s="31" t="n"/>
      <c r="L767" s="31" t="n"/>
      <c r="M767" s="31" t="n"/>
      <c r="N767" s="31" t="n"/>
      <c r="O767" s="31" t="n"/>
      <c r="P767" s="31" t="n"/>
      <c r="Q767" s="31" t="n"/>
      <c r="R767" s="31" t="n"/>
      <c r="S767" s="32">
        <f>IF($F767="","",IF(IFERROR(VLOOKUP($F767,'维度字典'!$I$2:$J$50,2,0),"求和")="手工录入","",IF(IFERROR(VLOOKUP($F767,'维度字典'!$I$2:$J$50,2,0),"求和")="最新值",IFERROR(LOOKUP(9.99E+307,G767:R767),""),SUM(G767:R767))))</f>
        <v/>
      </c>
      <c r="T767" s="33" t="n"/>
      <c r="U767" s="33" t="n"/>
    </row>
    <row r="768">
      <c r="A768" s="26">
        <f>IF($B768="","",ROW()-3)</f>
        <v/>
      </c>
      <c r="B768" s="27" t="n"/>
      <c r="C768" s="27" t="n"/>
      <c r="D768" s="28" t="n"/>
      <c r="E768" s="29" t="n"/>
      <c r="F768" s="30" t="n"/>
      <c r="G768" s="31" t="n"/>
      <c r="H768" s="31" t="n"/>
      <c r="I768" s="31" t="n"/>
      <c r="J768" s="31" t="n"/>
      <c r="K768" s="31" t="n"/>
      <c r="L768" s="31" t="n"/>
      <c r="M768" s="31" t="n"/>
      <c r="N768" s="31" t="n"/>
      <c r="O768" s="31" t="n"/>
      <c r="P768" s="31" t="n"/>
      <c r="Q768" s="31" t="n"/>
      <c r="R768" s="31" t="n"/>
      <c r="S768" s="32">
        <f>IF($F768="","",IF(IFERROR(VLOOKUP($F768,'维度字典'!$I$2:$J$50,2,0),"求和")="手工录入","",IF(IFERROR(VLOOKUP($F768,'维度字典'!$I$2:$J$50,2,0),"求和")="最新值",IFERROR(LOOKUP(9.99E+307,G768:R768),""),SUM(G768:R768))))</f>
        <v/>
      </c>
      <c r="T768" s="33" t="n"/>
      <c r="U768" s="33" t="n"/>
    </row>
    <row r="769">
      <c r="A769" s="26">
        <f>IF($B769="","",ROW()-3)</f>
        <v/>
      </c>
      <c r="B769" s="27" t="n"/>
      <c r="C769" s="27" t="n"/>
      <c r="D769" s="28" t="n"/>
      <c r="E769" s="29" t="n"/>
      <c r="F769" s="30" t="n"/>
      <c r="G769" s="31" t="n"/>
      <c r="H769" s="31" t="n"/>
      <c r="I769" s="31" t="n"/>
      <c r="J769" s="31" t="n"/>
      <c r="K769" s="31" t="n"/>
      <c r="L769" s="31" t="n"/>
      <c r="M769" s="31" t="n"/>
      <c r="N769" s="31" t="n"/>
      <c r="O769" s="31" t="n"/>
      <c r="P769" s="31" t="n"/>
      <c r="Q769" s="31" t="n"/>
      <c r="R769" s="31" t="n"/>
      <c r="S769" s="32">
        <f>IF($F769="","",IF(IFERROR(VLOOKUP($F769,'维度字典'!$I$2:$J$50,2,0),"求和")="手工录入","",IF(IFERROR(VLOOKUP($F769,'维度字典'!$I$2:$J$50,2,0),"求和")="最新值",IFERROR(LOOKUP(9.99E+307,G769:R769),""),SUM(G769:R769))))</f>
        <v/>
      </c>
      <c r="T769" s="33" t="n"/>
      <c r="U769" s="33" t="n"/>
    </row>
    <row r="770">
      <c r="A770" s="26">
        <f>IF($B770="","",ROW()-3)</f>
        <v/>
      </c>
      <c r="B770" s="27" t="n"/>
      <c r="C770" s="27" t="n"/>
      <c r="D770" s="28" t="n"/>
      <c r="E770" s="29" t="n"/>
      <c r="F770" s="30" t="n"/>
      <c r="G770" s="31" t="n"/>
      <c r="H770" s="31" t="n"/>
      <c r="I770" s="31" t="n"/>
      <c r="J770" s="31" t="n"/>
      <c r="K770" s="31" t="n"/>
      <c r="L770" s="31" t="n"/>
      <c r="M770" s="31" t="n"/>
      <c r="N770" s="31" t="n"/>
      <c r="O770" s="31" t="n"/>
      <c r="P770" s="31" t="n"/>
      <c r="Q770" s="31" t="n"/>
      <c r="R770" s="31" t="n"/>
      <c r="S770" s="32">
        <f>IF($F770="","",IF(IFERROR(VLOOKUP($F770,'维度字典'!$I$2:$J$50,2,0),"求和")="手工录入","",IF(IFERROR(VLOOKUP($F770,'维度字典'!$I$2:$J$50,2,0),"求和")="最新值",IFERROR(LOOKUP(9.99E+307,G770:R770),""),SUM(G770:R770))))</f>
        <v/>
      </c>
      <c r="T770" s="33" t="n"/>
      <c r="U770" s="33" t="n"/>
    </row>
    <row r="771">
      <c r="A771" s="26">
        <f>IF($B771="","",ROW()-3)</f>
        <v/>
      </c>
      <c r="B771" s="27" t="n"/>
      <c r="C771" s="27" t="n"/>
      <c r="D771" s="28" t="n"/>
      <c r="E771" s="29" t="n"/>
      <c r="F771" s="30" t="n"/>
      <c r="G771" s="31" t="n"/>
      <c r="H771" s="31" t="n"/>
      <c r="I771" s="31" t="n"/>
      <c r="J771" s="31" t="n"/>
      <c r="K771" s="31" t="n"/>
      <c r="L771" s="31" t="n"/>
      <c r="M771" s="31" t="n"/>
      <c r="N771" s="31" t="n"/>
      <c r="O771" s="31" t="n"/>
      <c r="P771" s="31" t="n"/>
      <c r="Q771" s="31" t="n"/>
      <c r="R771" s="31" t="n"/>
      <c r="S771" s="32">
        <f>IF($F771="","",IF(IFERROR(VLOOKUP($F771,'维度字典'!$I$2:$J$50,2,0),"求和")="手工录入","",IF(IFERROR(VLOOKUP($F771,'维度字典'!$I$2:$J$50,2,0),"求和")="最新值",IFERROR(LOOKUP(9.99E+307,G771:R771),""),SUM(G771:R771))))</f>
        <v/>
      </c>
      <c r="T771" s="33" t="n"/>
      <c r="U771" s="33" t="n"/>
    </row>
    <row r="772">
      <c r="A772" s="26">
        <f>IF($B772="","",ROW()-3)</f>
        <v/>
      </c>
      <c r="B772" s="27" t="n"/>
      <c r="C772" s="27" t="n"/>
      <c r="D772" s="28" t="n"/>
      <c r="E772" s="29" t="n"/>
      <c r="F772" s="30" t="n"/>
      <c r="G772" s="31" t="n"/>
      <c r="H772" s="31" t="n"/>
      <c r="I772" s="31" t="n"/>
      <c r="J772" s="31" t="n"/>
      <c r="K772" s="31" t="n"/>
      <c r="L772" s="31" t="n"/>
      <c r="M772" s="31" t="n"/>
      <c r="N772" s="31" t="n"/>
      <c r="O772" s="31" t="n"/>
      <c r="P772" s="31" t="n"/>
      <c r="Q772" s="31" t="n"/>
      <c r="R772" s="31" t="n"/>
      <c r="S772" s="32">
        <f>IF($F772="","",IF(IFERROR(VLOOKUP($F772,'维度字典'!$I$2:$J$50,2,0),"求和")="手工录入","",IF(IFERROR(VLOOKUP($F772,'维度字典'!$I$2:$J$50,2,0),"求和")="最新值",IFERROR(LOOKUP(9.99E+307,G772:R772),""),SUM(G772:R772))))</f>
        <v/>
      </c>
      <c r="T772" s="33" t="n"/>
      <c r="U772" s="33" t="n"/>
    </row>
    <row r="773">
      <c r="A773" s="26">
        <f>IF($B773="","",ROW()-3)</f>
        <v/>
      </c>
      <c r="B773" s="27" t="n"/>
      <c r="C773" s="27" t="n"/>
      <c r="D773" s="28" t="n"/>
      <c r="E773" s="29" t="n"/>
      <c r="F773" s="30" t="n"/>
      <c r="G773" s="31" t="n"/>
      <c r="H773" s="31" t="n"/>
      <c r="I773" s="31" t="n"/>
      <c r="J773" s="31" t="n"/>
      <c r="K773" s="31" t="n"/>
      <c r="L773" s="31" t="n"/>
      <c r="M773" s="31" t="n"/>
      <c r="N773" s="31" t="n"/>
      <c r="O773" s="31" t="n"/>
      <c r="P773" s="31" t="n"/>
      <c r="Q773" s="31" t="n"/>
      <c r="R773" s="31" t="n"/>
      <c r="S773" s="32">
        <f>IF($F773="","",IF(IFERROR(VLOOKUP($F773,'维度字典'!$I$2:$J$50,2,0),"求和")="手工录入","",IF(IFERROR(VLOOKUP($F773,'维度字典'!$I$2:$J$50,2,0),"求和")="最新值",IFERROR(LOOKUP(9.99E+307,G773:R773),""),SUM(G773:R773))))</f>
        <v/>
      </c>
      <c r="T773" s="33" t="n"/>
      <c r="U773" s="33" t="n"/>
    </row>
    <row r="774">
      <c r="A774" s="26">
        <f>IF($B774="","",ROW()-3)</f>
        <v/>
      </c>
      <c r="B774" s="27" t="n"/>
      <c r="C774" s="27" t="n"/>
      <c r="D774" s="28" t="n"/>
      <c r="E774" s="29" t="n"/>
      <c r="F774" s="30" t="n"/>
      <c r="G774" s="31" t="n"/>
      <c r="H774" s="31" t="n"/>
      <c r="I774" s="31" t="n"/>
      <c r="J774" s="31" t="n"/>
      <c r="K774" s="31" t="n"/>
      <c r="L774" s="31" t="n"/>
      <c r="M774" s="31" t="n"/>
      <c r="N774" s="31" t="n"/>
      <c r="O774" s="31" t="n"/>
      <c r="P774" s="31" t="n"/>
      <c r="Q774" s="31" t="n"/>
      <c r="R774" s="31" t="n"/>
      <c r="S774" s="32">
        <f>IF($F774="","",IF(IFERROR(VLOOKUP($F774,'维度字典'!$I$2:$J$50,2,0),"求和")="手工录入","",IF(IFERROR(VLOOKUP($F774,'维度字典'!$I$2:$J$50,2,0),"求和")="最新值",IFERROR(LOOKUP(9.99E+307,G774:R774),""),SUM(G774:R774))))</f>
        <v/>
      </c>
      <c r="T774" s="33" t="n"/>
      <c r="U774" s="33" t="n"/>
    </row>
    <row r="775">
      <c r="A775" s="26">
        <f>IF($B775="","",ROW()-3)</f>
        <v/>
      </c>
      <c r="B775" s="27" t="n"/>
      <c r="C775" s="27" t="n"/>
      <c r="D775" s="28" t="n"/>
      <c r="E775" s="29" t="n"/>
      <c r="F775" s="30" t="n"/>
      <c r="G775" s="31" t="n"/>
      <c r="H775" s="31" t="n"/>
      <c r="I775" s="31" t="n"/>
      <c r="J775" s="31" t="n"/>
      <c r="K775" s="31" t="n"/>
      <c r="L775" s="31" t="n"/>
      <c r="M775" s="31" t="n"/>
      <c r="N775" s="31" t="n"/>
      <c r="O775" s="31" t="n"/>
      <c r="P775" s="31" t="n"/>
      <c r="Q775" s="31" t="n"/>
      <c r="R775" s="31" t="n"/>
      <c r="S775" s="32">
        <f>IF($F775="","",IF(IFERROR(VLOOKUP($F775,'维度字典'!$I$2:$J$50,2,0),"求和")="手工录入","",IF(IFERROR(VLOOKUP($F775,'维度字典'!$I$2:$J$50,2,0),"求和")="最新值",IFERROR(LOOKUP(9.99E+307,G775:R775),""),SUM(G775:R775))))</f>
        <v/>
      </c>
      <c r="T775" s="33" t="n"/>
      <c r="U775" s="33" t="n"/>
    </row>
    <row r="776">
      <c r="A776" s="26">
        <f>IF($B776="","",ROW()-3)</f>
        <v/>
      </c>
      <c r="B776" s="27" t="n"/>
      <c r="C776" s="27" t="n"/>
      <c r="D776" s="28" t="n"/>
      <c r="E776" s="29" t="n"/>
      <c r="F776" s="30" t="n"/>
      <c r="G776" s="31" t="n"/>
      <c r="H776" s="31" t="n"/>
      <c r="I776" s="31" t="n"/>
      <c r="J776" s="31" t="n"/>
      <c r="K776" s="31" t="n"/>
      <c r="L776" s="31" t="n"/>
      <c r="M776" s="31" t="n"/>
      <c r="N776" s="31" t="n"/>
      <c r="O776" s="31" t="n"/>
      <c r="P776" s="31" t="n"/>
      <c r="Q776" s="31" t="n"/>
      <c r="R776" s="31" t="n"/>
      <c r="S776" s="32">
        <f>IF($F776="","",IF(IFERROR(VLOOKUP($F776,'维度字典'!$I$2:$J$50,2,0),"求和")="手工录入","",IF(IFERROR(VLOOKUP($F776,'维度字典'!$I$2:$J$50,2,0),"求和")="最新值",IFERROR(LOOKUP(9.99E+307,G776:R776),""),SUM(G776:R776))))</f>
        <v/>
      </c>
      <c r="T776" s="33" t="n"/>
      <c r="U776" s="33" t="n"/>
    </row>
    <row r="777">
      <c r="A777" s="26">
        <f>IF($B777="","",ROW()-3)</f>
        <v/>
      </c>
      <c r="B777" s="27" t="n"/>
      <c r="C777" s="27" t="n"/>
      <c r="D777" s="28" t="n"/>
      <c r="E777" s="29" t="n"/>
      <c r="F777" s="30" t="n"/>
      <c r="G777" s="31" t="n"/>
      <c r="H777" s="31" t="n"/>
      <c r="I777" s="31" t="n"/>
      <c r="J777" s="31" t="n"/>
      <c r="K777" s="31" t="n"/>
      <c r="L777" s="31" t="n"/>
      <c r="M777" s="31" t="n"/>
      <c r="N777" s="31" t="n"/>
      <c r="O777" s="31" t="n"/>
      <c r="P777" s="31" t="n"/>
      <c r="Q777" s="31" t="n"/>
      <c r="R777" s="31" t="n"/>
      <c r="S777" s="32">
        <f>IF($F777="","",IF(IFERROR(VLOOKUP($F777,'维度字典'!$I$2:$J$50,2,0),"求和")="手工录入","",IF(IFERROR(VLOOKUP($F777,'维度字典'!$I$2:$J$50,2,0),"求和")="最新值",IFERROR(LOOKUP(9.99E+307,G777:R777),""),SUM(G777:R777))))</f>
        <v/>
      </c>
      <c r="T777" s="33" t="n"/>
      <c r="U777" s="33" t="n"/>
    </row>
    <row r="778">
      <c r="A778" s="26">
        <f>IF($B778="","",ROW()-3)</f>
        <v/>
      </c>
      <c r="B778" s="27" t="n"/>
      <c r="C778" s="27" t="n"/>
      <c r="D778" s="28" t="n"/>
      <c r="E778" s="29" t="n"/>
      <c r="F778" s="30" t="n"/>
      <c r="G778" s="31" t="n"/>
      <c r="H778" s="31" t="n"/>
      <c r="I778" s="31" t="n"/>
      <c r="J778" s="31" t="n"/>
      <c r="K778" s="31" t="n"/>
      <c r="L778" s="31" t="n"/>
      <c r="M778" s="31" t="n"/>
      <c r="N778" s="31" t="n"/>
      <c r="O778" s="31" t="n"/>
      <c r="P778" s="31" t="n"/>
      <c r="Q778" s="31" t="n"/>
      <c r="R778" s="31" t="n"/>
      <c r="S778" s="32">
        <f>IF($F778="","",IF(IFERROR(VLOOKUP($F778,'维度字典'!$I$2:$J$50,2,0),"求和")="手工录入","",IF(IFERROR(VLOOKUP($F778,'维度字典'!$I$2:$J$50,2,0),"求和")="最新值",IFERROR(LOOKUP(9.99E+307,G778:R778),""),SUM(G778:R778))))</f>
        <v/>
      </c>
      <c r="T778" s="33" t="n"/>
      <c r="U778" s="33" t="n"/>
    </row>
    <row r="779">
      <c r="A779" s="26">
        <f>IF($B779="","",ROW()-3)</f>
        <v/>
      </c>
      <c r="B779" s="27" t="n"/>
      <c r="C779" s="27" t="n"/>
      <c r="D779" s="28" t="n"/>
      <c r="E779" s="29" t="n"/>
      <c r="F779" s="30" t="n"/>
      <c r="G779" s="31" t="n"/>
      <c r="H779" s="31" t="n"/>
      <c r="I779" s="31" t="n"/>
      <c r="J779" s="31" t="n"/>
      <c r="K779" s="31" t="n"/>
      <c r="L779" s="31" t="n"/>
      <c r="M779" s="31" t="n"/>
      <c r="N779" s="31" t="n"/>
      <c r="O779" s="31" t="n"/>
      <c r="P779" s="31" t="n"/>
      <c r="Q779" s="31" t="n"/>
      <c r="R779" s="31" t="n"/>
      <c r="S779" s="32">
        <f>IF($F779="","",IF(IFERROR(VLOOKUP($F779,'维度字典'!$I$2:$J$50,2,0),"求和")="手工录入","",IF(IFERROR(VLOOKUP($F779,'维度字典'!$I$2:$J$50,2,0),"求和")="最新值",IFERROR(LOOKUP(9.99E+307,G779:R779),""),SUM(G779:R779))))</f>
        <v/>
      </c>
      <c r="T779" s="33" t="n"/>
      <c r="U779" s="33" t="n"/>
    </row>
    <row r="780">
      <c r="A780" s="26">
        <f>IF($B780="","",ROW()-3)</f>
        <v/>
      </c>
      <c r="B780" s="27" t="n"/>
      <c r="C780" s="27" t="n"/>
      <c r="D780" s="28" t="n"/>
      <c r="E780" s="29" t="n"/>
      <c r="F780" s="30" t="n"/>
      <c r="G780" s="31" t="n"/>
      <c r="H780" s="31" t="n"/>
      <c r="I780" s="31" t="n"/>
      <c r="J780" s="31" t="n"/>
      <c r="K780" s="31" t="n"/>
      <c r="L780" s="31" t="n"/>
      <c r="M780" s="31" t="n"/>
      <c r="N780" s="31" t="n"/>
      <c r="O780" s="31" t="n"/>
      <c r="P780" s="31" t="n"/>
      <c r="Q780" s="31" t="n"/>
      <c r="R780" s="31" t="n"/>
      <c r="S780" s="32">
        <f>IF($F780="","",IF(IFERROR(VLOOKUP($F780,'维度字典'!$I$2:$J$50,2,0),"求和")="手工录入","",IF(IFERROR(VLOOKUP($F780,'维度字典'!$I$2:$J$50,2,0),"求和")="最新值",IFERROR(LOOKUP(9.99E+307,G780:R780),""),SUM(G780:R780))))</f>
        <v/>
      </c>
      <c r="T780" s="33" t="n"/>
      <c r="U780" s="33" t="n"/>
    </row>
    <row r="781">
      <c r="A781" s="26">
        <f>IF($B781="","",ROW()-3)</f>
        <v/>
      </c>
      <c r="B781" s="27" t="n"/>
      <c r="C781" s="27" t="n"/>
      <c r="D781" s="28" t="n"/>
      <c r="E781" s="29" t="n"/>
      <c r="F781" s="30" t="n"/>
      <c r="G781" s="31" t="n"/>
      <c r="H781" s="31" t="n"/>
      <c r="I781" s="31" t="n"/>
      <c r="J781" s="31" t="n"/>
      <c r="K781" s="31" t="n"/>
      <c r="L781" s="31" t="n"/>
      <c r="M781" s="31" t="n"/>
      <c r="N781" s="31" t="n"/>
      <c r="O781" s="31" t="n"/>
      <c r="P781" s="31" t="n"/>
      <c r="Q781" s="31" t="n"/>
      <c r="R781" s="31" t="n"/>
      <c r="S781" s="32">
        <f>IF($F781="","",IF(IFERROR(VLOOKUP($F781,'维度字典'!$I$2:$J$50,2,0),"求和")="手工录入","",IF(IFERROR(VLOOKUP($F781,'维度字典'!$I$2:$J$50,2,0),"求和")="最新值",IFERROR(LOOKUP(9.99E+307,G781:R781),""),SUM(G781:R781))))</f>
        <v/>
      </c>
      <c r="T781" s="33" t="n"/>
      <c r="U781" s="33" t="n"/>
    </row>
    <row r="782">
      <c r="A782" s="26">
        <f>IF($B782="","",ROW()-3)</f>
        <v/>
      </c>
      <c r="B782" s="27" t="n"/>
      <c r="C782" s="27" t="n"/>
      <c r="D782" s="28" t="n"/>
      <c r="E782" s="29" t="n"/>
      <c r="F782" s="30" t="n"/>
      <c r="G782" s="31" t="n"/>
      <c r="H782" s="31" t="n"/>
      <c r="I782" s="31" t="n"/>
      <c r="J782" s="31" t="n"/>
      <c r="K782" s="31" t="n"/>
      <c r="L782" s="31" t="n"/>
      <c r="M782" s="31" t="n"/>
      <c r="N782" s="31" t="n"/>
      <c r="O782" s="31" t="n"/>
      <c r="P782" s="31" t="n"/>
      <c r="Q782" s="31" t="n"/>
      <c r="R782" s="31" t="n"/>
      <c r="S782" s="32">
        <f>IF($F782="","",IF(IFERROR(VLOOKUP($F782,'维度字典'!$I$2:$J$50,2,0),"求和")="手工录入","",IF(IFERROR(VLOOKUP($F782,'维度字典'!$I$2:$J$50,2,0),"求和")="最新值",IFERROR(LOOKUP(9.99E+307,G782:R782),""),SUM(G782:R782))))</f>
        <v/>
      </c>
      <c r="T782" s="33" t="n"/>
      <c r="U782" s="33" t="n"/>
    </row>
    <row r="783">
      <c r="A783" s="26">
        <f>IF($B783="","",ROW()-3)</f>
        <v/>
      </c>
      <c r="B783" s="27" t="n"/>
      <c r="C783" s="27" t="n"/>
      <c r="D783" s="28" t="n"/>
      <c r="E783" s="29" t="n"/>
      <c r="F783" s="30" t="n"/>
      <c r="G783" s="31" t="n"/>
      <c r="H783" s="31" t="n"/>
      <c r="I783" s="31" t="n"/>
      <c r="J783" s="31" t="n"/>
      <c r="K783" s="31" t="n"/>
      <c r="L783" s="31" t="n"/>
      <c r="M783" s="31" t="n"/>
      <c r="N783" s="31" t="n"/>
      <c r="O783" s="31" t="n"/>
      <c r="P783" s="31" t="n"/>
      <c r="Q783" s="31" t="n"/>
      <c r="R783" s="31" t="n"/>
      <c r="S783" s="32">
        <f>IF($F783="","",IF(IFERROR(VLOOKUP($F783,'维度字典'!$I$2:$J$50,2,0),"求和")="手工录入","",IF(IFERROR(VLOOKUP($F783,'维度字典'!$I$2:$J$50,2,0),"求和")="最新值",IFERROR(LOOKUP(9.99E+307,G783:R783),""),SUM(G783:R783))))</f>
        <v/>
      </c>
      <c r="T783" s="33" t="n"/>
      <c r="U783" s="33" t="n"/>
    </row>
    <row r="784">
      <c r="A784" s="26">
        <f>IF($B784="","",ROW()-3)</f>
        <v/>
      </c>
      <c r="B784" s="27" t="n"/>
      <c r="C784" s="27" t="n"/>
      <c r="D784" s="28" t="n"/>
      <c r="E784" s="29" t="n"/>
      <c r="F784" s="30" t="n"/>
      <c r="G784" s="31" t="n"/>
      <c r="H784" s="31" t="n"/>
      <c r="I784" s="31" t="n"/>
      <c r="J784" s="31" t="n"/>
      <c r="K784" s="31" t="n"/>
      <c r="L784" s="31" t="n"/>
      <c r="M784" s="31" t="n"/>
      <c r="N784" s="31" t="n"/>
      <c r="O784" s="31" t="n"/>
      <c r="P784" s="31" t="n"/>
      <c r="Q784" s="31" t="n"/>
      <c r="R784" s="31" t="n"/>
      <c r="S784" s="32">
        <f>IF($F784="","",IF(IFERROR(VLOOKUP($F784,'维度字典'!$I$2:$J$50,2,0),"求和")="手工录入","",IF(IFERROR(VLOOKUP($F784,'维度字典'!$I$2:$J$50,2,0),"求和")="最新值",IFERROR(LOOKUP(9.99E+307,G784:R784),""),SUM(G784:R784))))</f>
        <v/>
      </c>
      <c r="T784" s="33" t="n"/>
      <c r="U784" s="33" t="n"/>
    </row>
    <row r="785">
      <c r="A785" s="26">
        <f>IF($B785="","",ROW()-3)</f>
        <v/>
      </c>
      <c r="B785" s="27" t="n"/>
      <c r="C785" s="27" t="n"/>
      <c r="D785" s="28" t="n"/>
      <c r="E785" s="29" t="n"/>
      <c r="F785" s="30" t="n"/>
      <c r="G785" s="31" t="n"/>
      <c r="H785" s="31" t="n"/>
      <c r="I785" s="31" t="n"/>
      <c r="J785" s="31" t="n"/>
      <c r="K785" s="31" t="n"/>
      <c r="L785" s="31" t="n"/>
      <c r="M785" s="31" t="n"/>
      <c r="N785" s="31" t="n"/>
      <c r="O785" s="31" t="n"/>
      <c r="P785" s="31" t="n"/>
      <c r="Q785" s="31" t="n"/>
      <c r="R785" s="31" t="n"/>
      <c r="S785" s="32">
        <f>IF($F785="","",IF(IFERROR(VLOOKUP($F785,'维度字典'!$I$2:$J$50,2,0),"求和")="手工录入","",IF(IFERROR(VLOOKUP($F785,'维度字典'!$I$2:$J$50,2,0),"求和")="最新值",IFERROR(LOOKUP(9.99E+307,G785:R785),""),SUM(G785:R785))))</f>
        <v/>
      </c>
      <c r="T785" s="33" t="n"/>
      <c r="U785" s="33" t="n"/>
    </row>
    <row r="786">
      <c r="A786" s="26">
        <f>IF($B786="","",ROW()-3)</f>
        <v/>
      </c>
      <c r="B786" s="27" t="n"/>
      <c r="C786" s="27" t="n"/>
      <c r="D786" s="28" t="n"/>
      <c r="E786" s="29" t="n"/>
      <c r="F786" s="30" t="n"/>
      <c r="G786" s="31" t="n"/>
      <c r="H786" s="31" t="n"/>
      <c r="I786" s="31" t="n"/>
      <c r="J786" s="31" t="n"/>
      <c r="K786" s="31" t="n"/>
      <c r="L786" s="31" t="n"/>
      <c r="M786" s="31" t="n"/>
      <c r="N786" s="31" t="n"/>
      <c r="O786" s="31" t="n"/>
      <c r="P786" s="31" t="n"/>
      <c r="Q786" s="31" t="n"/>
      <c r="R786" s="31" t="n"/>
      <c r="S786" s="32">
        <f>IF($F786="","",IF(IFERROR(VLOOKUP($F786,'维度字典'!$I$2:$J$50,2,0),"求和")="手工录入","",IF(IFERROR(VLOOKUP($F786,'维度字典'!$I$2:$J$50,2,0),"求和")="最新值",IFERROR(LOOKUP(9.99E+307,G786:R786),""),SUM(G786:R786))))</f>
        <v/>
      </c>
      <c r="T786" s="33" t="n"/>
      <c r="U786" s="33" t="n"/>
    </row>
    <row r="787">
      <c r="A787" s="26">
        <f>IF($B787="","",ROW()-3)</f>
        <v/>
      </c>
      <c r="B787" s="27" t="n"/>
      <c r="C787" s="27" t="n"/>
      <c r="D787" s="28" t="n"/>
      <c r="E787" s="29" t="n"/>
      <c r="F787" s="30" t="n"/>
      <c r="G787" s="31" t="n"/>
      <c r="H787" s="31" t="n"/>
      <c r="I787" s="31" t="n"/>
      <c r="J787" s="31" t="n"/>
      <c r="K787" s="31" t="n"/>
      <c r="L787" s="31" t="n"/>
      <c r="M787" s="31" t="n"/>
      <c r="N787" s="31" t="n"/>
      <c r="O787" s="31" t="n"/>
      <c r="P787" s="31" t="n"/>
      <c r="Q787" s="31" t="n"/>
      <c r="R787" s="31" t="n"/>
      <c r="S787" s="32">
        <f>IF($F787="","",IF(IFERROR(VLOOKUP($F787,'维度字典'!$I$2:$J$50,2,0),"求和")="手工录入","",IF(IFERROR(VLOOKUP($F787,'维度字典'!$I$2:$J$50,2,0),"求和")="最新值",IFERROR(LOOKUP(9.99E+307,G787:R787),""),SUM(G787:R787))))</f>
        <v/>
      </c>
      <c r="T787" s="33" t="n"/>
      <c r="U787" s="33" t="n"/>
    </row>
    <row r="788">
      <c r="A788" s="26">
        <f>IF($B788="","",ROW()-3)</f>
        <v/>
      </c>
      <c r="B788" s="27" t="n"/>
      <c r="C788" s="27" t="n"/>
      <c r="D788" s="28" t="n"/>
      <c r="E788" s="29" t="n"/>
      <c r="F788" s="30" t="n"/>
      <c r="G788" s="31" t="n"/>
      <c r="H788" s="31" t="n"/>
      <c r="I788" s="31" t="n"/>
      <c r="J788" s="31" t="n"/>
      <c r="K788" s="31" t="n"/>
      <c r="L788" s="31" t="n"/>
      <c r="M788" s="31" t="n"/>
      <c r="N788" s="31" t="n"/>
      <c r="O788" s="31" t="n"/>
      <c r="P788" s="31" t="n"/>
      <c r="Q788" s="31" t="n"/>
      <c r="R788" s="31" t="n"/>
      <c r="S788" s="32">
        <f>IF($F788="","",IF(IFERROR(VLOOKUP($F788,'维度字典'!$I$2:$J$50,2,0),"求和")="手工录入","",IF(IFERROR(VLOOKUP($F788,'维度字典'!$I$2:$J$50,2,0),"求和")="最新值",IFERROR(LOOKUP(9.99E+307,G788:R788),""),SUM(G788:R788))))</f>
        <v/>
      </c>
      <c r="T788" s="33" t="n"/>
      <c r="U788" s="33" t="n"/>
    </row>
    <row r="789">
      <c r="A789" s="26">
        <f>IF($B789="","",ROW()-3)</f>
        <v/>
      </c>
      <c r="B789" s="27" t="n"/>
      <c r="C789" s="27" t="n"/>
      <c r="D789" s="28" t="n"/>
      <c r="E789" s="29" t="n"/>
      <c r="F789" s="30" t="n"/>
      <c r="G789" s="31" t="n"/>
      <c r="H789" s="31" t="n"/>
      <c r="I789" s="31" t="n"/>
      <c r="J789" s="31" t="n"/>
      <c r="K789" s="31" t="n"/>
      <c r="L789" s="31" t="n"/>
      <c r="M789" s="31" t="n"/>
      <c r="N789" s="31" t="n"/>
      <c r="O789" s="31" t="n"/>
      <c r="P789" s="31" t="n"/>
      <c r="Q789" s="31" t="n"/>
      <c r="R789" s="31" t="n"/>
      <c r="S789" s="32">
        <f>IF($F789="","",IF(IFERROR(VLOOKUP($F789,'维度字典'!$I$2:$J$50,2,0),"求和")="手工录入","",IF(IFERROR(VLOOKUP($F789,'维度字典'!$I$2:$J$50,2,0),"求和")="最新值",IFERROR(LOOKUP(9.99E+307,G789:R789),""),SUM(G789:R789))))</f>
        <v/>
      </c>
      <c r="T789" s="33" t="n"/>
      <c r="U789" s="33" t="n"/>
    </row>
    <row r="790">
      <c r="A790" s="26">
        <f>IF($B790="","",ROW()-3)</f>
        <v/>
      </c>
      <c r="B790" s="27" t="n"/>
      <c r="C790" s="27" t="n"/>
      <c r="D790" s="28" t="n"/>
      <c r="E790" s="29" t="n"/>
      <c r="F790" s="30" t="n"/>
      <c r="G790" s="31" t="n"/>
      <c r="H790" s="31" t="n"/>
      <c r="I790" s="31" t="n"/>
      <c r="J790" s="31" t="n"/>
      <c r="K790" s="31" t="n"/>
      <c r="L790" s="31" t="n"/>
      <c r="M790" s="31" t="n"/>
      <c r="N790" s="31" t="n"/>
      <c r="O790" s="31" t="n"/>
      <c r="P790" s="31" t="n"/>
      <c r="Q790" s="31" t="n"/>
      <c r="R790" s="31" t="n"/>
      <c r="S790" s="32">
        <f>IF($F790="","",IF(IFERROR(VLOOKUP($F790,'维度字典'!$I$2:$J$50,2,0),"求和")="手工录入","",IF(IFERROR(VLOOKUP($F790,'维度字典'!$I$2:$J$50,2,0),"求和")="最新值",IFERROR(LOOKUP(9.99E+307,G790:R790),""),SUM(G790:R790))))</f>
        <v/>
      </c>
      <c r="T790" s="33" t="n"/>
      <c r="U790" s="33" t="n"/>
    </row>
    <row r="791">
      <c r="A791" s="26">
        <f>IF($B791="","",ROW()-3)</f>
        <v/>
      </c>
      <c r="B791" s="27" t="n"/>
      <c r="C791" s="27" t="n"/>
      <c r="D791" s="28" t="n"/>
      <c r="E791" s="29" t="n"/>
      <c r="F791" s="30" t="n"/>
      <c r="G791" s="31" t="n"/>
      <c r="H791" s="31" t="n"/>
      <c r="I791" s="31" t="n"/>
      <c r="J791" s="31" t="n"/>
      <c r="K791" s="31" t="n"/>
      <c r="L791" s="31" t="n"/>
      <c r="M791" s="31" t="n"/>
      <c r="N791" s="31" t="n"/>
      <c r="O791" s="31" t="n"/>
      <c r="P791" s="31" t="n"/>
      <c r="Q791" s="31" t="n"/>
      <c r="R791" s="31" t="n"/>
      <c r="S791" s="32">
        <f>IF($F791="","",IF(IFERROR(VLOOKUP($F791,'维度字典'!$I$2:$J$50,2,0),"求和")="手工录入","",IF(IFERROR(VLOOKUP($F791,'维度字典'!$I$2:$J$50,2,0),"求和")="最新值",IFERROR(LOOKUP(9.99E+307,G791:R791),""),SUM(G791:R791))))</f>
        <v/>
      </c>
      <c r="T791" s="33" t="n"/>
      <c r="U791" s="33" t="n"/>
    </row>
    <row r="792">
      <c r="A792" s="26">
        <f>IF($B792="","",ROW()-3)</f>
        <v/>
      </c>
      <c r="B792" s="27" t="n"/>
      <c r="C792" s="27" t="n"/>
      <c r="D792" s="28" t="n"/>
      <c r="E792" s="29" t="n"/>
      <c r="F792" s="30" t="n"/>
      <c r="G792" s="31" t="n"/>
      <c r="H792" s="31" t="n"/>
      <c r="I792" s="31" t="n"/>
      <c r="J792" s="31" t="n"/>
      <c r="K792" s="31" t="n"/>
      <c r="L792" s="31" t="n"/>
      <c r="M792" s="31" t="n"/>
      <c r="N792" s="31" t="n"/>
      <c r="O792" s="31" t="n"/>
      <c r="P792" s="31" t="n"/>
      <c r="Q792" s="31" t="n"/>
      <c r="R792" s="31" t="n"/>
      <c r="S792" s="32">
        <f>IF($F792="","",IF(IFERROR(VLOOKUP($F792,'维度字典'!$I$2:$J$50,2,0),"求和")="手工录入","",IF(IFERROR(VLOOKUP($F792,'维度字典'!$I$2:$J$50,2,0),"求和")="最新值",IFERROR(LOOKUP(9.99E+307,G792:R792),""),SUM(G792:R792))))</f>
        <v/>
      </c>
      <c r="T792" s="33" t="n"/>
      <c r="U792" s="33" t="n"/>
    </row>
    <row r="793">
      <c r="A793" s="26">
        <f>IF($B793="","",ROW()-3)</f>
        <v/>
      </c>
      <c r="B793" s="27" t="n"/>
      <c r="C793" s="27" t="n"/>
      <c r="D793" s="28" t="n"/>
      <c r="E793" s="29" t="n"/>
      <c r="F793" s="30" t="n"/>
      <c r="G793" s="31" t="n"/>
      <c r="H793" s="31" t="n"/>
      <c r="I793" s="31" t="n"/>
      <c r="J793" s="31" t="n"/>
      <c r="K793" s="31" t="n"/>
      <c r="L793" s="31" t="n"/>
      <c r="M793" s="31" t="n"/>
      <c r="N793" s="31" t="n"/>
      <c r="O793" s="31" t="n"/>
      <c r="P793" s="31" t="n"/>
      <c r="Q793" s="31" t="n"/>
      <c r="R793" s="31" t="n"/>
      <c r="S793" s="32">
        <f>IF($F793="","",IF(IFERROR(VLOOKUP($F793,'维度字典'!$I$2:$J$50,2,0),"求和")="手工录入","",IF(IFERROR(VLOOKUP($F793,'维度字典'!$I$2:$J$50,2,0),"求和")="最新值",IFERROR(LOOKUP(9.99E+307,G793:R793),""),SUM(G793:R793))))</f>
        <v/>
      </c>
      <c r="T793" s="33" t="n"/>
      <c r="U793" s="33" t="n"/>
    </row>
    <row r="794">
      <c r="A794" s="26">
        <f>IF($B794="","",ROW()-3)</f>
        <v/>
      </c>
      <c r="B794" s="27" t="n"/>
      <c r="C794" s="27" t="n"/>
      <c r="D794" s="28" t="n"/>
      <c r="E794" s="29" t="n"/>
      <c r="F794" s="30" t="n"/>
      <c r="G794" s="31" t="n"/>
      <c r="H794" s="31" t="n"/>
      <c r="I794" s="31" t="n"/>
      <c r="J794" s="31" t="n"/>
      <c r="K794" s="31" t="n"/>
      <c r="L794" s="31" t="n"/>
      <c r="M794" s="31" t="n"/>
      <c r="N794" s="31" t="n"/>
      <c r="O794" s="31" t="n"/>
      <c r="P794" s="31" t="n"/>
      <c r="Q794" s="31" t="n"/>
      <c r="R794" s="31" t="n"/>
      <c r="S794" s="32">
        <f>IF($F794="","",IF(IFERROR(VLOOKUP($F794,'维度字典'!$I$2:$J$50,2,0),"求和")="手工录入","",IF(IFERROR(VLOOKUP($F794,'维度字典'!$I$2:$J$50,2,0),"求和")="最新值",IFERROR(LOOKUP(9.99E+307,G794:R794),""),SUM(G794:R794))))</f>
        <v/>
      </c>
      <c r="T794" s="33" t="n"/>
      <c r="U794" s="33" t="n"/>
    </row>
    <row r="795">
      <c r="A795" s="26">
        <f>IF($B795="","",ROW()-3)</f>
        <v/>
      </c>
      <c r="B795" s="27" t="n"/>
      <c r="C795" s="27" t="n"/>
      <c r="D795" s="28" t="n"/>
      <c r="E795" s="29" t="n"/>
      <c r="F795" s="30" t="n"/>
      <c r="G795" s="31" t="n"/>
      <c r="H795" s="31" t="n"/>
      <c r="I795" s="31" t="n"/>
      <c r="J795" s="31" t="n"/>
      <c r="K795" s="31" t="n"/>
      <c r="L795" s="31" t="n"/>
      <c r="M795" s="31" t="n"/>
      <c r="N795" s="31" t="n"/>
      <c r="O795" s="31" t="n"/>
      <c r="P795" s="31" t="n"/>
      <c r="Q795" s="31" t="n"/>
      <c r="R795" s="31" t="n"/>
      <c r="S795" s="32">
        <f>IF($F795="","",IF(IFERROR(VLOOKUP($F795,'维度字典'!$I$2:$J$50,2,0),"求和")="手工录入","",IF(IFERROR(VLOOKUP($F795,'维度字典'!$I$2:$J$50,2,0),"求和")="最新值",IFERROR(LOOKUP(9.99E+307,G795:R795),""),SUM(G795:R795))))</f>
        <v/>
      </c>
      <c r="T795" s="33" t="n"/>
      <c r="U795" s="33" t="n"/>
    </row>
    <row r="796">
      <c r="A796" s="26">
        <f>IF($B796="","",ROW()-3)</f>
        <v/>
      </c>
      <c r="B796" s="27" t="n"/>
      <c r="C796" s="27" t="n"/>
      <c r="D796" s="28" t="n"/>
      <c r="E796" s="29" t="n"/>
      <c r="F796" s="30" t="n"/>
      <c r="G796" s="31" t="n"/>
      <c r="H796" s="31" t="n"/>
      <c r="I796" s="31" t="n"/>
      <c r="J796" s="31" t="n"/>
      <c r="K796" s="31" t="n"/>
      <c r="L796" s="31" t="n"/>
      <c r="M796" s="31" t="n"/>
      <c r="N796" s="31" t="n"/>
      <c r="O796" s="31" t="n"/>
      <c r="P796" s="31" t="n"/>
      <c r="Q796" s="31" t="n"/>
      <c r="R796" s="31" t="n"/>
      <c r="S796" s="32">
        <f>IF($F796="","",IF(IFERROR(VLOOKUP($F796,'维度字典'!$I$2:$J$50,2,0),"求和")="手工录入","",IF(IFERROR(VLOOKUP($F796,'维度字典'!$I$2:$J$50,2,0),"求和")="最新值",IFERROR(LOOKUP(9.99E+307,G796:R796),""),SUM(G796:R796))))</f>
        <v/>
      </c>
      <c r="T796" s="33" t="n"/>
      <c r="U796" s="33" t="n"/>
    </row>
    <row r="797">
      <c r="A797" s="26">
        <f>IF($B797="","",ROW()-3)</f>
        <v/>
      </c>
      <c r="B797" s="27" t="n"/>
      <c r="C797" s="27" t="n"/>
      <c r="D797" s="28" t="n"/>
      <c r="E797" s="29" t="n"/>
      <c r="F797" s="30" t="n"/>
      <c r="G797" s="31" t="n"/>
      <c r="H797" s="31" t="n"/>
      <c r="I797" s="31" t="n"/>
      <c r="J797" s="31" t="n"/>
      <c r="K797" s="31" t="n"/>
      <c r="L797" s="31" t="n"/>
      <c r="M797" s="31" t="n"/>
      <c r="N797" s="31" t="n"/>
      <c r="O797" s="31" t="n"/>
      <c r="P797" s="31" t="n"/>
      <c r="Q797" s="31" t="n"/>
      <c r="R797" s="31" t="n"/>
      <c r="S797" s="32">
        <f>IF($F797="","",IF(IFERROR(VLOOKUP($F797,'维度字典'!$I$2:$J$50,2,0),"求和")="手工录入","",IF(IFERROR(VLOOKUP($F797,'维度字典'!$I$2:$J$50,2,0),"求和")="最新值",IFERROR(LOOKUP(9.99E+307,G797:R797),""),SUM(G797:R797))))</f>
        <v/>
      </c>
      <c r="T797" s="33" t="n"/>
      <c r="U797" s="33" t="n"/>
    </row>
    <row r="798">
      <c r="A798" s="26">
        <f>IF($B798="","",ROW()-3)</f>
        <v/>
      </c>
      <c r="B798" s="27" t="n"/>
      <c r="C798" s="27" t="n"/>
      <c r="D798" s="28" t="n"/>
      <c r="E798" s="29" t="n"/>
      <c r="F798" s="30" t="n"/>
      <c r="G798" s="31" t="n"/>
      <c r="H798" s="31" t="n"/>
      <c r="I798" s="31" t="n"/>
      <c r="J798" s="31" t="n"/>
      <c r="K798" s="31" t="n"/>
      <c r="L798" s="31" t="n"/>
      <c r="M798" s="31" t="n"/>
      <c r="N798" s="31" t="n"/>
      <c r="O798" s="31" t="n"/>
      <c r="P798" s="31" t="n"/>
      <c r="Q798" s="31" t="n"/>
      <c r="R798" s="31" t="n"/>
      <c r="S798" s="32">
        <f>IF($F798="","",IF(IFERROR(VLOOKUP($F798,'维度字典'!$I$2:$J$50,2,0),"求和")="手工录入","",IF(IFERROR(VLOOKUP($F798,'维度字典'!$I$2:$J$50,2,0),"求和")="最新值",IFERROR(LOOKUP(9.99E+307,G798:R798),""),SUM(G798:R798))))</f>
        <v/>
      </c>
      <c r="T798" s="33" t="n"/>
      <c r="U798" s="33" t="n"/>
    </row>
    <row r="799">
      <c r="A799" s="26">
        <f>IF($B799="","",ROW()-3)</f>
        <v/>
      </c>
      <c r="B799" s="27" t="n"/>
      <c r="C799" s="27" t="n"/>
      <c r="D799" s="28" t="n"/>
      <c r="E799" s="29" t="n"/>
      <c r="F799" s="30" t="n"/>
      <c r="G799" s="31" t="n"/>
      <c r="H799" s="31" t="n"/>
      <c r="I799" s="31" t="n"/>
      <c r="J799" s="31" t="n"/>
      <c r="K799" s="31" t="n"/>
      <c r="L799" s="31" t="n"/>
      <c r="M799" s="31" t="n"/>
      <c r="N799" s="31" t="n"/>
      <c r="O799" s="31" t="n"/>
      <c r="P799" s="31" t="n"/>
      <c r="Q799" s="31" t="n"/>
      <c r="R799" s="31" t="n"/>
      <c r="S799" s="32">
        <f>IF($F799="","",IF(IFERROR(VLOOKUP($F799,'维度字典'!$I$2:$J$50,2,0),"求和")="手工录入","",IF(IFERROR(VLOOKUP($F799,'维度字典'!$I$2:$J$50,2,0),"求和")="最新值",IFERROR(LOOKUP(9.99E+307,G799:R799),""),SUM(G799:R799))))</f>
        <v/>
      </c>
      <c r="T799" s="33" t="n"/>
      <c r="U799" s="33" t="n"/>
    </row>
    <row r="800">
      <c r="A800" s="26">
        <f>IF($B800="","",ROW()-3)</f>
        <v/>
      </c>
      <c r="B800" s="27" t="n"/>
      <c r="C800" s="27" t="n"/>
      <c r="D800" s="28" t="n"/>
      <c r="E800" s="29" t="n"/>
      <c r="F800" s="30" t="n"/>
      <c r="G800" s="31" t="n"/>
      <c r="H800" s="31" t="n"/>
      <c r="I800" s="31" t="n"/>
      <c r="J800" s="31" t="n"/>
      <c r="K800" s="31" t="n"/>
      <c r="L800" s="31" t="n"/>
      <c r="M800" s="31" t="n"/>
      <c r="N800" s="31" t="n"/>
      <c r="O800" s="31" t="n"/>
      <c r="P800" s="31" t="n"/>
      <c r="Q800" s="31" t="n"/>
      <c r="R800" s="31" t="n"/>
      <c r="S800" s="32">
        <f>IF($F800="","",IF(IFERROR(VLOOKUP($F800,'维度字典'!$I$2:$J$50,2,0),"求和")="手工录入","",IF(IFERROR(VLOOKUP($F800,'维度字典'!$I$2:$J$50,2,0),"求和")="最新值",IFERROR(LOOKUP(9.99E+307,G800:R800),""),SUM(G800:R800))))</f>
        <v/>
      </c>
      <c r="T800" s="33" t="n"/>
      <c r="U800" s="33" t="n"/>
    </row>
    <row r="801">
      <c r="A801" s="26">
        <f>IF($B801="","",ROW()-3)</f>
        <v/>
      </c>
      <c r="B801" s="27" t="n"/>
      <c r="C801" s="27" t="n"/>
      <c r="D801" s="28" t="n"/>
      <c r="E801" s="29" t="n"/>
      <c r="F801" s="30" t="n"/>
      <c r="G801" s="31" t="n"/>
      <c r="H801" s="31" t="n"/>
      <c r="I801" s="31" t="n"/>
      <c r="J801" s="31" t="n"/>
      <c r="K801" s="31" t="n"/>
      <c r="L801" s="31" t="n"/>
      <c r="M801" s="31" t="n"/>
      <c r="N801" s="31" t="n"/>
      <c r="O801" s="31" t="n"/>
      <c r="P801" s="31" t="n"/>
      <c r="Q801" s="31" t="n"/>
      <c r="R801" s="31" t="n"/>
      <c r="S801" s="32">
        <f>IF($F801="","",IF(IFERROR(VLOOKUP($F801,'维度字典'!$I$2:$J$50,2,0),"求和")="手工录入","",IF(IFERROR(VLOOKUP($F801,'维度字典'!$I$2:$J$50,2,0),"求和")="最新值",IFERROR(LOOKUP(9.99E+307,G801:R801),""),SUM(G801:R801))))</f>
        <v/>
      </c>
      <c r="T801" s="33" t="n"/>
      <c r="U801" s="33" t="n"/>
    </row>
    <row r="802">
      <c r="A802" s="26">
        <f>IF($B802="","",ROW()-3)</f>
        <v/>
      </c>
      <c r="B802" s="27" t="n"/>
      <c r="C802" s="27" t="n"/>
      <c r="D802" s="28" t="n"/>
      <c r="E802" s="29" t="n"/>
      <c r="F802" s="30" t="n"/>
      <c r="G802" s="31" t="n"/>
      <c r="H802" s="31" t="n"/>
      <c r="I802" s="31" t="n"/>
      <c r="J802" s="31" t="n"/>
      <c r="K802" s="31" t="n"/>
      <c r="L802" s="31" t="n"/>
      <c r="M802" s="31" t="n"/>
      <c r="N802" s="31" t="n"/>
      <c r="O802" s="31" t="n"/>
      <c r="P802" s="31" t="n"/>
      <c r="Q802" s="31" t="n"/>
      <c r="R802" s="31" t="n"/>
      <c r="S802" s="32">
        <f>IF($F802="","",IF(IFERROR(VLOOKUP($F802,'维度字典'!$I$2:$J$50,2,0),"求和")="手工录入","",IF(IFERROR(VLOOKUP($F802,'维度字典'!$I$2:$J$50,2,0),"求和")="最新值",IFERROR(LOOKUP(9.99E+307,G802:R802),""),SUM(G802:R802))))</f>
        <v/>
      </c>
      <c r="T802" s="33" t="n"/>
      <c r="U802" s="33" t="n"/>
    </row>
    <row r="803">
      <c r="A803" s="26">
        <f>IF($B803="","",ROW()-3)</f>
        <v/>
      </c>
      <c r="B803" s="27" t="n"/>
      <c r="C803" s="27" t="n"/>
      <c r="D803" s="28" t="n"/>
      <c r="E803" s="29" t="n"/>
      <c r="F803" s="30" t="n"/>
      <c r="G803" s="31" t="n"/>
      <c r="H803" s="31" t="n"/>
      <c r="I803" s="31" t="n"/>
      <c r="J803" s="31" t="n"/>
      <c r="K803" s="31" t="n"/>
      <c r="L803" s="31" t="n"/>
      <c r="M803" s="31" t="n"/>
      <c r="N803" s="31" t="n"/>
      <c r="O803" s="31" t="n"/>
      <c r="P803" s="31" t="n"/>
      <c r="Q803" s="31" t="n"/>
      <c r="R803" s="31" t="n"/>
      <c r="S803" s="32">
        <f>IF($F803="","",IF(IFERROR(VLOOKUP($F803,'维度字典'!$I$2:$J$50,2,0),"求和")="手工录入","",IF(IFERROR(VLOOKUP($F803,'维度字典'!$I$2:$J$50,2,0),"求和")="最新值",IFERROR(LOOKUP(9.99E+307,G803:R803),""),SUM(G803:R803))))</f>
        <v/>
      </c>
      <c r="T803" s="33" t="n"/>
      <c r="U803" s="33" t="n"/>
    </row>
    <row r="804">
      <c r="A804" s="26">
        <f>IF($B804="","",ROW()-3)</f>
        <v/>
      </c>
      <c r="B804" s="27" t="n"/>
      <c r="C804" s="27" t="n"/>
      <c r="D804" s="28" t="n"/>
      <c r="E804" s="29" t="n"/>
      <c r="F804" s="30" t="n"/>
      <c r="G804" s="31" t="n"/>
      <c r="H804" s="31" t="n"/>
      <c r="I804" s="31" t="n"/>
      <c r="J804" s="31" t="n"/>
      <c r="K804" s="31" t="n"/>
      <c r="L804" s="31" t="n"/>
      <c r="M804" s="31" t="n"/>
      <c r="N804" s="31" t="n"/>
      <c r="O804" s="31" t="n"/>
      <c r="P804" s="31" t="n"/>
      <c r="Q804" s="31" t="n"/>
      <c r="R804" s="31" t="n"/>
      <c r="S804" s="32">
        <f>IF($F804="","",IF(IFERROR(VLOOKUP($F804,'维度字典'!$I$2:$J$50,2,0),"求和")="手工录入","",IF(IFERROR(VLOOKUP($F804,'维度字典'!$I$2:$J$50,2,0),"求和")="最新值",IFERROR(LOOKUP(9.99E+307,G804:R804),""),SUM(G804:R804))))</f>
        <v/>
      </c>
      <c r="T804" s="33" t="n"/>
      <c r="U804" s="33" t="n"/>
    </row>
    <row r="805">
      <c r="A805" s="26">
        <f>IF($B805="","",ROW()-3)</f>
        <v/>
      </c>
      <c r="B805" s="27" t="n"/>
      <c r="C805" s="27" t="n"/>
      <c r="D805" s="28" t="n"/>
      <c r="E805" s="29" t="n"/>
      <c r="F805" s="30" t="n"/>
      <c r="G805" s="31" t="n"/>
      <c r="H805" s="31" t="n"/>
      <c r="I805" s="31" t="n"/>
      <c r="J805" s="31" t="n"/>
      <c r="K805" s="31" t="n"/>
      <c r="L805" s="31" t="n"/>
      <c r="M805" s="31" t="n"/>
      <c r="N805" s="31" t="n"/>
      <c r="O805" s="31" t="n"/>
      <c r="P805" s="31" t="n"/>
      <c r="Q805" s="31" t="n"/>
      <c r="R805" s="31" t="n"/>
      <c r="S805" s="32">
        <f>IF($F805="","",IF(IFERROR(VLOOKUP($F805,'维度字典'!$I$2:$J$50,2,0),"求和")="手工录入","",IF(IFERROR(VLOOKUP($F805,'维度字典'!$I$2:$J$50,2,0),"求和")="最新值",IFERROR(LOOKUP(9.99E+307,G805:R805),""),SUM(G805:R805))))</f>
        <v/>
      </c>
      <c r="T805" s="33" t="n"/>
      <c r="U805" s="33" t="n"/>
    </row>
    <row r="806">
      <c r="A806" s="26">
        <f>IF($B806="","",ROW()-3)</f>
        <v/>
      </c>
      <c r="B806" s="27" t="n"/>
      <c r="C806" s="27" t="n"/>
      <c r="D806" s="28" t="n"/>
      <c r="E806" s="29" t="n"/>
      <c r="F806" s="30" t="n"/>
      <c r="G806" s="31" t="n"/>
      <c r="H806" s="31" t="n"/>
      <c r="I806" s="31" t="n"/>
      <c r="J806" s="31" t="n"/>
      <c r="K806" s="31" t="n"/>
      <c r="L806" s="31" t="n"/>
      <c r="M806" s="31" t="n"/>
      <c r="N806" s="31" t="n"/>
      <c r="O806" s="31" t="n"/>
      <c r="P806" s="31" t="n"/>
      <c r="Q806" s="31" t="n"/>
      <c r="R806" s="31" t="n"/>
      <c r="S806" s="32">
        <f>IF($F806="","",IF(IFERROR(VLOOKUP($F806,'维度字典'!$I$2:$J$50,2,0),"求和")="手工录入","",IF(IFERROR(VLOOKUP($F806,'维度字典'!$I$2:$J$50,2,0),"求和")="最新值",IFERROR(LOOKUP(9.99E+307,G806:R806),""),SUM(G806:R806))))</f>
        <v/>
      </c>
      <c r="T806" s="33" t="n"/>
      <c r="U806" s="33" t="n"/>
    </row>
    <row r="807">
      <c r="A807" s="26">
        <f>IF($B807="","",ROW()-3)</f>
        <v/>
      </c>
      <c r="B807" s="27" t="n"/>
      <c r="C807" s="27" t="n"/>
      <c r="D807" s="28" t="n"/>
      <c r="E807" s="29" t="n"/>
      <c r="F807" s="30" t="n"/>
      <c r="G807" s="31" t="n"/>
      <c r="H807" s="31" t="n"/>
      <c r="I807" s="31" t="n"/>
      <c r="J807" s="31" t="n"/>
      <c r="K807" s="31" t="n"/>
      <c r="L807" s="31" t="n"/>
      <c r="M807" s="31" t="n"/>
      <c r="N807" s="31" t="n"/>
      <c r="O807" s="31" t="n"/>
      <c r="P807" s="31" t="n"/>
      <c r="Q807" s="31" t="n"/>
      <c r="R807" s="31" t="n"/>
      <c r="S807" s="32">
        <f>IF($F807="","",IF(IFERROR(VLOOKUP($F807,'维度字典'!$I$2:$J$50,2,0),"求和")="手工录入","",IF(IFERROR(VLOOKUP($F807,'维度字典'!$I$2:$J$50,2,0),"求和")="最新值",IFERROR(LOOKUP(9.99E+307,G807:R807),""),SUM(G807:R807))))</f>
        <v/>
      </c>
      <c r="T807" s="33" t="n"/>
      <c r="U807" s="33" t="n"/>
    </row>
    <row r="808">
      <c r="A808" s="26">
        <f>IF($B808="","",ROW()-3)</f>
        <v/>
      </c>
      <c r="B808" s="27" t="n"/>
      <c r="C808" s="27" t="n"/>
      <c r="D808" s="28" t="n"/>
      <c r="E808" s="29" t="n"/>
      <c r="F808" s="30" t="n"/>
      <c r="G808" s="31" t="n"/>
      <c r="H808" s="31" t="n"/>
      <c r="I808" s="31" t="n"/>
      <c r="J808" s="31" t="n"/>
      <c r="K808" s="31" t="n"/>
      <c r="L808" s="31" t="n"/>
      <c r="M808" s="31" t="n"/>
      <c r="N808" s="31" t="n"/>
      <c r="O808" s="31" t="n"/>
      <c r="P808" s="31" t="n"/>
      <c r="Q808" s="31" t="n"/>
      <c r="R808" s="31" t="n"/>
      <c r="S808" s="32">
        <f>IF($F808="","",IF(IFERROR(VLOOKUP($F808,'维度字典'!$I$2:$J$50,2,0),"求和")="手工录入","",IF(IFERROR(VLOOKUP($F808,'维度字典'!$I$2:$J$50,2,0),"求和")="最新值",IFERROR(LOOKUP(9.99E+307,G808:R808),""),SUM(G808:R808))))</f>
        <v/>
      </c>
      <c r="T808" s="33" t="n"/>
      <c r="U808" s="33" t="n"/>
    </row>
    <row r="809">
      <c r="A809" s="26">
        <f>IF($B809="","",ROW()-3)</f>
        <v/>
      </c>
      <c r="B809" s="27" t="n"/>
      <c r="C809" s="27" t="n"/>
      <c r="D809" s="28" t="n"/>
      <c r="E809" s="29" t="n"/>
      <c r="F809" s="30" t="n"/>
      <c r="G809" s="31" t="n"/>
      <c r="H809" s="31" t="n"/>
      <c r="I809" s="31" t="n"/>
      <c r="J809" s="31" t="n"/>
      <c r="K809" s="31" t="n"/>
      <c r="L809" s="31" t="n"/>
      <c r="M809" s="31" t="n"/>
      <c r="N809" s="31" t="n"/>
      <c r="O809" s="31" t="n"/>
      <c r="P809" s="31" t="n"/>
      <c r="Q809" s="31" t="n"/>
      <c r="R809" s="31" t="n"/>
      <c r="S809" s="32">
        <f>IF($F809="","",IF(IFERROR(VLOOKUP($F809,'维度字典'!$I$2:$J$50,2,0),"求和")="手工录入","",IF(IFERROR(VLOOKUP($F809,'维度字典'!$I$2:$J$50,2,0),"求和")="最新值",IFERROR(LOOKUP(9.99E+307,G809:R809),""),SUM(G809:R809))))</f>
        <v/>
      </c>
      <c r="T809" s="33" t="n"/>
      <c r="U809" s="33" t="n"/>
    </row>
    <row r="810">
      <c r="A810" s="26">
        <f>IF($B810="","",ROW()-3)</f>
        <v/>
      </c>
      <c r="B810" s="27" t="n"/>
      <c r="C810" s="27" t="n"/>
      <c r="D810" s="28" t="n"/>
      <c r="E810" s="29" t="n"/>
      <c r="F810" s="30" t="n"/>
      <c r="G810" s="31" t="n"/>
      <c r="H810" s="31" t="n"/>
      <c r="I810" s="31" t="n"/>
      <c r="J810" s="31" t="n"/>
      <c r="K810" s="31" t="n"/>
      <c r="L810" s="31" t="n"/>
      <c r="M810" s="31" t="n"/>
      <c r="N810" s="31" t="n"/>
      <c r="O810" s="31" t="n"/>
      <c r="P810" s="31" t="n"/>
      <c r="Q810" s="31" t="n"/>
      <c r="R810" s="31" t="n"/>
      <c r="S810" s="32">
        <f>IF($F810="","",IF(IFERROR(VLOOKUP($F810,'维度字典'!$I$2:$J$50,2,0),"求和")="手工录入","",IF(IFERROR(VLOOKUP($F810,'维度字典'!$I$2:$J$50,2,0),"求和")="最新值",IFERROR(LOOKUP(9.99E+307,G810:R810),""),SUM(G810:R810))))</f>
        <v/>
      </c>
      <c r="T810" s="33" t="n"/>
      <c r="U810" s="33" t="n"/>
    </row>
    <row r="811">
      <c r="A811" s="26">
        <f>IF($B811="","",ROW()-3)</f>
        <v/>
      </c>
      <c r="B811" s="27" t="n"/>
      <c r="C811" s="27" t="n"/>
      <c r="D811" s="28" t="n"/>
      <c r="E811" s="29" t="n"/>
      <c r="F811" s="30" t="n"/>
      <c r="G811" s="31" t="n"/>
      <c r="H811" s="31" t="n"/>
      <c r="I811" s="31" t="n"/>
      <c r="J811" s="31" t="n"/>
      <c r="K811" s="31" t="n"/>
      <c r="L811" s="31" t="n"/>
      <c r="M811" s="31" t="n"/>
      <c r="N811" s="31" t="n"/>
      <c r="O811" s="31" t="n"/>
      <c r="P811" s="31" t="n"/>
      <c r="Q811" s="31" t="n"/>
      <c r="R811" s="31" t="n"/>
      <c r="S811" s="32">
        <f>IF($F811="","",IF(IFERROR(VLOOKUP($F811,'维度字典'!$I$2:$J$50,2,0),"求和")="手工录入","",IF(IFERROR(VLOOKUP($F811,'维度字典'!$I$2:$J$50,2,0),"求和")="最新值",IFERROR(LOOKUP(9.99E+307,G811:R811),""),SUM(G811:R811))))</f>
        <v/>
      </c>
      <c r="T811" s="33" t="n"/>
      <c r="U811" s="33" t="n"/>
    </row>
    <row r="812">
      <c r="A812" s="26">
        <f>IF($B812="","",ROW()-3)</f>
        <v/>
      </c>
      <c r="B812" s="27" t="n"/>
      <c r="C812" s="27" t="n"/>
      <c r="D812" s="28" t="n"/>
      <c r="E812" s="29" t="n"/>
      <c r="F812" s="30" t="n"/>
      <c r="G812" s="31" t="n"/>
      <c r="H812" s="31" t="n"/>
      <c r="I812" s="31" t="n"/>
      <c r="J812" s="31" t="n"/>
      <c r="K812" s="31" t="n"/>
      <c r="L812" s="31" t="n"/>
      <c r="M812" s="31" t="n"/>
      <c r="N812" s="31" t="n"/>
      <c r="O812" s="31" t="n"/>
      <c r="P812" s="31" t="n"/>
      <c r="Q812" s="31" t="n"/>
      <c r="R812" s="31" t="n"/>
      <c r="S812" s="32">
        <f>IF($F812="","",IF(IFERROR(VLOOKUP($F812,'维度字典'!$I$2:$J$50,2,0),"求和")="手工录入","",IF(IFERROR(VLOOKUP($F812,'维度字典'!$I$2:$J$50,2,0),"求和")="最新值",IFERROR(LOOKUP(9.99E+307,G812:R812),""),SUM(G812:R812))))</f>
        <v/>
      </c>
      <c r="T812" s="33" t="n"/>
      <c r="U812" s="33" t="n"/>
    </row>
    <row r="813">
      <c r="A813" s="26">
        <f>IF($B813="","",ROW()-3)</f>
        <v/>
      </c>
      <c r="B813" s="27" t="n"/>
      <c r="C813" s="27" t="n"/>
      <c r="D813" s="28" t="n"/>
      <c r="E813" s="29" t="n"/>
      <c r="F813" s="30" t="n"/>
      <c r="G813" s="31" t="n"/>
      <c r="H813" s="31" t="n"/>
      <c r="I813" s="31" t="n"/>
      <c r="J813" s="31" t="n"/>
      <c r="K813" s="31" t="n"/>
      <c r="L813" s="31" t="n"/>
      <c r="M813" s="31" t="n"/>
      <c r="N813" s="31" t="n"/>
      <c r="O813" s="31" t="n"/>
      <c r="P813" s="31" t="n"/>
      <c r="Q813" s="31" t="n"/>
      <c r="R813" s="31" t="n"/>
      <c r="S813" s="32">
        <f>IF($F813="","",IF(IFERROR(VLOOKUP($F813,'维度字典'!$I$2:$J$50,2,0),"求和")="手工录入","",IF(IFERROR(VLOOKUP($F813,'维度字典'!$I$2:$J$50,2,0),"求和")="最新值",IFERROR(LOOKUP(9.99E+307,G813:R813),""),SUM(G813:R813))))</f>
        <v/>
      </c>
      <c r="T813" s="33" t="n"/>
      <c r="U813" s="33" t="n"/>
    </row>
    <row r="814">
      <c r="A814" s="26">
        <f>IF($B814="","",ROW()-3)</f>
        <v/>
      </c>
      <c r="B814" s="27" t="n"/>
      <c r="C814" s="27" t="n"/>
      <c r="D814" s="28" t="n"/>
      <c r="E814" s="29" t="n"/>
      <c r="F814" s="30" t="n"/>
      <c r="G814" s="31" t="n"/>
      <c r="H814" s="31" t="n"/>
      <c r="I814" s="31" t="n"/>
      <c r="J814" s="31" t="n"/>
      <c r="K814" s="31" t="n"/>
      <c r="L814" s="31" t="n"/>
      <c r="M814" s="31" t="n"/>
      <c r="N814" s="31" t="n"/>
      <c r="O814" s="31" t="n"/>
      <c r="P814" s="31" t="n"/>
      <c r="Q814" s="31" t="n"/>
      <c r="R814" s="31" t="n"/>
      <c r="S814" s="32">
        <f>IF($F814="","",IF(IFERROR(VLOOKUP($F814,'维度字典'!$I$2:$J$50,2,0),"求和")="手工录入","",IF(IFERROR(VLOOKUP($F814,'维度字典'!$I$2:$J$50,2,0),"求和")="最新值",IFERROR(LOOKUP(9.99E+307,G814:R814),""),SUM(G814:R814))))</f>
        <v/>
      </c>
      <c r="T814" s="33" t="n"/>
      <c r="U814" s="33" t="n"/>
    </row>
    <row r="815">
      <c r="A815" s="26">
        <f>IF($B815="","",ROW()-3)</f>
        <v/>
      </c>
      <c r="B815" s="27" t="n"/>
      <c r="C815" s="27" t="n"/>
      <c r="D815" s="28" t="n"/>
      <c r="E815" s="29" t="n"/>
      <c r="F815" s="30" t="n"/>
      <c r="G815" s="31" t="n"/>
      <c r="H815" s="31" t="n"/>
      <c r="I815" s="31" t="n"/>
      <c r="J815" s="31" t="n"/>
      <c r="K815" s="31" t="n"/>
      <c r="L815" s="31" t="n"/>
      <c r="M815" s="31" t="n"/>
      <c r="N815" s="31" t="n"/>
      <c r="O815" s="31" t="n"/>
      <c r="P815" s="31" t="n"/>
      <c r="Q815" s="31" t="n"/>
      <c r="R815" s="31" t="n"/>
      <c r="S815" s="32">
        <f>IF($F815="","",IF(IFERROR(VLOOKUP($F815,'维度字典'!$I$2:$J$50,2,0),"求和")="手工录入","",IF(IFERROR(VLOOKUP($F815,'维度字典'!$I$2:$J$50,2,0),"求和")="最新值",IFERROR(LOOKUP(9.99E+307,G815:R815),""),SUM(G815:R815))))</f>
        <v/>
      </c>
      <c r="T815" s="33" t="n"/>
      <c r="U815" s="33" t="n"/>
    </row>
    <row r="816">
      <c r="A816" s="26">
        <f>IF($B816="","",ROW()-3)</f>
        <v/>
      </c>
      <c r="B816" s="27" t="n"/>
      <c r="C816" s="27" t="n"/>
      <c r="D816" s="28" t="n"/>
      <c r="E816" s="29" t="n"/>
      <c r="F816" s="30" t="n"/>
      <c r="G816" s="31" t="n"/>
      <c r="H816" s="31" t="n"/>
      <c r="I816" s="31" t="n"/>
      <c r="J816" s="31" t="n"/>
      <c r="K816" s="31" t="n"/>
      <c r="L816" s="31" t="n"/>
      <c r="M816" s="31" t="n"/>
      <c r="N816" s="31" t="n"/>
      <c r="O816" s="31" t="n"/>
      <c r="P816" s="31" t="n"/>
      <c r="Q816" s="31" t="n"/>
      <c r="R816" s="31" t="n"/>
      <c r="S816" s="32">
        <f>IF($F816="","",IF(IFERROR(VLOOKUP($F816,'维度字典'!$I$2:$J$50,2,0),"求和")="手工录入","",IF(IFERROR(VLOOKUP($F816,'维度字典'!$I$2:$J$50,2,0),"求和")="最新值",IFERROR(LOOKUP(9.99E+307,G816:R816),""),SUM(G816:R816))))</f>
        <v/>
      </c>
      <c r="T816" s="33" t="n"/>
      <c r="U816" s="33" t="n"/>
    </row>
    <row r="817">
      <c r="A817" s="26">
        <f>IF($B817="","",ROW()-3)</f>
        <v/>
      </c>
      <c r="B817" s="27" t="n"/>
      <c r="C817" s="27" t="n"/>
      <c r="D817" s="28" t="n"/>
      <c r="E817" s="29" t="n"/>
      <c r="F817" s="30" t="n"/>
      <c r="G817" s="31" t="n"/>
      <c r="H817" s="31" t="n"/>
      <c r="I817" s="31" t="n"/>
      <c r="J817" s="31" t="n"/>
      <c r="K817" s="31" t="n"/>
      <c r="L817" s="31" t="n"/>
      <c r="M817" s="31" t="n"/>
      <c r="N817" s="31" t="n"/>
      <c r="O817" s="31" t="n"/>
      <c r="P817" s="31" t="n"/>
      <c r="Q817" s="31" t="n"/>
      <c r="R817" s="31" t="n"/>
      <c r="S817" s="32">
        <f>IF($F817="","",IF(IFERROR(VLOOKUP($F817,'维度字典'!$I$2:$J$50,2,0),"求和")="手工录入","",IF(IFERROR(VLOOKUP($F817,'维度字典'!$I$2:$J$50,2,0),"求和")="最新值",IFERROR(LOOKUP(9.99E+307,G817:R817),""),SUM(G817:R817))))</f>
        <v/>
      </c>
      <c r="T817" s="33" t="n"/>
      <c r="U817" s="33" t="n"/>
    </row>
    <row r="818">
      <c r="A818" s="26">
        <f>IF($B818="","",ROW()-3)</f>
        <v/>
      </c>
      <c r="B818" s="27" t="n"/>
      <c r="C818" s="27" t="n"/>
      <c r="D818" s="28" t="n"/>
      <c r="E818" s="29" t="n"/>
      <c r="F818" s="30" t="n"/>
      <c r="G818" s="31" t="n"/>
      <c r="H818" s="31" t="n"/>
      <c r="I818" s="31" t="n"/>
      <c r="J818" s="31" t="n"/>
      <c r="K818" s="31" t="n"/>
      <c r="L818" s="31" t="n"/>
      <c r="M818" s="31" t="n"/>
      <c r="N818" s="31" t="n"/>
      <c r="O818" s="31" t="n"/>
      <c r="P818" s="31" t="n"/>
      <c r="Q818" s="31" t="n"/>
      <c r="R818" s="31" t="n"/>
      <c r="S818" s="32">
        <f>IF($F818="","",IF(IFERROR(VLOOKUP($F818,'维度字典'!$I$2:$J$50,2,0),"求和")="手工录入","",IF(IFERROR(VLOOKUP($F818,'维度字典'!$I$2:$J$50,2,0),"求和")="最新值",IFERROR(LOOKUP(9.99E+307,G818:R818),""),SUM(G818:R818))))</f>
        <v/>
      </c>
      <c r="T818" s="33" t="n"/>
      <c r="U818" s="33" t="n"/>
    </row>
    <row r="819">
      <c r="A819" s="26">
        <f>IF($B819="","",ROW()-3)</f>
        <v/>
      </c>
      <c r="B819" s="27" t="n"/>
      <c r="C819" s="27" t="n"/>
      <c r="D819" s="28" t="n"/>
      <c r="E819" s="29" t="n"/>
      <c r="F819" s="30" t="n"/>
      <c r="G819" s="31" t="n"/>
      <c r="H819" s="31" t="n"/>
      <c r="I819" s="31" t="n"/>
      <c r="J819" s="31" t="n"/>
      <c r="K819" s="31" t="n"/>
      <c r="L819" s="31" t="n"/>
      <c r="M819" s="31" t="n"/>
      <c r="N819" s="31" t="n"/>
      <c r="O819" s="31" t="n"/>
      <c r="P819" s="31" t="n"/>
      <c r="Q819" s="31" t="n"/>
      <c r="R819" s="31" t="n"/>
      <c r="S819" s="32">
        <f>IF($F819="","",IF(IFERROR(VLOOKUP($F819,'维度字典'!$I$2:$J$50,2,0),"求和")="手工录入","",IF(IFERROR(VLOOKUP($F819,'维度字典'!$I$2:$J$50,2,0),"求和")="最新值",IFERROR(LOOKUP(9.99E+307,G819:R819),""),SUM(G819:R819))))</f>
        <v/>
      </c>
      <c r="T819" s="33" t="n"/>
      <c r="U819" s="33" t="n"/>
    </row>
    <row r="820">
      <c r="A820" s="26">
        <f>IF($B820="","",ROW()-3)</f>
        <v/>
      </c>
      <c r="B820" s="27" t="n"/>
      <c r="C820" s="27" t="n"/>
      <c r="D820" s="28" t="n"/>
      <c r="E820" s="29" t="n"/>
      <c r="F820" s="30" t="n"/>
      <c r="G820" s="31" t="n"/>
      <c r="H820" s="31" t="n"/>
      <c r="I820" s="31" t="n"/>
      <c r="J820" s="31" t="n"/>
      <c r="K820" s="31" t="n"/>
      <c r="L820" s="31" t="n"/>
      <c r="M820" s="31" t="n"/>
      <c r="N820" s="31" t="n"/>
      <c r="O820" s="31" t="n"/>
      <c r="P820" s="31" t="n"/>
      <c r="Q820" s="31" t="n"/>
      <c r="R820" s="31" t="n"/>
      <c r="S820" s="32">
        <f>IF($F820="","",IF(IFERROR(VLOOKUP($F820,'维度字典'!$I$2:$J$50,2,0),"求和")="手工录入","",IF(IFERROR(VLOOKUP($F820,'维度字典'!$I$2:$J$50,2,0),"求和")="最新值",IFERROR(LOOKUP(9.99E+307,G820:R820),""),SUM(G820:R820))))</f>
        <v/>
      </c>
      <c r="T820" s="33" t="n"/>
      <c r="U820" s="33" t="n"/>
    </row>
    <row r="821">
      <c r="A821" s="26">
        <f>IF($B821="","",ROW()-3)</f>
        <v/>
      </c>
      <c r="B821" s="27" t="n"/>
      <c r="C821" s="27" t="n"/>
      <c r="D821" s="28" t="n"/>
      <c r="E821" s="29" t="n"/>
      <c r="F821" s="30" t="n"/>
      <c r="G821" s="31" t="n"/>
      <c r="H821" s="31" t="n"/>
      <c r="I821" s="31" t="n"/>
      <c r="J821" s="31" t="n"/>
      <c r="K821" s="31" t="n"/>
      <c r="L821" s="31" t="n"/>
      <c r="M821" s="31" t="n"/>
      <c r="N821" s="31" t="n"/>
      <c r="O821" s="31" t="n"/>
      <c r="P821" s="31" t="n"/>
      <c r="Q821" s="31" t="n"/>
      <c r="R821" s="31" t="n"/>
      <c r="S821" s="32">
        <f>IF($F821="","",IF(IFERROR(VLOOKUP($F821,'维度字典'!$I$2:$J$50,2,0),"求和")="手工录入","",IF(IFERROR(VLOOKUP($F821,'维度字典'!$I$2:$J$50,2,0),"求和")="最新值",IFERROR(LOOKUP(9.99E+307,G821:R821),""),SUM(G821:R821))))</f>
        <v/>
      </c>
      <c r="T821" s="33" t="n"/>
      <c r="U821" s="33" t="n"/>
    </row>
    <row r="822">
      <c r="A822" s="26">
        <f>IF($B822="","",ROW()-3)</f>
        <v/>
      </c>
      <c r="B822" s="27" t="n"/>
      <c r="C822" s="27" t="n"/>
      <c r="D822" s="28" t="n"/>
      <c r="E822" s="29" t="n"/>
      <c r="F822" s="30" t="n"/>
      <c r="G822" s="31" t="n"/>
      <c r="H822" s="31" t="n"/>
      <c r="I822" s="31" t="n"/>
      <c r="J822" s="31" t="n"/>
      <c r="K822" s="31" t="n"/>
      <c r="L822" s="31" t="n"/>
      <c r="M822" s="31" t="n"/>
      <c r="N822" s="31" t="n"/>
      <c r="O822" s="31" t="n"/>
      <c r="P822" s="31" t="n"/>
      <c r="Q822" s="31" t="n"/>
      <c r="R822" s="31" t="n"/>
      <c r="S822" s="32">
        <f>IF($F822="","",IF(IFERROR(VLOOKUP($F822,'维度字典'!$I$2:$J$50,2,0),"求和")="手工录入","",IF(IFERROR(VLOOKUP($F822,'维度字典'!$I$2:$J$50,2,0),"求和")="最新值",IFERROR(LOOKUP(9.99E+307,G822:R822),""),SUM(G822:R822))))</f>
        <v/>
      </c>
      <c r="T822" s="33" t="n"/>
      <c r="U822" s="33" t="n"/>
    </row>
    <row r="823">
      <c r="A823" s="26">
        <f>IF($B823="","",ROW()-3)</f>
        <v/>
      </c>
      <c r="B823" s="27" t="n"/>
      <c r="C823" s="27" t="n"/>
      <c r="D823" s="28" t="n"/>
      <c r="E823" s="29" t="n"/>
      <c r="F823" s="30" t="n"/>
      <c r="G823" s="31" t="n"/>
      <c r="H823" s="31" t="n"/>
      <c r="I823" s="31" t="n"/>
      <c r="J823" s="31" t="n"/>
      <c r="K823" s="31" t="n"/>
      <c r="L823" s="31" t="n"/>
      <c r="M823" s="31" t="n"/>
      <c r="N823" s="31" t="n"/>
      <c r="O823" s="31" t="n"/>
      <c r="P823" s="31" t="n"/>
      <c r="Q823" s="31" t="n"/>
      <c r="R823" s="31" t="n"/>
      <c r="S823" s="32">
        <f>IF($F823="","",IF(IFERROR(VLOOKUP($F823,'维度字典'!$I$2:$J$50,2,0),"求和")="手工录入","",IF(IFERROR(VLOOKUP($F823,'维度字典'!$I$2:$J$50,2,0),"求和")="最新值",IFERROR(LOOKUP(9.99E+307,G823:R823),""),SUM(G823:R823))))</f>
        <v/>
      </c>
      <c r="T823" s="33" t="n"/>
      <c r="U823" s="33" t="n"/>
    </row>
    <row r="824">
      <c r="A824" s="26">
        <f>IF($B824="","",ROW()-3)</f>
        <v/>
      </c>
      <c r="B824" s="27" t="n"/>
      <c r="C824" s="27" t="n"/>
      <c r="D824" s="28" t="n"/>
      <c r="E824" s="29" t="n"/>
      <c r="F824" s="30" t="n"/>
      <c r="G824" s="31" t="n"/>
      <c r="H824" s="31" t="n"/>
      <c r="I824" s="31" t="n"/>
      <c r="J824" s="31" t="n"/>
      <c r="K824" s="31" t="n"/>
      <c r="L824" s="31" t="n"/>
      <c r="M824" s="31" t="n"/>
      <c r="N824" s="31" t="n"/>
      <c r="O824" s="31" t="n"/>
      <c r="P824" s="31" t="n"/>
      <c r="Q824" s="31" t="n"/>
      <c r="R824" s="31" t="n"/>
      <c r="S824" s="32">
        <f>IF($F824="","",IF(IFERROR(VLOOKUP($F824,'维度字典'!$I$2:$J$50,2,0),"求和")="手工录入","",IF(IFERROR(VLOOKUP($F824,'维度字典'!$I$2:$J$50,2,0),"求和")="最新值",IFERROR(LOOKUP(9.99E+307,G824:R824),""),SUM(G824:R824))))</f>
        <v/>
      </c>
      <c r="T824" s="33" t="n"/>
      <c r="U824" s="33" t="n"/>
    </row>
    <row r="825">
      <c r="A825" s="26">
        <f>IF($B825="","",ROW()-3)</f>
        <v/>
      </c>
      <c r="B825" s="27" t="n"/>
      <c r="C825" s="27" t="n"/>
      <c r="D825" s="28" t="n"/>
      <c r="E825" s="29" t="n"/>
      <c r="F825" s="30" t="n"/>
      <c r="G825" s="31" t="n"/>
      <c r="H825" s="31" t="n"/>
      <c r="I825" s="31" t="n"/>
      <c r="J825" s="31" t="n"/>
      <c r="K825" s="31" t="n"/>
      <c r="L825" s="31" t="n"/>
      <c r="M825" s="31" t="n"/>
      <c r="N825" s="31" t="n"/>
      <c r="O825" s="31" t="n"/>
      <c r="P825" s="31" t="n"/>
      <c r="Q825" s="31" t="n"/>
      <c r="R825" s="31" t="n"/>
      <c r="S825" s="32">
        <f>IF($F825="","",IF(IFERROR(VLOOKUP($F825,'维度字典'!$I$2:$J$50,2,0),"求和")="手工录入","",IF(IFERROR(VLOOKUP($F825,'维度字典'!$I$2:$J$50,2,0),"求和")="最新值",IFERROR(LOOKUP(9.99E+307,G825:R825),""),SUM(G825:R825))))</f>
        <v/>
      </c>
      <c r="T825" s="33" t="n"/>
      <c r="U825" s="33" t="n"/>
    </row>
    <row r="826">
      <c r="A826" s="26">
        <f>IF($B826="","",ROW()-3)</f>
        <v/>
      </c>
      <c r="B826" s="27" t="n"/>
      <c r="C826" s="27" t="n"/>
      <c r="D826" s="28" t="n"/>
      <c r="E826" s="29" t="n"/>
      <c r="F826" s="30" t="n"/>
      <c r="G826" s="31" t="n"/>
      <c r="H826" s="31" t="n"/>
      <c r="I826" s="31" t="n"/>
      <c r="J826" s="31" t="n"/>
      <c r="K826" s="31" t="n"/>
      <c r="L826" s="31" t="n"/>
      <c r="M826" s="31" t="n"/>
      <c r="N826" s="31" t="n"/>
      <c r="O826" s="31" t="n"/>
      <c r="P826" s="31" t="n"/>
      <c r="Q826" s="31" t="n"/>
      <c r="R826" s="31" t="n"/>
      <c r="S826" s="32">
        <f>IF($F826="","",IF(IFERROR(VLOOKUP($F826,'维度字典'!$I$2:$J$50,2,0),"求和")="手工录入","",IF(IFERROR(VLOOKUP($F826,'维度字典'!$I$2:$J$50,2,0),"求和")="最新值",IFERROR(LOOKUP(9.99E+307,G826:R826),""),SUM(G826:R826))))</f>
        <v/>
      </c>
      <c r="T826" s="33" t="n"/>
      <c r="U826" s="33" t="n"/>
    </row>
    <row r="827">
      <c r="A827" s="26">
        <f>IF($B827="","",ROW()-3)</f>
        <v/>
      </c>
      <c r="B827" s="27" t="n"/>
      <c r="C827" s="27" t="n"/>
      <c r="D827" s="28" t="n"/>
      <c r="E827" s="29" t="n"/>
      <c r="F827" s="30" t="n"/>
      <c r="G827" s="31" t="n"/>
      <c r="H827" s="31" t="n"/>
      <c r="I827" s="31" t="n"/>
      <c r="J827" s="31" t="n"/>
      <c r="K827" s="31" t="n"/>
      <c r="L827" s="31" t="n"/>
      <c r="M827" s="31" t="n"/>
      <c r="N827" s="31" t="n"/>
      <c r="O827" s="31" t="n"/>
      <c r="P827" s="31" t="n"/>
      <c r="Q827" s="31" t="n"/>
      <c r="R827" s="31" t="n"/>
      <c r="S827" s="32">
        <f>IF($F827="","",IF(IFERROR(VLOOKUP($F827,'维度字典'!$I$2:$J$50,2,0),"求和")="手工录入","",IF(IFERROR(VLOOKUP($F827,'维度字典'!$I$2:$J$50,2,0),"求和")="最新值",IFERROR(LOOKUP(9.99E+307,G827:R827),""),SUM(G827:R827))))</f>
        <v/>
      </c>
      <c r="T827" s="33" t="n"/>
      <c r="U827" s="33" t="n"/>
    </row>
    <row r="828">
      <c r="A828" s="26">
        <f>IF($B828="","",ROW()-3)</f>
        <v/>
      </c>
      <c r="B828" s="27" t="n"/>
      <c r="C828" s="27" t="n"/>
      <c r="D828" s="28" t="n"/>
      <c r="E828" s="29" t="n"/>
      <c r="F828" s="30" t="n"/>
      <c r="G828" s="31" t="n"/>
      <c r="H828" s="31" t="n"/>
      <c r="I828" s="31" t="n"/>
      <c r="J828" s="31" t="n"/>
      <c r="K828" s="31" t="n"/>
      <c r="L828" s="31" t="n"/>
      <c r="M828" s="31" t="n"/>
      <c r="N828" s="31" t="n"/>
      <c r="O828" s="31" t="n"/>
      <c r="P828" s="31" t="n"/>
      <c r="Q828" s="31" t="n"/>
      <c r="R828" s="31" t="n"/>
      <c r="S828" s="32">
        <f>IF($F828="","",IF(IFERROR(VLOOKUP($F828,'维度字典'!$I$2:$J$50,2,0),"求和")="手工录入","",IF(IFERROR(VLOOKUP($F828,'维度字典'!$I$2:$J$50,2,0),"求和")="最新值",IFERROR(LOOKUP(9.99E+307,G828:R828),""),SUM(G828:R828))))</f>
        <v/>
      </c>
      <c r="T828" s="33" t="n"/>
      <c r="U828" s="33" t="n"/>
    </row>
    <row r="829">
      <c r="A829" s="26">
        <f>IF($B829="","",ROW()-3)</f>
        <v/>
      </c>
      <c r="B829" s="27" t="n"/>
      <c r="C829" s="27" t="n"/>
      <c r="D829" s="28" t="n"/>
      <c r="E829" s="29" t="n"/>
      <c r="F829" s="30" t="n"/>
      <c r="G829" s="31" t="n"/>
      <c r="H829" s="31" t="n"/>
      <c r="I829" s="31" t="n"/>
      <c r="J829" s="31" t="n"/>
      <c r="K829" s="31" t="n"/>
      <c r="L829" s="31" t="n"/>
      <c r="M829" s="31" t="n"/>
      <c r="N829" s="31" t="n"/>
      <c r="O829" s="31" t="n"/>
      <c r="P829" s="31" t="n"/>
      <c r="Q829" s="31" t="n"/>
      <c r="R829" s="31" t="n"/>
      <c r="S829" s="32">
        <f>IF($F829="","",IF(IFERROR(VLOOKUP($F829,'维度字典'!$I$2:$J$50,2,0),"求和")="手工录入","",IF(IFERROR(VLOOKUP($F829,'维度字典'!$I$2:$J$50,2,0),"求和")="最新值",IFERROR(LOOKUP(9.99E+307,G829:R829),""),SUM(G829:R829))))</f>
        <v/>
      </c>
      <c r="T829" s="33" t="n"/>
      <c r="U829" s="33" t="n"/>
    </row>
    <row r="830">
      <c r="A830" s="26">
        <f>IF($B830="","",ROW()-3)</f>
        <v/>
      </c>
      <c r="B830" s="27" t="n"/>
      <c r="C830" s="27" t="n"/>
      <c r="D830" s="28" t="n"/>
      <c r="E830" s="29" t="n"/>
      <c r="F830" s="30" t="n"/>
      <c r="G830" s="31" t="n"/>
      <c r="H830" s="31" t="n"/>
      <c r="I830" s="31" t="n"/>
      <c r="J830" s="31" t="n"/>
      <c r="K830" s="31" t="n"/>
      <c r="L830" s="31" t="n"/>
      <c r="M830" s="31" t="n"/>
      <c r="N830" s="31" t="n"/>
      <c r="O830" s="31" t="n"/>
      <c r="P830" s="31" t="n"/>
      <c r="Q830" s="31" t="n"/>
      <c r="R830" s="31" t="n"/>
      <c r="S830" s="32">
        <f>IF($F830="","",IF(IFERROR(VLOOKUP($F830,'维度字典'!$I$2:$J$50,2,0),"求和")="手工录入","",IF(IFERROR(VLOOKUP($F830,'维度字典'!$I$2:$J$50,2,0),"求和")="最新值",IFERROR(LOOKUP(9.99E+307,G830:R830),""),SUM(G830:R830))))</f>
        <v/>
      </c>
      <c r="T830" s="33" t="n"/>
      <c r="U830" s="33" t="n"/>
    </row>
    <row r="831">
      <c r="A831" s="26">
        <f>IF($B831="","",ROW()-3)</f>
        <v/>
      </c>
      <c r="B831" s="27" t="n"/>
      <c r="C831" s="27" t="n"/>
      <c r="D831" s="28" t="n"/>
      <c r="E831" s="29" t="n"/>
      <c r="F831" s="30" t="n"/>
      <c r="G831" s="31" t="n"/>
      <c r="H831" s="31" t="n"/>
      <c r="I831" s="31" t="n"/>
      <c r="J831" s="31" t="n"/>
      <c r="K831" s="31" t="n"/>
      <c r="L831" s="31" t="n"/>
      <c r="M831" s="31" t="n"/>
      <c r="N831" s="31" t="n"/>
      <c r="O831" s="31" t="n"/>
      <c r="P831" s="31" t="n"/>
      <c r="Q831" s="31" t="n"/>
      <c r="R831" s="31" t="n"/>
      <c r="S831" s="32">
        <f>IF($F831="","",IF(IFERROR(VLOOKUP($F831,'维度字典'!$I$2:$J$50,2,0),"求和")="手工录入","",IF(IFERROR(VLOOKUP($F831,'维度字典'!$I$2:$J$50,2,0),"求和")="最新值",IFERROR(LOOKUP(9.99E+307,G831:R831),""),SUM(G831:R831))))</f>
        <v/>
      </c>
      <c r="T831" s="33" t="n"/>
      <c r="U831" s="33" t="n"/>
    </row>
    <row r="832">
      <c r="A832" s="26">
        <f>IF($B832="","",ROW()-3)</f>
        <v/>
      </c>
      <c r="B832" s="27" t="n"/>
      <c r="C832" s="27" t="n"/>
      <c r="D832" s="28" t="n"/>
      <c r="E832" s="29" t="n"/>
      <c r="F832" s="30" t="n"/>
      <c r="G832" s="31" t="n"/>
      <c r="H832" s="31" t="n"/>
      <c r="I832" s="31" t="n"/>
      <c r="J832" s="31" t="n"/>
      <c r="K832" s="31" t="n"/>
      <c r="L832" s="31" t="n"/>
      <c r="M832" s="31" t="n"/>
      <c r="N832" s="31" t="n"/>
      <c r="O832" s="31" t="n"/>
      <c r="P832" s="31" t="n"/>
      <c r="Q832" s="31" t="n"/>
      <c r="R832" s="31" t="n"/>
      <c r="S832" s="32">
        <f>IF($F832="","",IF(IFERROR(VLOOKUP($F832,'维度字典'!$I$2:$J$50,2,0),"求和")="手工录入","",IF(IFERROR(VLOOKUP($F832,'维度字典'!$I$2:$J$50,2,0),"求和")="最新值",IFERROR(LOOKUP(9.99E+307,G832:R832),""),SUM(G832:R832))))</f>
        <v/>
      </c>
      <c r="T832" s="33" t="n"/>
      <c r="U832" s="33" t="n"/>
    </row>
    <row r="833">
      <c r="A833" s="26">
        <f>IF($B833="","",ROW()-3)</f>
        <v/>
      </c>
      <c r="B833" s="27" t="n"/>
      <c r="C833" s="27" t="n"/>
      <c r="D833" s="28" t="n"/>
      <c r="E833" s="29" t="n"/>
      <c r="F833" s="30" t="n"/>
      <c r="G833" s="31" t="n"/>
      <c r="H833" s="31" t="n"/>
      <c r="I833" s="31" t="n"/>
      <c r="J833" s="31" t="n"/>
      <c r="K833" s="31" t="n"/>
      <c r="L833" s="31" t="n"/>
      <c r="M833" s="31" t="n"/>
      <c r="N833" s="31" t="n"/>
      <c r="O833" s="31" t="n"/>
      <c r="P833" s="31" t="n"/>
      <c r="Q833" s="31" t="n"/>
      <c r="R833" s="31" t="n"/>
      <c r="S833" s="32">
        <f>IF($F833="","",IF(IFERROR(VLOOKUP($F833,'维度字典'!$I$2:$J$50,2,0),"求和")="手工录入","",IF(IFERROR(VLOOKUP($F833,'维度字典'!$I$2:$J$50,2,0),"求和")="最新值",IFERROR(LOOKUP(9.99E+307,G833:R833),""),SUM(G833:R833))))</f>
        <v/>
      </c>
      <c r="T833" s="33" t="n"/>
      <c r="U833" s="33" t="n"/>
    </row>
    <row r="834">
      <c r="A834" s="26">
        <f>IF($B834="","",ROW()-3)</f>
        <v/>
      </c>
      <c r="B834" s="27" t="n"/>
      <c r="C834" s="27" t="n"/>
      <c r="D834" s="28" t="n"/>
      <c r="E834" s="29" t="n"/>
      <c r="F834" s="30" t="n"/>
      <c r="G834" s="31" t="n"/>
      <c r="H834" s="31" t="n"/>
      <c r="I834" s="31" t="n"/>
      <c r="J834" s="31" t="n"/>
      <c r="K834" s="31" t="n"/>
      <c r="L834" s="31" t="n"/>
      <c r="M834" s="31" t="n"/>
      <c r="N834" s="31" t="n"/>
      <c r="O834" s="31" t="n"/>
      <c r="P834" s="31" t="n"/>
      <c r="Q834" s="31" t="n"/>
      <c r="R834" s="31" t="n"/>
      <c r="S834" s="32">
        <f>IF($F834="","",IF(IFERROR(VLOOKUP($F834,'维度字典'!$I$2:$J$50,2,0),"求和")="手工录入","",IF(IFERROR(VLOOKUP($F834,'维度字典'!$I$2:$J$50,2,0),"求和")="最新值",IFERROR(LOOKUP(9.99E+307,G834:R834),""),SUM(G834:R834))))</f>
        <v/>
      </c>
      <c r="T834" s="33" t="n"/>
      <c r="U834" s="33" t="n"/>
    </row>
    <row r="835">
      <c r="A835" s="26">
        <f>IF($B835="","",ROW()-3)</f>
        <v/>
      </c>
      <c r="B835" s="27" t="n"/>
      <c r="C835" s="27" t="n"/>
      <c r="D835" s="28" t="n"/>
      <c r="E835" s="29" t="n"/>
      <c r="F835" s="30" t="n"/>
      <c r="G835" s="31" t="n"/>
      <c r="H835" s="31" t="n"/>
      <c r="I835" s="31" t="n"/>
      <c r="J835" s="31" t="n"/>
      <c r="K835" s="31" t="n"/>
      <c r="L835" s="31" t="n"/>
      <c r="M835" s="31" t="n"/>
      <c r="N835" s="31" t="n"/>
      <c r="O835" s="31" t="n"/>
      <c r="P835" s="31" t="n"/>
      <c r="Q835" s="31" t="n"/>
      <c r="R835" s="31" t="n"/>
      <c r="S835" s="32">
        <f>IF($F835="","",IF(IFERROR(VLOOKUP($F835,'维度字典'!$I$2:$J$50,2,0),"求和")="手工录入","",IF(IFERROR(VLOOKUP($F835,'维度字典'!$I$2:$J$50,2,0),"求和")="最新值",IFERROR(LOOKUP(9.99E+307,G835:R835),""),SUM(G835:R835))))</f>
        <v/>
      </c>
      <c r="T835" s="33" t="n"/>
      <c r="U835" s="33" t="n"/>
    </row>
    <row r="836">
      <c r="A836" s="26">
        <f>IF($B836="","",ROW()-3)</f>
        <v/>
      </c>
      <c r="B836" s="27" t="n"/>
      <c r="C836" s="27" t="n"/>
      <c r="D836" s="28" t="n"/>
      <c r="E836" s="29" t="n"/>
      <c r="F836" s="30" t="n"/>
      <c r="G836" s="31" t="n"/>
      <c r="H836" s="31" t="n"/>
      <c r="I836" s="31" t="n"/>
      <c r="J836" s="31" t="n"/>
      <c r="K836" s="31" t="n"/>
      <c r="L836" s="31" t="n"/>
      <c r="M836" s="31" t="n"/>
      <c r="N836" s="31" t="n"/>
      <c r="O836" s="31" t="n"/>
      <c r="P836" s="31" t="n"/>
      <c r="Q836" s="31" t="n"/>
      <c r="R836" s="31" t="n"/>
      <c r="S836" s="32">
        <f>IF($F836="","",IF(IFERROR(VLOOKUP($F836,'维度字典'!$I$2:$J$50,2,0),"求和")="手工录入","",IF(IFERROR(VLOOKUP($F836,'维度字典'!$I$2:$J$50,2,0),"求和")="最新值",IFERROR(LOOKUP(9.99E+307,G836:R836),""),SUM(G836:R836))))</f>
        <v/>
      </c>
      <c r="T836" s="33" t="n"/>
      <c r="U836" s="33" t="n"/>
    </row>
    <row r="837">
      <c r="A837" s="26">
        <f>IF($B837="","",ROW()-3)</f>
        <v/>
      </c>
      <c r="B837" s="27" t="n"/>
      <c r="C837" s="27" t="n"/>
      <c r="D837" s="28" t="n"/>
      <c r="E837" s="29" t="n"/>
      <c r="F837" s="30" t="n"/>
      <c r="G837" s="31" t="n"/>
      <c r="H837" s="31" t="n"/>
      <c r="I837" s="31" t="n"/>
      <c r="J837" s="31" t="n"/>
      <c r="K837" s="31" t="n"/>
      <c r="L837" s="31" t="n"/>
      <c r="M837" s="31" t="n"/>
      <c r="N837" s="31" t="n"/>
      <c r="O837" s="31" t="n"/>
      <c r="P837" s="31" t="n"/>
      <c r="Q837" s="31" t="n"/>
      <c r="R837" s="31" t="n"/>
      <c r="S837" s="32">
        <f>IF($F837="","",IF(IFERROR(VLOOKUP($F837,'维度字典'!$I$2:$J$50,2,0),"求和")="手工录入","",IF(IFERROR(VLOOKUP($F837,'维度字典'!$I$2:$J$50,2,0),"求和")="最新值",IFERROR(LOOKUP(9.99E+307,G837:R837),""),SUM(G837:R837))))</f>
        <v/>
      </c>
      <c r="T837" s="33" t="n"/>
      <c r="U837" s="33" t="n"/>
    </row>
    <row r="838">
      <c r="A838" s="26">
        <f>IF($B838="","",ROW()-3)</f>
        <v/>
      </c>
      <c r="B838" s="27" t="n"/>
      <c r="C838" s="27" t="n"/>
      <c r="D838" s="28" t="n"/>
      <c r="E838" s="29" t="n"/>
      <c r="F838" s="30" t="n"/>
      <c r="G838" s="31" t="n"/>
      <c r="H838" s="31" t="n"/>
      <c r="I838" s="31" t="n"/>
      <c r="J838" s="31" t="n"/>
      <c r="K838" s="31" t="n"/>
      <c r="L838" s="31" t="n"/>
      <c r="M838" s="31" t="n"/>
      <c r="N838" s="31" t="n"/>
      <c r="O838" s="31" t="n"/>
      <c r="P838" s="31" t="n"/>
      <c r="Q838" s="31" t="n"/>
      <c r="R838" s="31" t="n"/>
      <c r="S838" s="32">
        <f>IF($F838="","",IF(IFERROR(VLOOKUP($F838,'维度字典'!$I$2:$J$50,2,0),"求和")="手工录入","",IF(IFERROR(VLOOKUP($F838,'维度字典'!$I$2:$J$50,2,0),"求和")="最新值",IFERROR(LOOKUP(9.99E+307,G838:R838),""),SUM(G838:R838))))</f>
        <v/>
      </c>
      <c r="T838" s="33" t="n"/>
      <c r="U838" s="33" t="n"/>
    </row>
    <row r="839">
      <c r="A839" s="26">
        <f>IF($B839="","",ROW()-3)</f>
        <v/>
      </c>
      <c r="B839" s="27" t="n"/>
      <c r="C839" s="27" t="n"/>
      <c r="D839" s="28" t="n"/>
      <c r="E839" s="29" t="n"/>
      <c r="F839" s="30" t="n"/>
      <c r="G839" s="31" t="n"/>
      <c r="H839" s="31" t="n"/>
      <c r="I839" s="31" t="n"/>
      <c r="J839" s="31" t="n"/>
      <c r="K839" s="31" t="n"/>
      <c r="L839" s="31" t="n"/>
      <c r="M839" s="31" t="n"/>
      <c r="N839" s="31" t="n"/>
      <c r="O839" s="31" t="n"/>
      <c r="P839" s="31" t="n"/>
      <c r="Q839" s="31" t="n"/>
      <c r="R839" s="31" t="n"/>
      <c r="S839" s="32">
        <f>IF($F839="","",IF(IFERROR(VLOOKUP($F839,'维度字典'!$I$2:$J$50,2,0),"求和")="手工录入","",IF(IFERROR(VLOOKUP($F839,'维度字典'!$I$2:$J$50,2,0),"求和")="最新值",IFERROR(LOOKUP(9.99E+307,G839:R839),""),SUM(G839:R839))))</f>
        <v/>
      </c>
      <c r="T839" s="33" t="n"/>
      <c r="U839" s="33" t="n"/>
    </row>
    <row r="840">
      <c r="A840" s="26">
        <f>IF($B840="","",ROW()-3)</f>
        <v/>
      </c>
      <c r="B840" s="27" t="n"/>
      <c r="C840" s="27" t="n"/>
      <c r="D840" s="28" t="n"/>
      <c r="E840" s="29" t="n"/>
      <c r="F840" s="30" t="n"/>
      <c r="G840" s="31" t="n"/>
      <c r="H840" s="31" t="n"/>
      <c r="I840" s="31" t="n"/>
      <c r="J840" s="31" t="n"/>
      <c r="K840" s="31" t="n"/>
      <c r="L840" s="31" t="n"/>
      <c r="M840" s="31" t="n"/>
      <c r="N840" s="31" t="n"/>
      <c r="O840" s="31" t="n"/>
      <c r="P840" s="31" t="n"/>
      <c r="Q840" s="31" t="n"/>
      <c r="R840" s="31" t="n"/>
      <c r="S840" s="32">
        <f>IF($F840="","",IF(IFERROR(VLOOKUP($F840,'维度字典'!$I$2:$J$50,2,0),"求和")="手工录入","",IF(IFERROR(VLOOKUP($F840,'维度字典'!$I$2:$J$50,2,0),"求和")="最新值",IFERROR(LOOKUP(9.99E+307,G840:R840),""),SUM(G840:R840))))</f>
        <v/>
      </c>
      <c r="T840" s="33" t="n"/>
      <c r="U840" s="33" t="n"/>
    </row>
    <row r="841">
      <c r="A841" s="26">
        <f>IF($B841="","",ROW()-3)</f>
        <v/>
      </c>
      <c r="B841" s="27" t="n"/>
      <c r="C841" s="27" t="n"/>
      <c r="D841" s="28" t="n"/>
      <c r="E841" s="29" t="n"/>
      <c r="F841" s="30" t="n"/>
      <c r="G841" s="31" t="n"/>
      <c r="H841" s="31" t="n"/>
      <c r="I841" s="31" t="n"/>
      <c r="J841" s="31" t="n"/>
      <c r="K841" s="31" t="n"/>
      <c r="L841" s="31" t="n"/>
      <c r="M841" s="31" t="n"/>
      <c r="N841" s="31" t="n"/>
      <c r="O841" s="31" t="n"/>
      <c r="P841" s="31" t="n"/>
      <c r="Q841" s="31" t="n"/>
      <c r="R841" s="31" t="n"/>
      <c r="S841" s="32">
        <f>IF($F841="","",IF(IFERROR(VLOOKUP($F841,'维度字典'!$I$2:$J$50,2,0),"求和")="手工录入","",IF(IFERROR(VLOOKUP($F841,'维度字典'!$I$2:$J$50,2,0),"求和")="最新值",IFERROR(LOOKUP(9.99E+307,G841:R841),""),SUM(G841:R841))))</f>
        <v/>
      </c>
      <c r="T841" s="33" t="n"/>
      <c r="U841" s="33" t="n"/>
    </row>
    <row r="842">
      <c r="A842" s="26">
        <f>IF($B842="","",ROW()-3)</f>
        <v/>
      </c>
      <c r="B842" s="27" t="n"/>
      <c r="C842" s="27" t="n"/>
      <c r="D842" s="28" t="n"/>
      <c r="E842" s="29" t="n"/>
      <c r="F842" s="30" t="n"/>
      <c r="G842" s="31" t="n"/>
      <c r="H842" s="31" t="n"/>
      <c r="I842" s="31" t="n"/>
      <c r="J842" s="31" t="n"/>
      <c r="K842" s="31" t="n"/>
      <c r="L842" s="31" t="n"/>
      <c r="M842" s="31" t="n"/>
      <c r="N842" s="31" t="n"/>
      <c r="O842" s="31" t="n"/>
      <c r="P842" s="31" t="n"/>
      <c r="Q842" s="31" t="n"/>
      <c r="R842" s="31" t="n"/>
      <c r="S842" s="32">
        <f>IF($F842="","",IF(IFERROR(VLOOKUP($F842,'维度字典'!$I$2:$J$50,2,0),"求和")="手工录入","",IF(IFERROR(VLOOKUP($F842,'维度字典'!$I$2:$J$50,2,0),"求和")="最新值",IFERROR(LOOKUP(9.99E+307,G842:R842),""),SUM(G842:R842))))</f>
        <v/>
      </c>
      <c r="T842" s="33" t="n"/>
      <c r="U842" s="33" t="n"/>
    </row>
    <row r="843">
      <c r="A843" s="26">
        <f>IF($B843="","",ROW()-3)</f>
        <v/>
      </c>
      <c r="B843" s="27" t="n"/>
      <c r="C843" s="27" t="n"/>
      <c r="D843" s="28" t="n"/>
      <c r="E843" s="29" t="n"/>
      <c r="F843" s="30" t="n"/>
      <c r="G843" s="31" t="n"/>
      <c r="H843" s="31" t="n"/>
      <c r="I843" s="31" t="n"/>
      <c r="J843" s="31" t="n"/>
      <c r="K843" s="31" t="n"/>
      <c r="L843" s="31" t="n"/>
      <c r="M843" s="31" t="n"/>
      <c r="N843" s="31" t="n"/>
      <c r="O843" s="31" t="n"/>
      <c r="P843" s="31" t="n"/>
      <c r="Q843" s="31" t="n"/>
      <c r="R843" s="31" t="n"/>
      <c r="S843" s="32">
        <f>IF($F843="","",IF(IFERROR(VLOOKUP($F843,'维度字典'!$I$2:$J$50,2,0),"求和")="手工录入","",IF(IFERROR(VLOOKUP($F843,'维度字典'!$I$2:$J$50,2,0),"求和")="最新值",IFERROR(LOOKUP(9.99E+307,G843:R843),""),SUM(G843:R843))))</f>
        <v/>
      </c>
      <c r="T843" s="33" t="n"/>
      <c r="U843" s="33" t="n"/>
    </row>
    <row r="844">
      <c r="A844" s="26">
        <f>IF($B844="","",ROW()-3)</f>
        <v/>
      </c>
      <c r="B844" s="27" t="n"/>
      <c r="C844" s="27" t="n"/>
      <c r="D844" s="28" t="n"/>
      <c r="E844" s="29" t="n"/>
      <c r="F844" s="30" t="n"/>
      <c r="G844" s="31" t="n"/>
      <c r="H844" s="31" t="n"/>
      <c r="I844" s="31" t="n"/>
      <c r="J844" s="31" t="n"/>
      <c r="K844" s="31" t="n"/>
      <c r="L844" s="31" t="n"/>
      <c r="M844" s="31" t="n"/>
      <c r="N844" s="31" t="n"/>
      <c r="O844" s="31" t="n"/>
      <c r="P844" s="31" t="n"/>
      <c r="Q844" s="31" t="n"/>
      <c r="R844" s="31" t="n"/>
      <c r="S844" s="32">
        <f>IF($F844="","",IF(IFERROR(VLOOKUP($F844,'维度字典'!$I$2:$J$50,2,0),"求和")="手工录入","",IF(IFERROR(VLOOKUP($F844,'维度字典'!$I$2:$J$50,2,0),"求和")="最新值",IFERROR(LOOKUP(9.99E+307,G844:R844),""),SUM(G844:R844))))</f>
        <v/>
      </c>
      <c r="T844" s="33" t="n"/>
      <c r="U844" s="33" t="n"/>
    </row>
    <row r="845">
      <c r="A845" s="26">
        <f>IF($B845="","",ROW()-3)</f>
        <v/>
      </c>
      <c r="B845" s="27" t="n"/>
      <c r="C845" s="27" t="n"/>
      <c r="D845" s="28" t="n"/>
      <c r="E845" s="29" t="n"/>
      <c r="F845" s="30" t="n"/>
      <c r="G845" s="31" t="n"/>
      <c r="H845" s="31" t="n"/>
      <c r="I845" s="31" t="n"/>
      <c r="J845" s="31" t="n"/>
      <c r="K845" s="31" t="n"/>
      <c r="L845" s="31" t="n"/>
      <c r="M845" s="31" t="n"/>
      <c r="N845" s="31" t="n"/>
      <c r="O845" s="31" t="n"/>
      <c r="P845" s="31" t="n"/>
      <c r="Q845" s="31" t="n"/>
      <c r="R845" s="31" t="n"/>
      <c r="S845" s="32">
        <f>IF($F845="","",IF(IFERROR(VLOOKUP($F845,'维度字典'!$I$2:$J$50,2,0),"求和")="手工录入","",IF(IFERROR(VLOOKUP($F845,'维度字典'!$I$2:$J$50,2,0),"求和")="最新值",IFERROR(LOOKUP(9.99E+307,G845:R845),""),SUM(G845:R845))))</f>
        <v/>
      </c>
      <c r="T845" s="33" t="n"/>
      <c r="U845" s="33" t="n"/>
    </row>
    <row r="846">
      <c r="A846" s="26">
        <f>IF($B846="","",ROW()-3)</f>
        <v/>
      </c>
      <c r="B846" s="27" t="n"/>
      <c r="C846" s="27" t="n"/>
      <c r="D846" s="28" t="n"/>
      <c r="E846" s="29" t="n"/>
      <c r="F846" s="30" t="n"/>
      <c r="G846" s="31" t="n"/>
      <c r="H846" s="31" t="n"/>
      <c r="I846" s="31" t="n"/>
      <c r="J846" s="31" t="n"/>
      <c r="K846" s="31" t="n"/>
      <c r="L846" s="31" t="n"/>
      <c r="M846" s="31" t="n"/>
      <c r="N846" s="31" t="n"/>
      <c r="O846" s="31" t="n"/>
      <c r="P846" s="31" t="n"/>
      <c r="Q846" s="31" t="n"/>
      <c r="R846" s="31" t="n"/>
      <c r="S846" s="32">
        <f>IF($F846="","",IF(IFERROR(VLOOKUP($F846,'维度字典'!$I$2:$J$50,2,0),"求和")="手工录入","",IF(IFERROR(VLOOKUP($F846,'维度字典'!$I$2:$J$50,2,0),"求和")="最新值",IFERROR(LOOKUP(9.99E+307,G846:R846),""),SUM(G846:R846))))</f>
        <v/>
      </c>
      <c r="T846" s="33" t="n"/>
      <c r="U846" s="33" t="n"/>
    </row>
    <row r="847">
      <c r="A847" s="26">
        <f>IF($B847="","",ROW()-3)</f>
        <v/>
      </c>
      <c r="B847" s="27" t="n"/>
      <c r="C847" s="27" t="n"/>
      <c r="D847" s="28" t="n"/>
      <c r="E847" s="29" t="n"/>
      <c r="F847" s="30" t="n"/>
      <c r="G847" s="31" t="n"/>
      <c r="H847" s="31" t="n"/>
      <c r="I847" s="31" t="n"/>
      <c r="J847" s="31" t="n"/>
      <c r="K847" s="31" t="n"/>
      <c r="L847" s="31" t="n"/>
      <c r="M847" s="31" t="n"/>
      <c r="N847" s="31" t="n"/>
      <c r="O847" s="31" t="n"/>
      <c r="P847" s="31" t="n"/>
      <c r="Q847" s="31" t="n"/>
      <c r="R847" s="31" t="n"/>
      <c r="S847" s="32">
        <f>IF($F847="","",IF(IFERROR(VLOOKUP($F847,'维度字典'!$I$2:$J$50,2,0),"求和")="手工录入","",IF(IFERROR(VLOOKUP($F847,'维度字典'!$I$2:$J$50,2,0),"求和")="最新值",IFERROR(LOOKUP(9.99E+307,G847:R847),""),SUM(G847:R847))))</f>
        <v/>
      </c>
      <c r="T847" s="33" t="n"/>
      <c r="U847" s="33" t="n"/>
    </row>
    <row r="848">
      <c r="A848" s="26">
        <f>IF($B848="","",ROW()-3)</f>
        <v/>
      </c>
      <c r="B848" s="27" t="n"/>
      <c r="C848" s="27" t="n"/>
      <c r="D848" s="28" t="n"/>
      <c r="E848" s="29" t="n"/>
      <c r="F848" s="30" t="n"/>
      <c r="G848" s="31" t="n"/>
      <c r="H848" s="31" t="n"/>
      <c r="I848" s="31" t="n"/>
      <c r="J848" s="31" t="n"/>
      <c r="K848" s="31" t="n"/>
      <c r="L848" s="31" t="n"/>
      <c r="M848" s="31" t="n"/>
      <c r="N848" s="31" t="n"/>
      <c r="O848" s="31" t="n"/>
      <c r="P848" s="31" t="n"/>
      <c r="Q848" s="31" t="n"/>
      <c r="R848" s="31" t="n"/>
      <c r="S848" s="32">
        <f>IF($F848="","",IF(IFERROR(VLOOKUP($F848,'维度字典'!$I$2:$J$50,2,0),"求和")="手工录入","",IF(IFERROR(VLOOKUP($F848,'维度字典'!$I$2:$J$50,2,0),"求和")="最新值",IFERROR(LOOKUP(9.99E+307,G848:R848),""),SUM(G848:R848))))</f>
        <v/>
      </c>
      <c r="T848" s="33" t="n"/>
      <c r="U848" s="33" t="n"/>
    </row>
    <row r="849">
      <c r="A849" s="26">
        <f>IF($B849="","",ROW()-3)</f>
        <v/>
      </c>
      <c r="B849" s="27" t="n"/>
      <c r="C849" s="27" t="n"/>
      <c r="D849" s="28" t="n"/>
      <c r="E849" s="29" t="n"/>
      <c r="F849" s="30" t="n"/>
      <c r="G849" s="31" t="n"/>
      <c r="H849" s="31" t="n"/>
      <c r="I849" s="31" t="n"/>
      <c r="J849" s="31" t="n"/>
      <c r="K849" s="31" t="n"/>
      <c r="L849" s="31" t="n"/>
      <c r="M849" s="31" t="n"/>
      <c r="N849" s="31" t="n"/>
      <c r="O849" s="31" t="n"/>
      <c r="P849" s="31" t="n"/>
      <c r="Q849" s="31" t="n"/>
      <c r="R849" s="31" t="n"/>
      <c r="S849" s="32">
        <f>IF($F849="","",IF(IFERROR(VLOOKUP($F849,'维度字典'!$I$2:$J$50,2,0),"求和")="手工录入","",IF(IFERROR(VLOOKUP($F849,'维度字典'!$I$2:$J$50,2,0),"求和")="最新值",IFERROR(LOOKUP(9.99E+307,G849:R849),""),SUM(G849:R849))))</f>
        <v/>
      </c>
      <c r="T849" s="33" t="n"/>
      <c r="U849" s="33" t="n"/>
    </row>
    <row r="850">
      <c r="A850" s="26">
        <f>IF($B850="","",ROW()-3)</f>
        <v/>
      </c>
      <c r="B850" s="27" t="n"/>
      <c r="C850" s="27" t="n"/>
      <c r="D850" s="28" t="n"/>
      <c r="E850" s="29" t="n"/>
      <c r="F850" s="30" t="n"/>
      <c r="G850" s="31" t="n"/>
      <c r="H850" s="31" t="n"/>
      <c r="I850" s="31" t="n"/>
      <c r="J850" s="31" t="n"/>
      <c r="K850" s="31" t="n"/>
      <c r="L850" s="31" t="n"/>
      <c r="M850" s="31" t="n"/>
      <c r="N850" s="31" t="n"/>
      <c r="O850" s="31" t="n"/>
      <c r="P850" s="31" t="n"/>
      <c r="Q850" s="31" t="n"/>
      <c r="R850" s="31" t="n"/>
      <c r="S850" s="32">
        <f>IF($F850="","",IF(IFERROR(VLOOKUP($F850,'维度字典'!$I$2:$J$50,2,0),"求和")="手工录入","",IF(IFERROR(VLOOKUP($F850,'维度字典'!$I$2:$J$50,2,0),"求和")="最新值",IFERROR(LOOKUP(9.99E+307,G850:R850),""),SUM(G850:R850))))</f>
        <v/>
      </c>
      <c r="T850" s="33" t="n"/>
      <c r="U850" s="33" t="n"/>
    </row>
    <row r="851">
      <c r="A851" s="26">
        <f>IF($B851="","",ROW()-3)</f>
        <v/>
      </c>
      <c r="B851" s="27" t="n"/>
      <c r="C851" s="27" t="n"/>
      <c r="D851" s="28" t="n"/>
      <c r="E851" s="29" t="n"/>
      <c r="F851" s="30" t="n"/>
      <c r="G851" s="31" t="n"/>
      <c r="H851" s="31" t="n"/>
      <c r="I851" s="31" t="n"/>
      <c r="J851" s="31" t="n"/>
      <c r="K851" s="31" t="n"/>
      <c r="L851" s="31" t="n"/>
      <c r="M851" s="31" t="n"/>
      <c r="N851" s="31" t="n"/>
      <c r="O851" s="31" t="n"/>
      <c r="P851" s="31" t="n"/>
      <c r="Q851" s="31" t="n"/>
      <c r="R851" s="31" t="n"/>
      <c r="S851" s="32">
        <f>IF($F851="","",IF(IFERROR(VLOOKUP($F851,'维度字典'!$I$2:$J$50,2,0),"求和")="手工录入","",IF(IFERROR(VLOOKUP($F851,'维度字典'!$I$2:$J$50,2,0),"求和")="最新值",IFERROR(LOOKUP(9.99E+307,G851:R851),""),SUM(G851:R851))))</f>
        <v/>
      </c>
      <c r="T851" s="33" t="n"/>
      <c r="U851" s="33" t="n"/>
    </row>
    <row r="852">
      <c r="A852" s="26">
        <f>IF($B852="","",ROW()-3)</f>
        <v/>
      </c>
      <c r="B852" s="27" t="n"/>
      <c r="C852" s="27" t="n"/>
      <c r="D852" s="28" t="n"/>
      <c r="E852" s="29" t="n"/>
      <c r="F852" s="30" t="n"/>
      <c r="G852" s="31" t="n"/>
      <c r="H852" s="31" t="n"/>
      <c r="I852" s="31" t="n"/>
      <c r="J852" s="31" t="n"/>
      <c r="K852" s="31" t="n"/>
      <c r="L852" s="31" t="n"/>
      <c r="M852" s="31" t="n"/>
      <c r="N852" s="31" t="n"/>
      <c r="O852" s="31" t="n"/>
      <c r="P852" s="31" t="n"/>
      <c r="Q852" s="31" t="n"/>
      <c r="R852" s="31" t="n"/>
      <c r="S852" s="32">
        <f>IF($F852="","",IF(IFERROR(VLOOKUP($F852,'维度字典'!$I$2:$J$50,2,0),"求和")="手工录入","",IF(IFERROR(VLOOKUP($F852,'维度字典'!$I$2:$J$50,2,0),"求和")="最新值",IFERROR(LOOKUP(9.99E+307,G852:R852),""),SUM(G852:R852))))</f>
        <v/>
      </c>
      <c r="T852" s="33" t="n"/>
      <c r="U852" s="33" t="n"/>
    </row>
    <row r="853">
      <c r="A853" s="26">
        <f>IF($B853="","",ROW()-3)</f>
        <v/>
      </c>
      <c r="B853" s="27" t="n"/>
      <c r="C853" s="27" t="n"/>
      <c r="D853" s="28" t="n"/>
      <c r="E853" s="29" t="n"/>
      <c r="F853" s="30" t="n"/>
      <c r="G853" s="31" t="n"/>
      <c r="H853" s="31" t="n"/>
      <c r="I853" s="31" t="n"/>
      <c r="J853" s="31" t="n"/>
      <c r="K853" s="31" t="n"/>
      <c r="L853" s="31" t="n"/>
      <c r="M853" s="31" t="n"/>
      <c r="N853" s="31" t="n"/>
      <c r="O853" s="31" t="n"/>
      <c r="P853" s="31" t="n"/>
      <c r="Q853" s="31" t="n"/>
      <c r="R853" s="31" t="n"/>
      <c r="S853" s="32">
        <f>IF($F853="","",IF(IFERROR(VLOOKUP($F853,'维度字典'!$I$2:$J$50,2,0),"求和")="手工录入","",IF(IFERROR(VLOOKUP($F853,'维度字典'!$I$2:$J$50,2,0),"求和")="最新值",IFERROR(LOOKUP(9.99E+307,G853:R853),""),SUM(G853:R853))))</f>
        <v/>
      </c>
      <c r="T853" s="33" t="n"/>
      <c r="U853" s="33" t="n"/>
    </row>
    <row r="854">
      <c r="A854" s="26">
        <f>IF($B854="","",ROW()-3)</f>
        <v/>
      </c>
      <c r="B854" s="27" t="n"/>
      <c r="C854" s="27" t="n"/>
      <c r="D854" s="28" t="n"/>
      <c r="E854" s="29" t="n"/>
      <c r="F854" s="30" t="n"/>
      <c r="G854" s="31" t="n"/>
      <c r="H854" s="31" t="n"/>
      <c r="I854" s="31" t="n"/>
      <c r="J854" s="31" t="n"/>
      <c r="K854" s="31" t="n"/>
      <c r="L854" s="31" t="n"/>
      <c r="M854" s="31" t="n"/>
      <c r="N854" s="31" t="n"/>
      <c r="O854" s="31" t="n"/>
      <c r="P854" s="31" t="n"/>
      <c r="Q854" s="31" t="n"/>
      <c r="R854" s="31" t="n"/>
      <c r="S854" s="32">
        <f>IF($F854="","",IF(IFERROR(VLOOKUP($F854,'维度字典'!$I$2:$J$50,2,0),"求和")="手工录入","",IF(IFERROR(VLOOKUP($F854,'维度字典'!$I$2:$J$50,2,0),"求和")="最新值",IFERROR(LOOKUP(9.99E+307,G854:R854),""),SUM(G854:R854))))</f>
        <v/>
      </c>
      <c r="T854" s="33" t="n"/>
      <c r="U854" s="33" t="n"/>
    </row>
    <row r="855">
      <c r="A855" s="26">
        <f>IF($B855="","",ROW()-3)</f>
        <v/>
      </c>
      <c r="B855" s="27" t="n"/>
      <c r="C855" s="27" t="n"/>
      <c r="D855" s="28" t="n"/>
      <c r="E855" s="29" t="n"/>
      <c r="F855" s="30" t="n"/>
      <c r="G855" s="31" t="n"/>
      <c r="H855" s="31" t="n"/>
      <c r="I855" s="31" t="n"/>
      <c r="J855" s="31" t="n"/>
      <c r="K855" s="31" t="n"/>
      <c r="L855" s="31" t="n"/>
      <c r="M855" s="31" t="n"/>
      <c r="N855" s="31" t="n"/>
      <c r="O855" s="31" t="n"/>
      <c r="P855" s="31" t="n"/>
      <c r="Q855" s="31" t="n"/>
      <c r="R855" s="31" t="n"/>
      <c r="S855" s="32">
        <f>IF($F855="","",IF(IFERROR(VLOOKUP($F855,'维度字典'!$I$2:$J$50,2,0),"求和")="手工录入","",IF(IFERROR(VLOOKUP($F855,'维度字典'!$I$2:$J$50,2,0),"求和")="最新值",IFERROR(LOOKUP(9.99E+307,G855:R855),""),SUM(G855:R855))))</f>
        <v/>
      </c>
      <c r="T855" s="33" t="n"/>
      <c r="U855" s="33" t="n"/>
    </row>
    <row r="856">
      <c r="A856" s="26">
        <f>IF($B856="","",ROW()-3)</f>
        <v/>
      </c>
      <c r="B856" s="27" t="n"/>
      <c r="C856" s="27" t="n"/>
      <c r="D856" s="28" t="n"/>
      <c r="E856" s="29" t="n"/>
      <c r="F856" s="30" t="n"/>
      <c r="G856" s="31" t="n"/>
      <c r="H856" s="31" t="n"/>
      <c r="I856" s="31" t="n"/>
      <c r="J856" s="31" t="n"/>
      <c r="K856" s="31" t="n"/>
      <c r="L856" s="31" t="n"/>
      <c r="M856" s="31" t="n"/>
      <c r="N856" s="31" t="n"/>
      <c r="O856" s="31" t="n"/>
      <c r="P856" s="31" t="n"/>
      <c r="Q856" s="31" t="n"/>
      <c r="R856" s="31" t="n"/>
      <c r="S856" s="32">
        <f>IF($F856="","",IF(IFERROR(VLOOKUP($F856,'维度字典'!$I$2:$J$50,2,0),"求和")="手工录入","",IF(IFERROR(VLOOKUP($F856,'维度字典'!$I$2:$J$50,2,0),"求和")="最新值",IFERROR(LOOKUP(9.99E+307,G856:R856),""),SUM(G856:R856))))</f>
        <v/>
      </c>
      <c r="T856" s="33" t="n"/>
      <c r="U856" s="33" t="n"/>
    </row>
    <row r="857">
      <c r="A857" s="26">
        <f>IF($B857="","",ROW()-3)</f>
        <v/>
      </c>
      <c r="B857" s="27" t="n"/>
      <c r="C857" s="27" t="n"/>
      <c r="D857" s="28" t="n"/>
      <c r="E857" s="29" t="n"/>
      <c r="F857" s="30" t="n"/>
      <c r="G857" s="31" t="n"/>
      <c r="H857" s="31" t="n"/>
      <c r="I857" s="31" t="n"/>
      <c r="J857" s="31" t="n"/>
      <c r="K857" s="31" t="n"/>
      <c r="L857" s="31" t="n"/>
      <c r="M857" s="31" t="n"/>
      <c r="N857" s="31" t="n"/>
      <c r="O857" s="31" t="n"/>
      <c r="P857" s="31" t="n"/>
      <c r="Q857" s="31" t="n"/>
      <c r="R857" s="31" t="n"/>
      <c r="S857" s="32">
        <f>IF($F857="","",IF(IFERROR(VLOOKUP($F857,'维度字典'!$I$2:$J$50,2,0),"求和")="手工录入","",IF(IFERROR(VLOOKUP($F857,'维度字典'!$I$2:$J$50,2,0),"求和")="最新值",IFERROR(LOOKUP(9.99E+307,G857:R857),""),SUM(G857:R857))))</f>
        <v/>
      </c>
      <c r="T857" s="33" t="n"/>
      <c r="U857" s="33" t="n"/>
    </row>
    <row r="858">
      <c r="A858" s="26">
        <f>IF($B858="","",ROW()-3)</f>
        <v/>
      </c>
      <c r="B858" s="27" t="n"/>
      <c r="C858" s="27" t="n"/>
      <c r="D858" s="28" t="n"/>
      <c r="E858" s="29" t="n"/>
      <c r="F858" s="30" t="n"/>
      <c r="G858" s="31" t="n"/>
      <c r="H858" s="31" t="n"/>
      <c r="I858" s="31" t="n"/>
      <c r="J858" s="31" t="n"/>
      <c r="K858" s="31" t="n"/>
      <c r="L858" s="31" t="n"/>
      <c r="M858" s="31" t="n"/>
      <c r="N858" s="31" t="n"/>
      <c r="O858" s="31" t="n"/>
      <c r="P858" s="31" t="n"/>
      <c r="Q858" s="31" t="n"/>
      <c r="R858" s="31" t="n"/>
      <c r="S858" s="32">
        <f>IF($F858="","",IF(IFERROR(VLOOKUP($F858,'维度字典'!$I$2:$J$50,2,0),"求和")="手工录入","",IF(IFERROR(VLOOKUP($F858,'维度字典'!$I$2:$J$50,2,0),"求和")="最新值",IFERROR(LOOKUP(9.99E+307,G858:R858),""),SUM(G858:R858))))</f>
        <v/>
      </c>
      <c r="T858" s="33" t="n"/>
      <c r="U858" s="33" t="n"/>
    </row>
    <row r="859">
      <c r="A859" s="26">
        <f>IF($B859="","",ROW()-3)</f>
        <v/>
      </c>
      <c r="B859" s="27" t="n"/>
      <c r="C859" s="27" t="n"/>
      <c r="D859" s="28" t="n"/>
      <c r="E859" s="29" t="n"/>
      <c r="F859" s="30" t="n"/>
      <c r="G859" s="31" t="n"/>
      <c r="H859" s="31" t="n"/>
      <c r="I859" s="31" t="n"/>
      <c r="J859" s="31" t="n"/>
      <c r="K859" s="31" t="n"/>
      <c r="L859" s="31" t="n"/>
      <c r="M859" s="31" t="n"/>
      <c r="N859" s="31" t="n"/>
      <c r="O859" s="31" t="n"/>
      <c r="P859" s="31" t="n"/>
      <c r="Q859" s="31" t="n"/>
      <c r="R859" s="31" t="n"/>
      <c r="S859" s="32">
        <f>IF($F859="","",IF(IFERROR(VLOOKUP($F859,'维度字典'!$I$2:$J$50,2,0),"求和")="手工录入","",IF(IFERROR(VLOOKUP($F859,'维度字典'!$I$2:$J$50,2,0),"求和")="最新值",IFERROR(LOOKUP(9.99E+307,G859:R859),""),SUM(G859:R859))))</f>
        <v/>
      </c>
      <c r="T859" s="33" t="n"/>
      <c r="U859" s="33" t="n"/>
    </row>
    <row r="860">
      <c r="A860" s="26">
        <f>IF($B860="","",ROW()-3)</f>
        <v/>
      </c>
      <c r="B860" s="27" t="n"/>
      <c r="C860" s="27" t="n"/>
      <c r="D860" s="28" t="n"/>
      <c r="E860" s="29" t="n"/>
      <c r="F860" s="30" t="n"/>
      <c r="G860" s="31" t="n"/>
      <c r="H860" s="31" t="n"/>
      <c r="I860" s="31" t="n"/>
      <c r="J860" s="31" t="n"/>
      <c r="K860" s="31" t="n"/>
      <c r="L860" s="31" t="n"/>
      <c r="M860" s="31" t="n"/>
      <c r="N860" s="31" t="n"/>
      <c r="O860" s="31" t="n"/>
      <c r="P860" s="31" t="n"/>
      <c r="Q860" s="31" t="n"/>
      <c r="R860" s="31" t="n"/>
      <c r="S860" s="32">
        <f>IF($F860="","",IF(IFERROR(VLOOKUP($F860,'维度字典'!$I$2:$J$50,2,0),"求和")="手工录入","",IF(IFERROR(VLOOKUP($F860,'维度字典'!$I$2:$J$50,2,0),"求和")="最新值",IFERROR(LOOKUP(9.99E+307,G860:R860),""),SUM(G860:R860))))</f>
        <v/>
      </c>
      <c r="T860" s="33" t="n"/>
      <c r="U860" s="33" t="n"/>
    </row>
    <row r="861">
      <c r="A861" s="26">
        <f>IF($B861="","",ROW()-3)</f>
        <v/>
      </c>
      <c r="B861" s="27" t="n"/>
      <c r="C861" s="27" t="n"/>
      <c r="D861" s="28" t="n"/>
      <c r="E861" s="29" t="n"/>
      <c r="F861" s="30" t="n"/>
      <c r="G861" s="31" t="n"/>
      <c r="H861" s="31" t="n"/>
      <c r="I861" s="31" t="n"/>
      <c r="J861" s="31" t="n"/>
      <c r="K861" s="31" t="n"/>
      <c r="L861" s="31" t="n"/>
      <c r="M861" s="31" t="n"/>
      <c r="N861" s="31" t="n"/>
      <c r="O861" s="31" t="n"/>
      <c r="P861" s="31" t="n"/>
      <c r="Q861" s="31" t="n"/>
      <c r="R861" s="31" t="n"/>
      <c r="S861" s="32">
        <f>IF($F861="","",IF(IFERROR(VLOOKUP($F861,'维度字典'!$I$2:$J$50,2,0),"求和")="手工录入","",IF(IFERROR(VLOOKUP($F861,'维度字典'!$I$2:$J$50,2,0),"求和")="最新值",IFERROR(LOOKUP(9.99E+307,G861:R861),""),SUM(G861:R861))))</f>
        <v/>
      </c>
      <c r="T861" s="33" t="n"/>
      <c r="U861" s="33" t="n"/>
    </row>
    <row r="862">
      <c r="A862" s="26">
        <f>IF($B862="","",ROW()-3)</f>
        <v/>
      </c>
      <c r="B862" s="27" t="n"/>
      <c r="C862" s="27" t="n"/>
      <c r="D862" s="28" t="n"/>
      <c r="E862" s="29" t="n"/>
      <c r="F862" s="30" t="n"/>
      <c r="G862" s="31" t="n"/>
      <c r="H862" s="31" t="n"/>
      <c r="I862" s="31" t="n"/>
      <c r="J862" s="31" t="n"/>
      <c r="K862" s="31" t="n"/>
      <c r="L862" s="31" t="n"/>
      <c r="M862" s="31" t="n"/>
      <c r="N862" s="31" t="n"/>
      <c r="O862" s="31" t="n"/>
      <c r="P862" s="31" t="n"/>
      <c r="Q862" s="31" t="n"/>
      <c r="R862" s="31" t="n"/>
      <c r="S862" s="32">
        <f>IF($F862="","",IF(IFERROR(VLOOKUP($F862,'维度字典'!$I$2:$J$50,2,0),"求和")="手工录入","",IF(IFERROR(VLOOKUP($F862,'维度字典'!$I$2:$J$50,2,0),"求和")="最新值",IFERROR(LOOKUP(9.99E+307,G862:R862),""),SUM(G862:R862))))</f>
        <v/>
      </c>
      <c r="T862" s="33" t="n"/>
      <c r="U862" s="33" t="n"/>
    </row>
    <row r="863">
      <c r="A863" s="26">
        <f>IF($B863="","",ROW()-3)</f>
        <v/>
      </c>
      <c r="B863" s="27" t="n"/>
      <c r="C863" s="27" t="n"/>
      <c r="D863" s="28" t="n"/>
      <c r="E863" s="29" t="n"/>
      <c r="F863" s="30" t="n"/>
      <c r="G863" s="31" t="n"/>
      <c r="H863" s="31" t="n"/>
      <c r="I863" s="31" t="n"/>
      <c r="J863" s="31" t="n"/>
      <c r="K863" s="31" t="n"/>
      <c r="L863" s="31" t="n"/>
      <c r="M863" s="31" t="n"/>
      <c r="N863" s="31" t="n"/>
      <c r="O863" s="31" t="n"/>
      <c r="P863" s="31" t="n"/>
      <c r="Q863" s="31" t="n"/>
      <c r="R863" s="31" t="n"/>
      <c r="S863" s="32">
        <f>IF($F863="","",IF(IFERROR(VLOOKUP($F863,'维度字典'!$I$2:$J$50,2,0),"求和")="手工录入","",IF(IFERROR(VLOOKUP($F863,'维度字典'!$I$2:$J$50,2,0),"求和")="最新值",IFERROR(LOOKUP(9.99E+307,G863:R863),""),SUM(G863:R863))))</f>
        <v/>
      </c>
      <c r="T863" s="33" t="n"/>
      <c r="U863" s="33" t="n"/>
    </row>
    <row r="864">
      <c r="A864" s="26">
        <f>IF($B864="","",ROW()-3)</f>
        <v/>
      </c>
      <c r="B864" s="27" t="n"/>
      <c r="C864" s="27" t="n"/>
      <c r="D864" s="28" t="n"/>
      <c r="E864" s="29" t="n"/>
      <c r="F864" s="30" t="n"/>
      <c r="G864" s="31" t="n"/>
      <c r="H864" s="31" t="n"/>
      <c r="I864" s="31" t="n"/>
      <c r="J864" s="31" t="n"/>
      <c r="K864" s="31" t="n"/>
      <c r="L864" s="31" t="n"/>
      <c r="M864" s="31" t="n"/>
      <c r="N864" s="31" t="n"/>
      <c r="O864" s="31" t="n"/>
      <c r="P864" s="31" t="n"/>
      <c r="Q864" s="31" t="n"/>
      <c r="R864" s="31" t="n"/>
      <c r="S864" s="32">
        <f>IF($F864="","",IF(IFERROR(VLOOKUP($F864,'维度字典'!$I$2:$J$50,2,0),"求和")="手工录入","",IF(IFERROR(VLOOKUP($F864,'维度字典'!$I$2:$J$50,2,0),"求和")="最新值",IFERROR(LOOKUP(9.99E+307,G864:R864),""),SUM(G864:R864))))</f>
        <v/>
      </c>
      <c r="T864" s="33" t="n"/>
      <c r="U864" s="33" t="n"/>
    </row>
    <row r="865">
      <c r="A865" s="26">
        <f>IF($B865="","",ROW()-3)</f>
        <v/>
      </c>
      <c r="B865" s="27" t="n"/>
      <c r="C865" s="27" t="n"/>
      <c r="D865" s="28" t="n"/>
      <c r="E865" s="29" t="n"/>
      <c r="F865" s="30" t="n"/>
      <c r="G865" s="31" t="n"/>
      <c r="H865" s="31" t="n"/>
      <c r="I865" s="31" t="n"/>
      <c r="J865" s="31" t="n"/>
      <c r="K865" s="31" t="n"/>
      <c r="L865" s="31" t="n"/>
      <c r="M865" s="31" t="n"/>
      <c r="N865" s="31" t="n"/>
      <c r="O865" s="31" t="n"/>
      <c r="P865" s="31" t="n"/>
      <c r="Q865" s="31" t="n"/>
      <c r="R865" s="31" t="n"/>
      <c r="S865" s="32">
        <f>IF($F865="","",IF(IFERROR(VLOOKUP($F865,'维度字典'!$I$2:$J$50,2,0),"求和")="手工录入","",IF(IFERROR(VLOOKUP($F865,'维度字典'!$I$2:$J$50,2,0),"求和")="最新值",IFERROR(LOOKUP(9.99E+307,G865:R865),""),SUM(G865:R865))))</f>
        <v/>
      </c>
      <c r="T865" s="33" t="n"/>
      <c r="U865" s="33" t="n"/>
    </row>
    <row r="866">
      <c r="A866" s="26">
        <f>IF($B866="","",ROW()-3)</f>
        <v/>
      </c>
      <c r="B866" s="27" t="n"/>
      <c r="C866" s="27" t="n"/>
      <c r="D866" s="28" t="n"/>
      <c r="E866" s="29" t="n"/>
      <c r="F866" s="30" t="n"/>
      <c r="G866" s="31" t="n"/>
      <c r="H866" s="31" t="n"/>
      <c r="I866" s="31" t="n"/>
      <c r="J866" s="31" t="n"/>
      <c r="K866" s="31" t="n"/>
      <c r="L866" s="31" t="n"/>
      <c r="M866" s="31" t="n"/>
      <c r="N866" s="31" t="n"/>
      <c r="O866" s="31" t="n"/>
      <c r="P866" s="31" t="n"/>
      <c r="Q866" s="31" t="n"/>
      <c r="R866" s="31" t="n"/>
      <c r="S866" s="32">
        <f>IF($F866="","",IF(IFERROR(VLOOKUP($F866,'维度字典'!$I$2:$J$50,2,0),"求和")="手工录入","",IF(IFERROR(VLOOKUP($F866,'维度字典'!$I$2:$J$50,2,0),"求和")="最新值",IFERROR(LOOKUP(9.99E+307,G866:R866),""),SUM(G866:R866))))</f>
        <v/>
      </c>
      <c r="T866" s="33" t="n"/>
      <c r="U866" s="33" t="n"/>
    </row>
    <row r="867">
      <c r="A867" s="26">
        <f>IF($B867="","",ROW()-3)</f>
        <v/>
      </c>
      <c r="B867" s="27" t="n"/>
      <c r="C867" s="27" t="n"/>
      <c r="D867" s="28" t="n"/>
      <c r="E867" s="29" t="n"/>
      <c r="F867" s="30" t="n"/>
      <c r="G867" s="31" t="n"/>
      <c r="H867" s="31" t="n"/>
      <c r="I867" s="31" t="n"/>
      <c r="J867" s="31" t="n"/>
      <c r="K867" s="31" t="n"/>
      <c r="L867" s="31" t="n"/>
      <c r="M867" s="31" t="n"/>
      <c r="N867" s="31" t="n"/>
      <c r="O867" s="31" t="n"/>
      <c r="P867" s="31" t="n"/>
      <c r="Q867" s="31" t="n"/>
      <c r="R867" s="31" t="n"/>
      <c r="S867" s="32">
        <f>IF($F867="","",IF(IFERROR(VLOOKUP($F867,'维度字典'!$I$2:$J$50,2,0),"求和")="手工录入","",IF(IFERROR(VLOOKUP($F867,'维度字典'!$I$2:$J$50,2,0),"求和")="最新值",IFERROR(LOOKUP(9.99E+307,G867:R867),""),SUM(G867:R867))))</f>
        <v/>
      </c>
      <c r="T867" s="33" t="n"/>
      <c r="U867" s="33" t="n"/>
    </row>
    <row r="868">
      <c r="A868" s="26">
        <f>IF($B868="","",ROW()-3)</f>
        <v/>
      </c>
      <c r="B868" s="27" t="n"/>
      <c r="C868" s="27" t="n"/>
      <c r="D868" s="28" t="n"/>
      <c r="E868" s="29" t="n"/>
      <c r="F868" s="30" t="n"/>
      <c r="G868" s="31" t="n"/>
      <c r="H868" s="31" t="n"/>
      <c r="I868" s="31" t="n"/>
      <c r="J868" s="31" t="n"/>
      <c r="K868" s="31" t="n"/>
      <c r="L868" s="31" t="n"/>
      <c r="M868" s="31" t="n"/>
      <c r="N868" s="31" t="n"/>
      <c r="O868" s="31" t="n"/>
      <c r="P868" s="31" t="n"/>
      <c r="Q868" s="31" t="n"/>
      <c r="R868" s="31" t="n"/>
      <c r="S868" s="32">
        <f>IF($F868="","",IF(IFERROR(VLOOKUP($F868,'维度字典'!$I$2:$J$50,2,0),"求和")="手工录入","",IF(IFERROR(VLOOKUP($F868,'维度字典'!$I$2:$J$50,2,0),"求和")="最新值",IFERROR(LOOKUP(9.99E+307,G868:R868),""),SUM(G868:R868))))</f>
        <v/>
      </c>
      <c r="T868" s="33" t="n"/>
      <c r="U868" s="33" t="n"/>
    </row>
    <row r="869">
      <c r="A869" s="26">
        <f>IF($B869="","",ROW()-3)</f>
        <v/>
      </c>
      <c r="B869" s="27" t="n"/>
      <c r="C869" s="27" t="n"/>
      <c r="D869" s="28" t="n"/>
      <c r="E869" s="29" t="n"/>
      <c r="F869" s="30" t="n"/>
      <c r="G869" s="31" t="n"/>
      <c r="H869" s="31" t="n"/>
      <c r="I869" s="31" t="n"/>
      <c r="J869" s="31" t="n"/>
      <c r="K869" s="31" t="n"/>
      <c r="L869" s="31" t="n"/>
      <c r="M869" s="31" t="n"/>
      <c r="N869" s="31" t="n"/>
      <c r="O869" s="31" t="n"/>
      <c r="P869" s="31" t="n"/>
      <c r="Q869" s="31" t="n"/>
      <c r="R869" s="31" t="n"/>
      <c r="S869" s="32">
        <f>IF($F869="","",IF(IFERROR(VLOOKUP($F869,'维度字典'!$I$2:$J$50,2,0),"求和")="手工录入","",IF(IFERROR(VLOOKUP($F869,'维度字典'!$I$2:$J$50,2,0),"求和")="最新值",IFERROR(LOOKUP(9.99E+307,G869:R869),""),SUM(G869:R869))))</f>
        <v/>
      </c>
      <c r="T869" s="33" t="n"/>
      <c r="U869" s="33" t="n"/>
    </row>
    <row r="870">
      <c r="A870" s="26">
        <f>IF($B870="","",ROW()-3)</f>
        <v/>
      </c>
      <c r="B870" s="27" t="n"/>
      <c r="C870" s="27" t="n"/>
      <c r="D870" s="28" t="n"/>
      <c r="E870" s="29" t="n"/>
      <c r="F870" s="30" t="n"/>
      <c r="G870" s="31" t="n"/>
      <c r="H870" s="31" t="n"/>
      <c r="I870" s="31" t="n"/>
      <c r="J870" s="31" t="n"/>
      <c r="K870" s="31" t="n"/>
      <c r="L870" s="31" t="n"/>
      <c r="M870" s="31" t="n"/>
      <c r="N870" s="31" t="n"/>
      <c r="O870" s="31" t="n"/>
      <c r="P870" s="31" t="n"/>
      <c r="Q870" s="31" t="n"/>
      <c r="R870" s="31" t="n"/>
      <c r="S870" s="32">
        <f>IF($F870="","",IF(IFERROR(VLOOKUP($F870,'维度字典'!$I$2:$J$50,2,0),"求和")="手工录入","",IF(IFERROR(VLOOKUP($F870,'维度字典'!$I$2:$J$50,2,0),"求和")="最新值",IFERROR(LOOKUP(9.99E+307,G870:R870),""),SUM(G870:R870))))</f>
        <v/>
      </c>
      <c r="T870" s="33" t="n"/>
      <c r="U870" s="33" t="n"/>
    </row>
    <row r="871">
      <c r="A871" s="26">
        <f>IF($B871="","",ROW()-3)</f>
        <v/>
      </c>
      <c r="B871" s="27" t="n"/>
      <c r="C871" s="27" t="n"/>
      <c r="D871" s="28" t="n"/>
      <c r="E871" s="29" t="n"/>
      <c r="F871" s="30" t="n"/>
      <c r="G871" s="31" t="n"/>
      <c r="H871" s="31" t="n"/>
      <c r="I871" s="31" t="n"/>
      <c r="J871" s="31" t="n"/>
      <c r="K871" s="31" t="n"/>
      <c r="L871" s="31" t="n"/>
      <c r="M871" s="31" t="n"/>
      <c r="N871" s="31" t="n"/>
      <c r="O871" s="31" t="n"/>
      <c r="P871" s="31" t="n"/>
      <c r="Q871" s="31" t="n"/>
      <c r="R871" s="31" t="n"/>
      <c r="S871" s="32">
        <f>IF($F871="","",IF(IFERROR(VLOOKUP($F871,'维度字典'!$I$2:$J$50,2,0),"求和")="手工录入","",IF(IFERROR(VLOOKUP($F871,'维度字典'!$I$2:$J$50,2,0),"求和")="最新值",IFERROR(LOOKUP(9.99E+307,G871:R871),""),SUM(G871:R871))))</f>
        <v/>
      </c>
      <c r="T871" s="33" t="n"/>
      <c r="U871" s="33" t="n"/>
    </row>
    <row r="872">
      <c r="A872" s="26">
        <f>IF($B872="","",ROW()-3)</f>
        <v/>
      </c>
      <c r="B872" s="27" t="n"/>
      <c r="C872" s="27" t="n"/>
      <c r="D872" s="28" t="n"/>
      <c r="E872" s="29" t="n"/>
      <c r="F872" s="30" t="n"/>
      <c r="G872" s="31" t="n"/>
      <c r="H872" s="31" t="n"/>
      <c r="I872" s="31" t="n"/>
      <c r="J872" s="31" t="n"/>
      <c r="K872" s="31" t="n"/>
      <c r="L872" s="31" t="n"/>
      <c r="M872" s="31" t="n"/>
      <c r="N872" s="31" t="n"/>
      <c r="O872" s="31" t="n"/>
      <c r="P872" s="31" t="n"/>
      <c r="Q872" s="31" t="n"/>
      <c r="R872" s="31" t="n"/>
      <c r="S872" s="32">
        <f>IF($F872="","",IF(IFERROR(VLOOKUP($F872,'维度字典'!$I$2:$J$50,2,0),"求和")="手工录入","",IF(IFERROR(VLOOKUP($F872,'维度字典'!$I$2:$J$50,2,0),"求和")="最新值",IFERROR(LOOKUP(9.99E+307,G872:R872),""),SUM(G872:R872))))</f>
        <v/>
      </c>
      <c r="T872" s="33" t="n"/>
      <c r="U872" s="33" t="n"/>
    </row>
    <row r="873">
      <c r="A873" s="26">
        <f>IF($B873="","",ROW()-3)</f>
        <v/>
      </c>
      <c r="B873" s="27" t="n"/>
      <c r="C873" s="27" t="n"/>
      <c r="D873" s="28" t="n"/>
      <c r="E873" s="29" t="n"/>
      <c r="F873" s="30" t="n"/>
      <c r="G873" s="31" t="n"/>
      <c r="H873" s="31" t="n"/>
      <c r="I873" s="31" t="n"/>
      <c r="J873" s="31" t="n"/>
      <c r="K873" s="31" t="n"/>
      <c r="L873" s="31" t="n"/>
      <c r="M873" s="31" t="n"/>
      <c r="N873" s="31" t="n"/>
      <c r="O873" s="31" t="n"/>
      <c r="P873" s="31" t="n"/>
      <c r="Q873" s="31" t="n"/>
      <c r="R873" s="31" t="n"/>
      <c r="S873" s="32">
        <f>IF($F873="","",IF(IFERROR(VLOOKUP($F873,'维度字典'!$I$2:$J$50,2,0),"求和")="手工录入","",IF(IFERROR(VLOOKUP($F873,'维度字典'!$I$2:$J$50,2,0),"求和")="最新值",IFERROR(LOOKUP(9.99E+307,G873:R873),""),SUM(G873:R873))))</f>
        <v/>
      </c>
      <c r="T873" s="33" t="n"/>
      <c r="U873" s="33" t="n"/>
    </row>
    <row r="874">
      <c r="A874" s="26">
        <f>IF($B874="","",ROW()-3)</f>
        <v/>
      </c>
      <c r="B874" s="27" t="n"/>
      <c r="C874" s="27" t="n"/>
      <c r="D874" s="28" t="n"/>
      <c r="E874" s="29" t="n"/>
      <c r="F874" s="30" t="n"/>
      <c r="G874" s="31" t="n"/>
      <c r="H874" s="31" t="n"/>
      <c r="I874" s="31" t="n"/>
      <c r="J874" s="31" t="n"/>
      <c r="K874" s="31" t="n"/>
      <c r="L874" s="31" t="n"/>
      <c r="M874" s="31" t="n"/>
      <c r="N874" s="31" t="n"/>
      <c r="O874" s="31" t="n"/>
      <c r="P874" s="31" t="n"/>
      <c r="Q874" s="31" t="n"/>
      <c r="R874" s="31" t="n"/>
      <c r="S874" s="32">
        <f>IF($F874="","",IF(IFERROR(VLOOKUP($F874,'维度字典'!$I$2:$J$50,2,0),"求和")="手工录入","",IF(IFERROR(VLOOKUP($F874,'维度字典'!$I$2:$J$50,2,0),"求和")="最新值",IFERROR(LOOKUP(9.99E+307,G874:R874),""),SUM(G874:R874))))</f>
        <v/>
      </c>
      <c r="T874" s="33" t="n"/>
      <c r="U874" s="33" t="n"/>
    </row>
    <row r="875">
      <c r="A875" s="26">
        <f>IF($B875="","",ROW()-3)</f>
        <v/>
      </c>
      <c r="B875" s="27" t="n"/>
      <c r="C875" s="27" t="n"/>
      <c r="D875" s="28" t="n"/>
      <c r="E875" s="29" t="n"/>
      <c r="F875" s="30" t="n"/>
      <c r="G875" s="31" t="n"/>
      <c r="H875" s="31" t="n"/>
      <c r="I875" s="31" t="n"/>
      <c r="J875" s="31" t="n"/>
      <c r="K875" s="31" t="n"/>
      <c r="L875" s="31" t="n"/>
      <c r="M875" s="31" t="n"/>
      <c r="N875" s="31" t="n"/>
      <c r="O875" s="31" t="n"/>
      <c r="P875" s="31" t="n"/>
      <c r="Q875" s="31" t="n"/>
      <c r="R875" s="31" t="n"/>
      <c r="S875" s="32">
        <f>IF($F875="","",IF(IFERROR(VLOOKUP($F875,'维度字典'!$I$2:$J$50,2,0),"求和")="手工录入","",IF(IFERROR(VLOOKUP($F875,'维度字典'!$I$2:$J$50,2,0),"求和")="最新值",IFERROR(LOOKUP(9.99E+307,G875:R875),""),SUM(G875:R875))))</f>
        <v/>
      </c>
      <c r="T875" s="33" t="n"/>
      <c r="U875" s="33" t="n"/>
    </row>
    <row r="876">
      <c r="A876" s="26">
        <f>IF($B876="","",ROW()-3)</f>
        <v/>
      </c>
      <c r="B876" s="27" t="n"/>
      <c r="C876" s="27" t="n"/>
      <c r="D876" s="28" t="n"/>
      <c r="E876" s="29" t="n"/>
      <c r="F876" s="30" t="n"/>
      <c r="G876" s="31" t="n"/>
      <c r="H876" s="31" t="n"/>
      <c r="I876" s="31" t="n"/>
      <c r="J876" s="31" t="n"/>
      <c r="K876" s="31" t="n"/>
      <c r="L876" s="31" t="n"/>
      <c r="M876" s="31" t="n"/>
      <c r="N876" s="31" t="n"/>
      <c r="O876" s="31" t="n"/>
      <c r="P876" s="31" t="n"/>
      <c r="Q876" s="31" t="n"/>
      <c r="R876" s="31" t="n"/>
      <c r="S876" s="32">
        <f>IF($F876="","",IF(IFERROR(VLOOKUP($F876,'维度字典'!$I$2:$J$50,2,0),"求和")="手工录入","",IF(IFERROR(VLOOKUP($F876,'维度字典'!$I$2:$J$50,2,0),"求和")="最新值",IFERROR(LOOKUP(9.99E+307,G876:R876),""),SUM(G876:R876))))</f>
        <v/>
      </c>
      <c r="T876" s="33" t="n"/>
      <c r="U876" s="33" t="n"/>
    </row>
    <row r="877">
      <c r="A877" s="26">
        <f>IF($B877="","",ROW()-3)</f>
        <v/>
      </c>
      <c r="B877" s="27" t="n"/>
      <c r="C877" s="27" t="n"/>
      <c r="D877" s="28" t="n"/>
      <c r="E877" s="29" t="n"/>
      <c r="F877" s="30" t="n"/>
      <c r="G877" s="31" t="n"/>
      <c r="H877" s="31" t="n"/>
      <c r="I877" s="31" t="n"/>
      <c r="J877" s="31" t="n"/>
      <c r="K877" s="31" t="n"/>
      <c r="L877" s="31" t="n"/>
      <c r="M877" s="31" t="n"/>
      <c r="N877" s="31" t="n"/>
      <c r="O877" s="31" t="n"/>
      <c r="P877" s="31" t="n"/>
      <c r="Q877" s="31" t="n"/>
      <c r="R877" s="31" t="n"/>
      <c r="S877" s="32">
        <f>IF($F877="","",IF(IFERROR(VLOOKUP($F877,'维度字典'!$I$2:$J$50,2,0),"求和")="手工录入","",IF(IFERROR(VLOOKUP($F877,'维度字典'!$I$2:$J$50,2,0),"求和")="最新值",IFERROR(LOOKUP(9.99E+307,G877:R877),""),SUM(G877:R877))))</f>
        <v/>
      </c>
      <c r="T877" s="33" t="n"/>
      <c r="U877" s="33" t="n"/>
    </row>
    <row r="878">
      <c r="A878" s="26">
        <f>IF($B878="","",ROW()-3)</f>
        <v/>
      </c>
      <c r="B878" s="27" t="n"/>
      <c r="C878" s="27" t="n"/>
      <c r="D878" s="28" t="n"/>
      <c r="E878" s="29" t="n"/>
      <c r="F878" s="30" t="n"/>
      <c r="G878" s="31" t="n"/>
      <c r="H878" s="31" t="n"/>
      <c r="I878" s="31" t="n"/>
      <c r="J878" s="31" t="n"/>
      <c r="K878" s="31" t="n"/>
      <c r="L878" s="31" t="n"/>
      <c r="M878" s="31" t="n"/>
      <c r="N878" s="31" t="n"/>
      <c r="O878" s="31" t="n"/>
      <c r="P878" s="31" t="n"/>
      <c r="Q878" s="31" t="n"/>
      <c r="R878" s="31" t="n"/>
      <c r="S878" s="32">
        <f>IF($F878="","",IF(IFERROR(VLOOKUP($F878,'维度字典'!$I$2:$J$50,2,0),"求和")="手工录入","",IF(IFERROR(VLOOKUP($F878,'维度字典'!$I$2:$J$50,2,0),"求和")="最新值",IFERROR(LOOKUP(9.99E+307,G878:R878),""),SUM(G878:R878))))</f>
        <v/>
      </c>
      <c r="T878" s="33" t="n"/>
      <c r="U878" s="33" t="n"/>
    </row>
    <row r="879">
      <c r="A879" s="26">
        <f>IF($B879="","",ROW()-3)</f>
        <v/>
      </c>
      <c r="B879" s="27" t="n"/>
      <c r="C879" s="27" t="n"/>
      <c r="D879" s="28" t="n"/>
      <c r="E879" s="29" t="n"/>
      <c r="F879" s="30" t="n"/>
      <c r="G879" s="31" t="n"/>
      <c r="H879" s="31" t="n"/>
      <c r="I879" s="31" t="n"/>
      <c r="J879" s="31" t="n"/>
      <c r="K879" s="31" t="n"/>
      <c r="L879" s="31" t="n"/>
      <c r="M879" s="31" t="n"/>
      <c r="N879" s="31" t="n"/>
      <c r="O879" s="31" t="n"/>
      <c r="P879" s="31" t="n"/>
      <c r="Q879" s="31" t="n"/>
      <c r="R879" s="31" t="n"/>
      <c r="S879" s="32">
        <f>IF($F879="","",IF(IFERROR(VLOOKUP($F879,'维度字典'!$I$2:$J$50,2,0),"求和")="手工录入","",IF(IFERROR(VLOOKUP($F879,'维度字典'!$I$2:$J$50,2,0),"求和")="最新值",IFERROR(LOOKUP(9.99E+307,G879:R879),""),SUM(G879:R879))))</f>
        <v/>
      </c>
      <c r="T879" s="33" t="n"/>
      <c r="U879" s="33" t="n"/>
    </row>
    <row r="880">
      <c r="A880" s="26">
        <f>IF($B880="","",ROW()-3)</f>
        <v/>
      </c>
      <c r="B880" s="27" t="n"/>
      <c r="C880" s="27" t="n"/>
      <c r="D880" s="28" t="n"/>
      <c r="E880" s="29" t="n"/>
      <c r="F880" s="30" t="n"/>
      <c r="G880" s="31" t="n"/>
      <c r="H880" s="31" t="n"/>
      <c r="I880" s="31" t="n"/>
      <c r="J880" s="31" t="n"/>
      <c r="K880" s="31" t="n"/>
      <c r="L880" s="31" t="n"/>
      <c r="M880" s="31" t="n"/>
      <c r="N880" s="31" t="n"/>
      <c r="O880" s="31" t="n"/>
      <c r="P880" s="31" t="n"/>
      <c r="Q880" s="31" t="n"/>
      <c r="R880" s="31" t="n"/>
      <c r="S880" s="32">
        <f>IF($F880="","",IF(IFERROR(VLOOKUP($F880,'维度字典'!$I$2:$J$50,2,0),"求和")="手工录入","",IF(IFERROR(VLOOKUP($F880,'维度字典'!$I$2:$J$50,2,0),"求和")="最新值",IFERROR(LOOKUP(9.99E+307,G880:R880),""),SUM(G880:R880))))</f>
        <v/>
      </c>
      <c r="T880" s="33" t="n"/>
      <c r="U880" s="33" t="n"/>
    </row>
    <row r="881">
      <c r="A881" s="26">
        <f>IF($B881="","",ROW()-3)</f>
        <v/>
      </c>
      <c r="B881" s="27" t="n"/>
      <c r="C881" s="27" t="n"/>
      <c r="D881" s="28" t="n"/>
      <c r="E881" s="29" t="n"/>
      <c r="F881" s="30" t="n"/>
      <c r="G881" s="31" t="n"/>
      <c r="H881" s="31" t="n"/>
      <c r="I881" s="31" t="n"/>
      <c r="J881" s="31" t="n"/>
      <c r="K881" s="31" t="n"/>
      <c r="L881" s="31" t="n"/>
      <c r="M881" s="31" t="n"/>
      <c r="N881" s="31" t="n"/>
      <c r="O881" s="31" t="n"/>
      <c r="P881" s="31" t="n"/>
      <c r="Q881" s="31" t="n"/>
      <c r="R881" s="31" t="n"/>
      <c r="S881" s="32">
        <f>IF($F881="","",IF(IFERROR(VLOOKUP($F881,'维度字典'!$I$2:$J$50,2,0),"求和")="手工录入","",IF(IFERROR(VLOOKUP($F881,'维度字典'!$I$2:$J$50,2,0),"求和")="最新值",IFERROR(LOOKUP(9.99E+307,G881:R881),""),SUM(G881:R881))))</f>
        <v/>
      </c>
      <c r="T881" s="33" t="n"/>
      <c r="U881" s="33" t="n"/>
    </row>
    <row r="882">
      <c r="A882" s="26">
        <f>IF($B882="","",ROW()-3)</f>
        <v/>
      </c>
      <c r="B882" s="27" t="n"/>
      <c r="C882" s="27" t="n"/>
      <c r="D882" s="28" t="n"/>
      <c r="E882" s="29" t="n"/>
      <c r="F882" s="30" t="n"/>
      <c r="G882" s="31" t="n"/>
      <c r="H882" s="31" t="n"/>
      <c r="I882" s="31" t="n"/>
      <c r="J882" s="31" t="n"/>
      <c r="K882" s="31" t="n"/>
      <c r="L882" s="31" t="n"/>
      <c r="M882" s="31" t="n"/>
      <c r="N882" s="31" t="n"/>
      <c r="O882" s="31" t="n"/>
      <c r="P882" s="31" t="n"/>
      <c r="Q882" s="31" t="n"/>
      <c r="R882" s="31" t="n"/>
      <c r="S882" s="32">
        <f>IF($F882="","",IF(IFERROR(VLOOKUP($F882,'维度字典'!$I$2:$J$50,2,0),"求和")="手工录入","",IF(IFERROR(VLOOKUP($F882,'维度字典'!$I$2:$J$50,2,0),"求和")="最新值",IFERROR(LOOKUP(9.99E+307,G882:R882),""),SUM(G882:R882))))</f>
        <v/>
      </c>
      <c r="T882" s="33" t="n"/>
      <c r="U882" s="33" t="n"/>
    </row>
    <row r="883">
      <c r="A883" s="26">
        <f>IF($B883="","",ROW()-3)</f>
        <v/>
      </c>
      <c r="B883" s="27" t="n"/>
      <c r="C883" s="27" t="n"/>
      <c r="D883" s="28" t="n"/>
      <c r="E883" s="29" t="n"/>
      <c r="F883" s="30" t="n"/>
      <c r="G883" s="31" t="n"/>
      <c r="H883" s="31" t="n"/>
      <c r="I883" s="31" t="n"/>
      <c r="J883" s="31" t="n"/>
      <c r="K883" s="31" t="n"/>
      <c r="L883" s="31" t="n"/>
      <c r="M883" s="31" t="n"/>
      <c r="N883" s="31" t="n"/>
      <c r="O883" s="31" t="n"/>
      <c r="P883" s="31" t="n"/>
      <c r="Q883" s="31" t="n"/>
      <c r="R883" s="31" t="n"/>
      <c r="S883" s="32">
        <f>IF($F883="","",IF(IFERROR(VLOOKUP($F883,'维度字典'!$I$2:$J$50,2,0),"求和")="手工录入","",IF(IFERROR(VLOOKUP($F883,'维度字典'!$I$2:$J$50,2,0),"求和")="最新值",IFERROR(LOOKUP(9.99E+307,G883:R883),""),SUM(G883:R883))))</f>
        <v/>
      </c>
      <c r="T883" s="33" t="n"/>
      <c r="U883" s="33" t="n"/>
    </row>
    <row r="884">
      <c r="A884" s="26">
        <f>IF($B884="","",ROW()-3)</f>
        <v/>
      </c>
      <c r="B884" s="27" t="n"/>
      <c r="C884" s="27" t="n"/>
      <c r="D884" s="28" t="n"/>
      <c r="E884" s="29" t="n"/>
      <c r="F884" s="30" t="n"/>
      <c r="G884" s="31" t="n"/>
      <c r="H884" s="31" t="n"/>
      <c r="I884" s="31" t="n"/>
      <c r="J884" s="31" t="n"/>
      <c r="K884" s="31" t="n"/>
      <c r="L884" s="31" t="n"/>
      <c r="M884" s="31" t="n"/>
      <c r="N884" s="31" t="n"/>
      <c r="O884" s="31" t="n"/>
      <c r="P884" s="31" t="n"/>
      <c r="Q884" s="31" t="n"/>
      <c r="R884" s="31" t="n"/>
      <c r="S884" s="32">
        <f>IF($F884="","",IF(IFERROR(VLOOKUP($F884,'维度字典'!$I$2:$J$50,2,0),"求和")="手工录入","",IF(IFERROR(VLOOKUP($F884,'维度字典'!$I$2:$J$50,2,0),"求和")="最新值",IFERROR(LOOKUP(9.99E+307,G884:R884),""),SUM(G884:R884))))</f>
        <v/>
      </c>
      <c r="T884" s="33" t="n"/>
      <c r="U884" s="33" t="n"/>
    </row>
    <row r="885">
      <c r="A885" s="26">
        <f>IF($B885="","",ROW()-3)</f>
        <v/>
      </c>
      <c r="B885" s="27" t="n"/>
      <c r="C885" s="27" t="n"/>
      <c r="D885" s="28" t="n"/>
      <c r="E885" s="29" t="n"/>
      <c r="F885" s="30" t="n"/>
      <c r="G885" s="31" t="n"/>
      <c r="H885" s="31" t="n"/>
      <c r="I885" s="31" t="n"/>
      <c r="J885" s="31" t="n"/>
      <c r="K885" s="31" t="n"/>
      <c r="L885" s="31" t="n"/>
      <c r="M885" s="31" t="n"/>
      <c r="N885" s="31" t="n"/>
      <c r="O885" s="31" t="n"/>
      <c r="P885" s="31" t="n"/>
      <c r="Q885" s="31" t="n"/>
      <c r="R885" s="31" t="n"/>
      <c r="S885" s="32">
        <f>IF($F885="","",IF(IFERROR(VLOOKUP($F885,'维度字典'!$I$2:$J$50,2,0),"求和")="手工录入","",IF(IFERROR(VLOOKUP($F885,'维度字典'!$I$2:$J$50,2,0),"求和")="最新值",IFERROR(LOOKUP(9.99E+307,G885:R885),""),SUM(G885:R885))))</f>
        <v/>
      </c>
      <c r="T885" s="33" t="n"/>
      <c r="U885" s="33" t="n"/>
    </row>
    <row r="886">
      <c r="A886" s="26">
        <f>IF($B886="","",ROW()-3)</f>
        <v/>
      </c>
      <c r="B886" s="27" t="n"/>
      <c r="C886" s="27" t="n"/>
      <c r="D886" s="28" t="n"/>
      <c r="E886" s="29" t="n"/>
      <c r="F886" s="30" t="n"/>
      <c r="G886" s="31" t="n"/>
      <c r="H886" s="31" t="n"/>
      <c r="I886" s="31" t="n"/>
      <c r="J886" s="31" t="n"/>
      <c r="K886" s="31" t="n"/>
      <c r="L886" s="31" t="n"/>
      <c r="M886" s="31" t="n"/>
      <c r="N886" s="31" t="n"/>
      <c r="O886" s="31" t="n"/>
      <c r="P886" s="31" t="n"/>
      <c r="Q886" s="31" t="n"/>
      <c r="R886" s="31" t="n"/>
      <c r="S886" s="32">
        <f>IF($F886="","",IF(IFERROR(VLOOKUP($F886,'维度字典'!$I$2:$J$50,2,0),"求和")="手工录入","",IF(IFERROR(VLOOKUP($F886,'维度字典'!$I$2:$J$50,2,0),"求和")="最新值",IFERROR(LOOKUP(9.99E+307,G886:R886),""),SUM(G886:R886))))</f>
        <v/>
      </c>
      <c r="T886" s="33" t="n"/>
      <c r="U886" s="33" t="n"/>
    </row>
    <row r="887">
      <c r="A887" s="26">
        <f>IF($B887="","",ROW()-3)</f>
        <v/>
      </c>
      <c r="B887" s="27" t="n"/>
      <c r="C887" s="27" t="n"/>
      <c r="D887" s="28" t="n"/>
      <c r="E887" s="29" t="n"/>
      <c r="F887" s="30" t="n"/>
      <c r="G887" s="31" t="n"/>
      <c r="H887" s="31" t="n"/>
      <c r="I887" s="31" t="n"/>
      <c r="J887" s="31" t="n"/>
      <c r="K887" s="31" t="n"/>
      <c r="L887" s="31" t="n"/>
      <c r="M887" s="31" t="n"/>
      <c r="N887" s="31" t="n"/>
      <c r="O887" s="31" t="n"/>
      <c r="P887" s="31" t="n"/>
      <c r="Q887" s="31" t="n"/>
      <c r="R887" s="31" t="n"/>
      <c r="S887" s="32">
        <f>IF($F887="","",IF(IFERROR(VLOOKUP($F887,'维度字典'!$I$2:$J$50,2,0),"求和")="手工录入","",IF(IFERROR(VLOOKUP($F887,'维度字典'!$I$2:$J$50,2,0),"求和")="最新值",IFERROR(LOOKUP(9.99E+307,G887:R887),""),SUM(G887:R887))))</f>
        <v/>
      </c>
      <c r="T887" s="33" t="n"/>
      <c r="U887" s="33" t="n"/>
    </row>
    <row r="888">
      <c r="A888" s="26">
        <f>IF($B888="","",ROW()-3)</f>
        <v/>
      </c>
      <c r="B888" s="27" t="n"/>
      <c r="C888" s="27" t="n"/>
      <c r="D888" s="28" t="n"/>
      <c r="E888" s="29" t="n"/>
      <c r="F888" s="30" t="n"/>
      <c r="G888" s="31" t="n"/>
      <c r="H888" s="31" t="n"/>
      <c r="I888" s="31" t="n"/>
      <c r="J888" s="31" t="n"/>
      <c r="K888" s="31" t="n"/>
      <c r="L888" s="31" t="n"/>
      <c r="M888" s="31" t="n"/>
      <c r="N888" s="31" t="n"/>
      <c r="O888" s="31" t="n"/>
      <c r="P888" s="31" t="n"/>
      <c r="Q888" s="31" t="n"/>
      <c r="R888" s="31" t="n"/>
      <c r="S888" s="32">
        <f>IF($F888="","",IF(IFERROR(VLOOKUP($F888,'维度字典'!$I$2:$J$50,2,0),"求和")="手工录入","",IF(IFERROR(VLOOKUP($F888,'维度字典'!$I$2:$J$50,2,0),"求和")="最新值",IFERROR(LOOKUP(9.99E+307,G888:R888),""),SUM(G888:R888))))</f>
        <v/>
      </c>
      <c r="T888" s="33" t="n"/>
      <c r="U888" s="33" t="n"/>
    </row>
    <row r="889">
      <c r="A889" s="26">
        <f>IF($B889="","",ROW()-3)</f>
        <v/>
      </c>
      <c r="B889" s="27" t="n"/>
      <c r="C889" s="27" t="n"/>
      <c r="D889" s="28" t="n"/>
      <c r="E889" s="29" t="n"/>
      <c r="F889" s="30" t="n"/>
      <c r="G889" s="31" t="n"/>
      <c r="H889" s="31" t="n"/>
      <c r="I889" s="31" t="n"/>
      <c r="J889" s="31" t="n"/>
      <c r="K889" s="31" t="n"/>
      <c r="L889" s="31" t="n"/>
      <c r="M889" s="31" t="n"/>
      <c r="N889" s="31" t="n"/>
      <c r="O889" s="31" t="n"/>
      <c r="P889" s="31" t="n"/>
      <c r="Q889" s="31" t="n"/>
      <c r="R889" s="31" t="n"/>
      <c r="S889" s="32">
        <f>IF($F889="","",IF(IFERROR(VLOOKUP($F889,'维度字典'!$I$2:$J$50,2,0),"求和")="手工录入","",IF(IFERROR(VLOOKUP($F889,'维度字典'!$I$2:$J$50,2,0),"求和")="最新值",IFERROR(LOOKUP(9.99E+307,G889:R889),""),SUM(G889:R889))))</f>
        <v/>
      </c>
      <c r="T889" s="33" t="n"/>
      <c r="U889" s="33" t="n"/>
    </row>
    <row r="890">
      <c r="A890" s="26">
        <f>IF($B890="","",ROW()-3)</f>
        <v/>
      </c>
      <c r="B890" s="27" t="n"/>
      <c r="C890" s="27" t="n"/>
      <c r="D890" s="28" t="n"/>
      <c r="E890" s="29" t="n"/>
      <c r="F890" s="30" t="n"/>
      <c r="G890" s="31" t="n"/>
      <c r="H890" s="31" t="n"/>
      <c r="I890" s="31" t="n"/>
      <c r="J890" s="31" t="n"/>
      <c r="K890" s="31" t="n"/>
      <c r="L890" s="31" t="n"/>
      <c r="M890" s="31" t="n"/>
      <c r="N890" s="31" t="n"/>
      <c r="O890" s="31" t="n"/>
      <c r="P890" s="31" t="n"/>
      <c r="Q890" s="31" t="n"/>
      <c r="R890" s="31" t="n"/>
      <c r="S890" s="32">
        <f>IF($F890="","",IF(IFERROR(VLOOKUP($F890,'维度字典'!$I$2:$J$50,2,0),"求和")="手工录入","",IF(IFERROR(VLOOKUP($F890,'维度字典'!$I$2:$J$50,2,0),"求和")="最新值",IFERROR(LOOKUP(9.99E+307,G890:R890),""),SUM(G890:R890))))</f>
        <v/>
      </c>
      <c r="T890" s="33" t="n"/>
      <c r="U890" s="33" t="n"/>
    </row>
    <row r="891">
      <c r="A891" s="26">
        <f>IF($B891="","",ROW()-3)</f>
        <v/>
      </c>
      <c r="B891" s="27" t="n"/>
      <c r="C891" s="27" t="n"/>
      <c r="D891" s="28" t="n"/>
      <c r="E891" s="29" t="n"/>
      <c r="F891" s="30" t="n"/>
      <c r="G891" s="31" t="n"/>
      <c r="H891" s="31" t="n"/>
      <c r="I891" s="31" t="n"/>
      <c r="J891" s="31" t="n"/>
      <c r="K891" s="31" t="n"/>
      <c r="L891" s="31" t="n"/>
      <c r="M891" s="31" t="n"/>
      <c r="N891" s="31" t="n"/>
      <c r="O891" s="31" t="n"/>
      <c r="P891" s="31" t="n"/>
      <c r="Q891" s="31" t="n"/>
      <c r="R891" s="31" t="n"/>
      <c r="S891" s="32">
        <f>IF($F891="","",IF(IFERROR(VLOOKUP($F891,'维度字典'!$I$2:$J$50,2,0),"求和")="手工录入","",IF(IFERROR(VLOOKUP($F891,'维度字典'!$I$2:$J$50,2,0),"求和")="最新值",IFERROR(LOOKUP(9.99E+307,G891:R891),""),SUM(G891:R891))))</f>
        <v/>
      </c>
      <c r="T891" s="33" t="n"/>
      <c r="U891" s="33" t="n"/>
    </row>
    <row r="892">
      <c r="A892" s="26">
        <f>IF($B892="","",ROW()-3)</f>
        <v/>
      </c>
      <c r="B892" s="27" t="n"/>
      <c r="C892" s="27" t="n"/>
      <c r="D892" s="28" t="n"/>
      <c r="E892" s="29" t="n"/>
      <c r="F892" s="30" t="n"/>
      <c r="G892" s="31" t="n"/>
      <c r="H892" s="31" t="n"/>
      <c r="I892" s="31" t="n"/>
      <c r="J892" s="31" t="n"/>
      <c r="K892" s="31" t="n"/>
      <c r="L892" s="31" t="n"/>
      <c r="M892" s="31" t="n"/>
      <c r="N892" s="31" t="n"/>
      <c r="O892" s="31" t="n"/>
      <c r="P892" s="31" t="n"/>
      <c r="Q892" s="31" t="n"/>
      <c r="R892" s="31" t="n"/>
      <c r="S892" s="32">
        <f>IF($F892="","",IF(IFERROR(VLOOKUP($F892,'维度字典'!$I$2:$J$50,2,0),"求和")="手工录入","",IF(IFERROR(VLOOKUP($F892,'维度字典'!$I$2:$J$50,2,0),"求和")="最新值",IFERROR(LOOKUP(9.99E+307,G892:R892),""),SUM(G892:R892))))</f>
        <v/>
      </c>
      <c r="T892" s="33" t="n"/>
      <c r="U892" s="33" t="n"/>
    </row>
    <row r="893">
      <c r="A893" s="26">
        <f>IF($B893="","",ROW()-3)</f>
        <v/>
      </c>
      <c r="B893" s="27" t="n"/>
      <c r="C893" s="27" t="n"/>
      <c r="D893" s="28" t="n"/>
      <c r="E893" s="29" t="n"/>
      <c r="F893" s="30" t="n"/>
      <c r="G893" s="31" t="n"/>
      <c r="H893" s="31" t="n"/>
      <c r="I893" s="31" t="n"/>
      <c r="J893" s="31" t="n"/>
      <c r="K893" s="31" t="n"/>
      <c r="L893" s="31" t="n"/>
      <c r="M893" s="31" t="n"/>
      <c r="N893" s="31" t="n"/>
      <c r="O893" s="31" t="n"/>
      <c r="P893" s="31" t="n"/>
      <c r="Q893" s="31" t="n"/>
      <c r="R893" s="31" t="n"/>
      <c r="S893" s="32">
        <f>IF($F893="","",IF(IFERROR(VLOOKUP($F893,'维度字典'!$I$2:$J$50,2,0),"求和")="手工录入","",IF(IFERROR(VLOOKUP($F893,'维度字典'!$I$2:$J$50,2,0),"求和")="最新值",IFERROR(LOOKUP(9.99E+307,G893:R893),""),SUM(G893:R893))))</f>
        <v/>
      </c>
      <c r="T893" s="33" t="n"/>
      <c r="U893" s="33" t="n"/>
    </row>
    <row r="894">
      <c r="A894" s="26">
        <f>IF($B894="","",ROW()-3)</f>
        <v/>
      </c>
      <c r="B894" s="27" t="n"/>
      <c r="C894" s="27" t="n"/>
      <c r="D894" s="28" t="n"/>
      <c r="E894" s="29" t="n"/>
      <c r="F894" s="30" t="n"/>
      <c r="G894" s="31" t="n"/>
      <c r="H894" s="31" t="n"/>
      <c r="I894" s="31" t="n"/>
      <c r="J894" s="31" t="n"/>
      <c r="K894" s="31" t="n"/>
      <c r="L894" s="31" t="n"/>
      <c r="M894" s="31" t="n"/>
      <c r="N894" s="31" t="n"/>
      <c r="O894" s="31" t="n"/>
      <c r="P894" s="31" t="n"/>
      <c r="Q894" s="31" t="n"/>
      <c r="R894" s="31" t="n"/>
      <c r="S894" s="32">
        <f>IF($F894="","",IF(IFERROR(VLOOKUP($F894,'维度字典'!$I$2:$J$50,2,0),"求和")="手工录入","",IF(IFERROR(VLOOKUP($F894,'维度字典'!$I$2:$J$50,2,0),"求和")="最新值",IFERROR(LOOKUP(9.99E+307,G894:R894),""),SUM(G894:R894))))</f>
        <v/>
      </c>
      <c r="T894" s="33" t="n"/>
      <c r="U894" s="33" t="n"/>
    </row>
    <row r="895">
      <c r="A895" s="26">
        <f>IF($B895="","",ROW()-3)</f>
        <v/>
      </c>
      <c r="B895" s="27" t="n"/>
      <c r="C895" s="27" t="n"/>
      <c r="D895" s="28" t="n"/>
      <c r="E895" s="29" t="n"/>
      <c r="F895" s="30" t="n"/>
      <c r="G895" s="31" t="n"/>
      <c r="H895" s="31" t="n"/>
      <c r="I895" s="31" t="n"/>
      <c r="J895" s="31" t="n"/>
      <c r="K895" s="31" t="n"/>
      <c r="L895" s="31" t="n"/>
      <c r="M895" s="31" t="n"/>
      <c r="N895" s="31" t="n"/>
      <c r="O895" s="31" t="n"/>
      <c r="P895" s="31" t="n"/>
      <c r="Q895" s="31" t="n"/>
      <c r="R895" s="31" t="n"/>
      <c r="S895" s="32">
        <f>IF($F895="","",IF(IFERROR(VLOOKUP($F895,'维度字典'!$I$2:$J$50,2,0),"求和")="手工录入","",IF(IFERROR(VLOOKUP($F895,'维度字典'!$I$2:$J$50,2,0),"求和")="最新值",IFERROR(LOOKUP(9.99E+307,G895:R895),""),SUM(G895:R895))))</f>
        <v/>
      </c>
      <c r="T895" s="33" t="n"/>
      <c r="U895" s="33" t="n"/>
    </row>
    <row r="896">
      <c r="A896" s="26">
        <f>IF($B896="","",ROW()-3)</f>
        <v/>
      </c>
      <c r="B896" s="27" t="n"/>
      <c r="C896" s="27" t="n"/>
      <c r="D896" s="28" t="n"/>
      <c r="E896" s="29" t="n"/>
      <c r="F896" s="30" t="n"/>
      <c r="G896" s="31" t="n"/>
      <c r="H896" s="31" t="n"/>
      <c r="I896" s="31" t="n"/>
      <c r="J896" s="31" t="n"/>
      <c r="K896" s="31" t="n"/>
      <c r="L896" s="31" t="n"/>
      <c r="M896" s="31" t="n"/>
      <c r="N896" s="31" t="n"/>
      <c r="O896" s="31" t="n"/>
      <c r="P896" s="31" t="n"/>
      <c r="Q896" s="31" t="n"/>
      <c r="R896" s="31" t="n"/>
      <c r="S896" s="32">
        <f>IF($F896="","",IF(IFERROR(VLOOKUP($F896,'维度字典'!$I$2:$J$50,2,0),"求和")="手工录入","",IF(IFERROR(VLOOKUP($F896,'维度字典'!$I$2:$J$50,2,0),"求和")="最新值",IFERROR(LOOKUP(9.99E+307,G896:R896),""),SUM(G896:R896))))</f>
        <v/>
      </c>
      <c r="T896" s="33" t="n"/>
      <c r="U896" s="33" t="n"/>
    </row>
    <row r="897">
      <c r="A897" s="26">
        <f>IF($B897="","",ROW()-3)</f>
        <v/>
      </c>
      <c r="B897" s="27" t="n"/>
      <c r="C897" s="27" t="n"/>
      <c r="D897" s="28" t="n"/>
      <c r="E897" s="29" t="n"/>
      <c r="F897" s="30" t="n"/>
      <c r="G897" s="31" t="n"/>
      <c r="H897" s="31" t="n"/>
      <c r="I897" s="31" t="n"/>
      <c r="J897" s="31" t="n"/>
      <c r="K897" s="31" t="n"/>
      <c r="L897" s="31" t="n"/>
      <c r="M897" s="31" t="n"/>
      <c r="N897" s="31" t="n"/>
      <c r="O897" s="31" t="n"/>
      <c r="P897" s="31" t="n"/>
      <c r="Q897" s="31" t="n"/>
      <c r="R897" s="31" t="n"/>
      <c r="S897" s="32">
        <f>IF($F897="","",IF(IFERROR(VLOOKUP($F897,'维度字典'!$I$2:$J$50,2,0),"求和")="手工录入","",IF(IFERROR(VLOOKUP($F897,'维度字典'!$I$2:$J$50,2,0),"求和")="最新值",IFERROR(LOOKUP(9.99E+307,G897:R897),""),SUM(G897:R897))))</f>
        <v/>
      </c>
      <c r="T897" s="33" t="n"/>
      <c r="U897" s="33" t="n"/>
    </row>
    <row r="898">
      <c r="A898" s="26">
        <f>IF($B898="","",ROW()-3)</f>
        <v/>
      </c>
      <c r="B898" s="27" t="n"/>
      <c r="C898" s="27" t="n"/>
      <c r="D898" s="28" t="n"/>
      <c r="E898" s="29" t="n"/>
      <c r="F898" s="30" t="n"/>
      <c r="G898" s="31" t="n"/>
      <c r="H898" s="31" t="n"/>
      <c r="I898" s="31" t="n"/>
      <c r="J898" s="31" t="n"/>
      <c r="K898" s="31" t="n"/>
      <c r="L898" s="31" t="n"/>
      <c r="M898" s="31" t="n"/>
      <c r="N898" s="31" t="n"/>
      <c r="O898" s="31" t="n"/>
      <c r="P898" s="31" t="n"/>
      <c r="Q898" s="31" t="n"/>
      <c r="R898" s="31" t="n"/>
      <c r="S898" s="32">
        <f>IF($F898="","",IF(IFERROR(VLOOKUP($F898,'维度字典'!$I$2:$J$50,2,0),"求和")="手工录入","",IF(IFERROR(VLOOKUP($F898,'维度字典'!$I$2:$J$50,2,0),"求和")="最新值",IFERROR(LOOKUP(9.99E+307,G898:R898),""),SUM(G898:R898))))</f>
        <v/>
      </c>
      <c r="T898" s="33" t="n"/>
      <c r="U898" s="33" t="n"/>
    </row>
    <row r="899">
      <c r="A899" s="26">
        <f>IF($B899="","",ROW()-3)</f>
        <v/>
      </c>
      <c r="B899" s="27" t="n"/>
      <c r="C899" s="27" t="n"/>
      <c r="D899" s="28" t="n"/>
      <c r="E899" s="29" t="n"/>
      <c r="F899" s="30" t="n"/>
      <c r="G899" s="31" t="n"/>
      <c r="H899" s="31" t="n"/>
      <c r="I899" s="31" t="n"/>
      <c r="J899" s="31" t="n"/>
      <c r="K899" s="31" t="n"/>
      <c r="L899" s="31" t="n"/>
      <c r="M899" s="31" t="n"/>
      <c r="N899" s="31" t="n"/>
      <c r="O899" s="31" t="n"/>
      <c r="P899" s="31" t="n"/>
      <c r="Q899" s="31" t="n"/>
      <c r="R899" s="31" t="n"/>
      <c r="S899" s="32">
        <f>IF($F899="","",IF(IFERROR(VLOOKUP($F899,'维度字典'!$I$2:$J$50,2,0),"求和")="手工录入","",IF(IFERROR(VLOOKUP($F899,'维度字典'!$I$2:$J$50,2,0),"求和")="最新值",IFERROR(LOOKUP(9.99E+307,G899:R899),""),SUM(G899:R899))))</f>
        <v/>
      </c>
      <c r="T899" s="33" t="n"/>
      <c r="U899" s="33" t="n"/>
    </row>
    <row r="900">
      <c r="A900" s="26">
        <f>IF($B900="","",ROW()-3)</f>
        <v/>
      </c>
      <c r="B900" s="27" t="n"/>
      <c r="C900" s="27" t="n"/>
      <c r="D900" s="28" t="n"/>
      <c r="E900" s="29" t="n"/>
      <c r="F900" s="30" t="n"/>
      <c r="G900" s="31" t="n"/>
      <c r="H900" s="31" t="n"/>
      <c r="I900" s="31" t="n"/>
      <c r="J900" s="31" t="n"/>
      <c r="K900" s="31" t="n"/>
      <c r="L900" s="31" t="n"/>
      <c r="M900" s="31" t="n"/>
      <c r="N900" s="31" t="n"/>
      <c r="O900" s="31" t="n"/>
      <c r="P900" s="31" t="n"/>
      <c r="Q900" s="31" t="n"/>
      <c r="R900" s="31" t="n"/>
      <c r="S900" s="32">
        <f>IF($F900="","",IF(IFERROR(VLOOKUP($F900,'维度字典'!$I$2:$J$50,2,0),"求和")="手工录入","",IF(IFERROR(VLOOKUP($F900,'维度字典'!$I$2:$J$50,2,0),"求和")="最新值",IFERROR(LOOKUP(9.99E+307,G900:R900),""),SUM(G900:R900))))</f>
        <v/>
      </c>
      <c r="T900" s="33" t="n"/>
      <c r="U900" s="33" t="n"/>
    </row>
    <row r="901">
      <c r="A901" s="26">
        <f>IF($B901="","",ROW()-3)</f>
        <v/>
      </c>
      <c r="B901" s="27" t="n"/>
      <c r="C901" s="27" t="n"/>
      <c r="D901" s="28" t="n"/>
      <c r="E901" s="29" t="n"/>
      <c r="F901" s="30" t="n"/>
      <c r="G901" s="31" t="n"/>
      <c r="H901" s="31" t="n"/>
      <c r="I901" s="31" t="n"/>
      <c r="J901" s="31" t="n"/>
      <c r="K901" s="31" t="n"/>
      <c r="L901" s="31" t="n"/>
      <c r="M901" s="31" t="n"/>
      <c r="N901" s="31" t="n"/>
      <c r="O901" s="31" t="n"/>
      <c r="P901" s="31" t="n"/>
      <c r="Q901" s="31" t="n"/>
      <c r="R901" s="31" t="n"/>
      <c r="S901" s="32">
        <f>IF($F901="","",IF(IFERROR(VLOOKUP($F901,'维度字典'!$I$2:$J$50,2,0),"求和")="手工录入","",IF(IFERROR(VLOOKUP($F901,'维度字典'!$I$2:$J$50,2,0),"求和")="最新值",IFERROR(LOOKUP(9.99E+307,G901:R901),""),SUM(G901:R901))))</f>
        <v/>
      </c>
      <c r="T901" s="33" t="n"/>
      <c r="U901" s="33" t="n"/>
    </row>
    <row r="902">
      <c r="A902" s="26">
        <f>IF($B902="","",ROW()-3)</f>
        <v/>
      </c>
      <c r="B902" s="27" t="n"/>
      <c r="C902" s="27" t="n"/>
      <c r="D902" s="28" t="n"/>
      <c r="E902" s="29" t="n"/>
      <c r="F902" s="30" t="n"/>
      <c r="G902" s="31" t="n"/>
      <c r="H902" s="31" t="n"/>
      <c r="I902" s="31" t="n"/>
      <c r="J902" s="31" t="n"/>
      <c r="K902" s="31" t="n"/>
      <c r="L902" s="31" t="n"/>
      <c r="M902" s="31" t="n"/>
      <c r="N902" s="31" t="n"/>
      <c r="O902" s="31" t="n"/>
      <c r="P902" s="31" t="n"/>
      <c r="Q902" s="31" t="n"/>
      <c r="R902" s="31" t="n"/>
      <c r="S902" s="32">
        <f>IF($F902="","",IF(IFERROR(VLOOKUP($F902,'维度字典'!$I$2:$J$50,2,0),"求和")="手工录入","",IF(IFERROR(VLOOKUP($F902,'维度字典'!$I$2:$J$50,2,0),"求和")="最新值",IFERROR(LOOKUP(9.99E+307,G902:R902),""),SUM(G902:R902))))</f>
        <v/>
      </c>
      <c r="T902" s="33" t="n"/>
      <c r="U902" s="33" t="n"/>
    </row>
    <row r="903">
      <c r="A903" s="26">
        <f>IF($B903="","",ROW()-3)</f>
        <v/>
      </c>
      <c r="B903" s="27" t="n"/>
      <c r="C903" s="27" t="n"/>
      <c r="D903" s="28" t="n"/>
      <c r="E903" s="29" t="n"/>
      <c r="F903" s="30" t="n"/>
      <c r="G903" s="31" t="n"/>
      <c r="H903" s="31" t="n"/>
      <c r="I903" s="31" t="n"/>
      <c r="J903" s="31" t="n"/>
      <c r="K903" s="31" t="n"/>
      <c r="L903" s="31" t="n"/>
      <c r="M903" s="31" t="n"/>
      <c r="N903" s="31" t="n"/>
      <c r="O903" s="31" t="n"/>
      <c r="P903" s="31" t="n"/>
      <c r="Q903" s="31" t="n"/>
      <c r="R903" s="31" t="n"/>
      <c r="S903" s="32">
        <f>IF($F903="","",IF(IFERROR(VLOOKUP($F903,'维度字典'!$I$2:$J$50,2,0),"求和")="手工录入","",IF(IFERROR(VLOOKUP($F903,'维度字典'!$I$2:$J$50,2,0),"求和")="最新值",IFERROR(LOOKUP(9.99E+307,G903:R903),""),SUM(G903:R903))))</f>
        <v/>
      </c>
      <c r="T903" s="33" t="n"/>
      <c r="U903" s="33" t="n"/>
    </row>
    <row r="904">
      <c r="A904" s="26">
        <f>IF($B904="","",ROW()-3)</f>
        <v/>
      </c>
      <c r="B904" s="27" t="n"/>
      <c r="C904" s="27" t="n"/>
      <c r="D904" s="28" t="n"/>
      <c r="E904" s="29" t="n"/>
      <c r="F904" s="30" t="n"/>
      <c r="G904" s="31" t="n"/>
      <c r="H904" s="31" t="n"/>
      <c r="I904" s="31" t="n"/>
      <c r="J904" s="31" t="n"/>
      <c r="K904" s="31" t="n"/>
      <c r="L904" s="31" t="n"/>
      <c r="M904" s="31" t="n"/>
      <c r="N904" s="31" t="n"/>
      <c r="O904" s="31" t="n"/>
      <c r="P904" s="31" t="n"/>
      <c r="Q904" s="31" t="n"/>
      <c r="R904" s="31" t="n"/>
      <c r="S904" s="32">
        <f>IF($F904="","",IF(IFERROR(VLOOKUP($F904,'维度字典'!$I$2:$J$50,2,0),"求和")="手工录入","",IF(IFERROR(VLOOKUP($F904,'维度字典'!$I$2:$J$50,2,0),"求和")="最新值",IFERROR(LOOKUP(9.99E+307,G904:R904),""),SUM(G904:R904))))</f>
        <v/>
      </c>
      <c r="T904" s="33" t="n"/>
      <c r="U904" s="33" t="n"/>
    </row>
    <row r="905">
      <c r="A905" s="26">
        <f>IF($B905="","",ROW()-3)</f>
        <v/>
      </c>
      <c r="B905" s="27" t="n"/>
      <c r="C905" s="27" t="n"/>
      <c r="D905" s="28" t="n"/>
      <c r="E905" s="29" t="n"/>
      <c r="F905" s="30" t="n"/>
      <c r="G905" s="31" t="n"/>
      <c r="H905" s="31" t="n"/>
      <c r="I905" s="31" t="n"/>
      <c r="J905" s="31" t="n"/>
      <c r="K905" s="31" t="n"/>
      <c r="L905" s="31" t="n"/>
      <c r="M905" s="31" t="n"/>
      <c r="N905" s="31" t="n"/>
      <c r="O905" s="31" t="n"/>
      <c r="P905" s="31" t="n"/>
      <c r="Q905" s="31" t="n"/>
      <c r="R905" s="31" t="n"/>
      <c r="S905" s="32">
        <f>IF($F905="","",IF(IFERROR(VLOOKUP($F905,'维度字典'!$I$2:$J$50,2,0),"求和")="手工录入","",IF(IFERROR(VLOOKUP($F905,'维度字典'!$I$2:$J$50,2,0),"求和")="最新值",IFERROR(LOOKUP(9.99E+307,G905:R905),""),SUM(G905:R905))))</f>
        <v/>
      </c>
      <c r="T905" s="33" t="n"/>
      <c r="U905" s="33" t="n"/>
    </row>
    <row r="906">
      <c r="A906" s="26">
        <f>IF($B906="","",ROW()-3)</f>
        <v/>
      </c>
      <c r="B906" s="27" t="n"/>
      <c r="C906" s="27" t="n"/>
      <c r="D906" s="28" t="n"/>
      <c r="E906" s="29" t="n"/>
      <c r="F906" s="30" t="n"/>
      <c r="G906" s="31" t="n"/>
      <c r="H906" s="31" t="n"/>
      <c r="I906" s="31" t="n"/>
      <c r="J906" s="31" t="n"/>
      <c r="K906" s="31" t="n"/>
      <c r="L906" s="31" t="n"/>
      <c r="M906" s="31" t="n"/>
      <c r="N906" s="31" t="n"/>
      <c r="O906" s="31" t="n"/>
      <c r="P906" s="31" t="n"/>
      <c r="Q906" s="31" t="n"/>
      <c r="R906" s="31" t="n"/>
      <c r="S906" s="32">
        <f>IF($F906="","",IF(IFERROR(VLOOKUP($F906,'维度字典'!$I$2:$J$50,2,0),"求和")="手工录入","",IF(IFERROR(VLOOKUP($F906,'维度字典'!$I$2:$J$50,2,0),"求和")="最新值",IFERROR(LOOKUP(9.99E+307,G906:R906),""),SUM(G906:R906))))</f>
        <v/>
      </c>
      <c r="T906" s="33" t="n"/>
      <c r="U906" s="33" t="n"/>
    </row>
    <row r="907">
      <c r="A907" s="26">
        <f>IF($B907="","",ROW()-3)</f>
        <v/>
      </c>
      <c r="B907" s="27" t="n"/>
      <c r="C907" s="27" t="n"/>
      <c r="D907" s="28" t="n"/>
      <c r="E907" s="29" t="n"/>
      <c r="F907" s="30" t="n"/>
      <c r="G907" s="31" t="n"/>
      <c r="H907" s="31" t="n"/>
      <c r="I907" s="31" t="n"/>
      <c r="J907" s="31" t="n"/>
      <c r="K907" s="31" t="n"/>
      <c r="L907" s="31" t="n"/>
      <c r="M907" s="31" t="n"/>
      <c r="N907" s="31" t="n"/>
      <c r="O907" s="31" t="n"/>
      <c r="P907" s="31" t="n"/>
      <c r="Q907" s="31" t="n"/>
      <c r="R907" s="31" t="n"/>
      <c r="S907" s="32">
        <f>IF($F907="","",IF(IFERROR(VLOOKUP($F907,'维度字典'!$I$2:$J$50,2,0),"求和")="手工录入","",IF(IFERROR(VLOOKUP($F907,'维度字典'!$I$2:$J$50,2,0),"求和")="最新值",IFERROR(LOOKUP(9.99E+307,G907:R907),""),SUM(G907:R907))))</f>
        <v/>
      </c>
      <c r="T907" s="33" t="n"/>
      <c r="U907" s="33" t="n"/>
    </row>
    <row r="908">
      <c r="A908" s="26">
        <f>IF($B908="","",ROW()-3)</f>
        <v/>
      </c>
      <c r="B908" s="27" t="n"/>
      <c r="C908" s="27" t="n"/>
      <c r="D908" s="28" t="n"/>
      <c r="E908" s="29" t="n"/>
      <c r="F908" s="30" t="n"/>
      <c r="G908" s="31" t="n"/>
      <c r="H908" s="31" t="n"/>
      <c r="I908" s="31" t="n"/>
      <c r="J908" s="31" t="n"/>
      <c r="K908" s="31" t="n"/>
      <c r="L908" s="31" t="n"/>
      <c r="M908" s="31" t="n"/>
      <c r="N908" s="31" t="n"/>
      <c r="O908" s="31" t="n"/>
      <c r="P908" s="31" t="n"/>
      <c r="Q908" s="31" t="n"/>
      <c r="R908" s="31" t="n"/>
      <c r="S908" s="32">
        <f>IF($F908="","",IF(IFERROR(VLOOKUP($F908,'维度字典'!$I$2:$J$50,2,0),"求和")="手工录入","",IF(IFERROR(VLOOKUP($F908,'维度字典'!$I$2:$J$50,2,0),"求和")="最新值",IFERROR(LOOKUP(9.99E+307,G908:R908),""),SUM(G908:R908))))</f>
        <v/>
      </c>
      <c r="T908" s="33" t="n"/>
      <c r="U908" s="33" t="n"/>
    </row>
    <row r="909">
      <c r="A909" s="26">
        <f>IF($B909="","",ROW()-3)</f>
        <v/>
      </c>
      <c r="B909" s="27" t="n"/>
      <c r="C909" s="27" t="n"/>
      <c r="D909" s="28" t="n"/>
      <c r="E909" s="29" t="n"/>
      <c r="F909" s="30" t="n"/>
      <c r="G909" s="31" t="n"/>
      <c r="H909" s="31" t="n"/>
      <c r="I909" s="31" t="n"/>
      <c r="J909" s="31" t="n"/>
      <c r="K909" s="31" t="n"/>
      <c r="L909" s="31" t="n"/>
      <c r="M909" s="31" t="n"/>
      <c r="N909" s="31" t="n"/>
      <c r="O909" s="31" t="n"/>
      <c r="P909" s="31" t="n"/>
      <c r="Q909" s="31" t="n"/>
      <c r="R909" s="31" t="n"/>
      <c r="S909" s="32">
        <f>IF($F909="","",IF(IFERROR(VLOOKUP($F909,'维度字典'!$I$2:$J$50,2,0),"求和")="手工录入","",IF(IFERROR(VLOOKUP($F909,'维度字典'!$I$2:$J$50,2,0),"求和")="最新值",IFERROR(LOOKUP(9.99E+307,G909:R909),""),SUM(G909:R909))))</f>
        <v/>
      </c>
      <c r="T909" s="33" t="n"/>
      <c r="U909" s="33" t="n"/>
    </row>
    <row r="910">
      <c r="A910" s="26">
        <f>IF($B910="","",ROW()-3)</f>
        <v/>
      </c>
      <c r="B910" s="27" t="n"/>
      <c r="C910" s="27" t="n"/>
      <c r="D910" s="28" t="n"/>
      <c r="E910" s="29" t="n"/>
      <c r="F910" s="30" t="n"/>
      <c r="G910" s="31" t="n"/>
      <c r="H910" s="31" t="n"/>
      <c r="I910" s="31" t="n"/>
      <c r="J910" s="31" t="n"/>
      <c r="K910" s="31" t="n"/>
      <c r="L910" s="31" t="n"/>
      <c r="M910" s="31" t="n"/>
      <c r="N910" s="31" t="n"/>
      <c r="O910" s="31" t="n"/>
      <c r="P910" s="31" t="n"/>
      <c r="Q910" s="31" t="n"/>
      <c r="R910" s="31" t="n"/>
      <c r="S910" s="32">
        <f>IF($F910="","",IF(IFERROR(VLOOKUP($F910,'维度字典'!$I$2:$J$50,2,0),"求和")="手工录入","",IF(IFERROR(VLOOKUP($F910,'维度字典'!$I$2:$J$50,2,0),"求和")="最新值",IFERROR(LOOKUP(9.99E+307,G910:R910),""),SUM(G910:R910))))</f>
        <v/>
      </c>
      <c r="T910" s="33" t="n"/>
      <c r="U910" s="33" t="n"/>
    </row>
    <row r="911">
      <c r="A911" s="26">
        <f>IF($B911="","",ROW()-3)</f>
        <v/>
      </c>
      <c r="B911" s="27" t="n"/>
      <c r="C911" s="27" t="n"/>
      <c r="D911" s="28" t="n"/>
      <c r="E911" s="29" t="n"/>
      <c r="F911" s="30" t="n"/>
      <c r="G911" s="31" t="n"/>
      <c r="H911" s="31" t="n"/>
      <c r="I911" s="31" t="n"/>
      <c r="J911" s="31" t="n"/>
      <c r="K911" s="31" t="n"/>
      <c r="L911" s="31" t="n"/>
      <c r="M911" s="31" t="n"/>
      <c r="N911" s="31" t="n"/>
      <c r="O911" s="31" t="n"/>
      <c r="P911" s="31" t="n"/>
      <c r="Q911" s="31" t="n"/>
      <c r="R911" s="31" t="n"/>
      <c r="S911" s="32">
        <f>IF($F911="","",IF(IFERROR(VLOOKUP($F911,'维度字典'!$I$2:$J$50,2,0),"求和")="手工录入","",IF(IFERROR(VLOOKUP($F911,'维度字典'!$I$2:$J$50,2,0),"求和")="最新值",IFERROR(LOOKUP(9.99E+307,G911:R911),""),SUM(G911:R911))))</f>
        <v/>
      </c>
      <c r="T911" s="33" t="n"/>
      <c r="U911" s="33" t="n"/>
    </row>
    <row r="912">
      <c r="A912" s="26">
        <f>IF($B912="","",ROW()-3)</f>
        <v/>
      </c>
      <c r="B912" s="27" t="n"/>
      <c r="C912" s="27" t="n"/>
      <c r="D912" s="28" t="n"/>
      <c r="E912" s="29" t="n"/>
      <c r="F912" s="30" t="n"/>
      <c r="G912" s="31" t="n"/>
      <c r="H912" s="31" t="n"/>
      <c r="I912" s="31" t="n"/>
      <c r="J912" s="31" t="n"/>
      <c r="K912" s="31" t="n"/>
      <c r="L912" s="31" t="n"/>
      <c r="M912" s="31" t="n"/>
      <c r="N912" s="31" t="n"/>
      <c r="O912" s="31" t="n"/>
      <c r="P912" s="31" t="n"/>
      <c r="Q912" s="31" t="n"/>
      <c r="R912" s="31" t="n"/>
      <c r="S912" s="32">
        <f>IF($F912="","",IF(IFERROR(VLOOKUP($F912,'维度字典'!$I$2:$J$50,2,0),"求和")="手工录入","",IF(IFERROR(VLOOKUP($F912,'维度字典'!$I$2:$J$50,2,0),"求和")="最新值",IFERROR(LOOKUP(9.99E+307,G912:R912),""),SUM(G912:R912))))</f>
        <v/>
      </c>
      <c r="T912" s="33" t="n"/>
      <c r="U912" s="33" t="n"/>
    </row>
    <row r="913">
      <c r="A913" s="26">
        <f>IF($B913="","",ROW()-3)</f>
        <v/>
      </c>
      <c r="B913" s="27" t="n"/>
      <c r="C913" s="27" t="n"/>
      <c r="D913" s="28" t="n"/>
      <c r="E913" s="29" t="n"/>
      <c r="F913" s="30" t="n"/>
      <c r="G913" s="31" t="n"/>
      <c r="H913" s="31" t="n"/>
      <c r="I913" s="31" t="n"/>
      <c r="J913" s="31" t="n"/>
      <c r="K913" s="31" t="n"/>
      <c r="L913" s="31" t="n"/>
      <c r="M913" s="31" t="n"/>
      <c r="N913" s="31" t="n"/>
      <c r="O913" s="31" t="n"/>
      <c r="P913" s="31" t="n"/>
      <c r="Q913" s="31" t="n"/>
      <c r="R913" s="31" t="n"/>
      <c r="S913" s="32">
        <f>IF($F913="","",IF(IFERROR(VLOOKUP($F913,'维度字典'!$I$2:$J$50,2,0),"求和")="手工录入","",IF(IFERROR(VLOOKUP($F913,'维度字典'!$I$2:$J$50,2,0),"求和")="最新值",IFERROR(LOOKUP(9.99E+307,G913:R913),""),SUM(G913:R913))))</f>
        <v/>
      </c>
      <c r="T913" s="33" t="n"/>
      <c r="U913" s="33" t="n"/>
    </row>
    <row r="914">
      <c r="A914" s="26">
        <f>IF($B914="","",ROW()-3)</f>
        <v/>
      </c>
      <c r="B914" s="27" t="n"/>
      <c r="C914" s="27" t="n"/>
      <c r="D914" s="28" t="n"/>
      <c r="E914" s="29" t="n"/>
      <c r="F914" s="30" t="n"/>
      <c r="G914" s="31" t="n"/>
      <c r="H914" s="31" t="n"/>
      <c r="I914" s="31" t="n"/>
      <c r="J914" s="31" t="n"/>
      <c r="K914" s="31" t="n"/>
      <c r="L914" s="31" t="n"/>
      <c r="M914" s="31" t="n"/>
      <c r="N914" s="31" t="n"/>
      <c r="O914" s="31" t="n"/>
      <c r="P914" s="31" t="n"/>
      <c r="Q914" s="31" t="n"/>
      <c r="R914" s="31" t="n"/>
      <c r="S914" s="32">
        <f>IF($F914="","",IF(IFERROR(VLOOKUP($F914,'维度字典'!$I$2:$J$50,2,0),"求和")="手工录入","",IF(IFERROR(VLOOKUP($F914,'维度字典'!$I$2:$J$50,2,0),"求和")="最新值",IFERROR(LOOKUP(9.99E+307,G914:R914),""),SUM(G914:R914))))</f>
        <v/>
      </c>
      <c r="T914" s="33" t="n"/>
      <c r="U914" s="33" t="n"/>
    </row>
    <row r="915">
      <c r="A915" s="26">
        <f>IF($B915="","",ROW()-3)</f>
        <v/>
      </c>
      <c r="B915" s="27" t="n"/>
      <c r="C915" s="27" t="n"/>
      <c r="D915" s="28" t="n"/>
      <c r="E915" s="29" t="n"/>
      <c r="F915" s="30" t="n"/>
      <c r="G915" s="31" t="n"/>
      <c r="H915" s="31" t="n"/>
      <c r="I915" s="31" t="n"/>
      <c r="J915" s="31" t="n"/>
      <c r="K915" s="31" t="n"/>
      <c r="L915" s="31" t="n"/>
      <c r="M915" s="31" t="n"/>
      <c r="N915" s="31" t="n"/>
      <c r="O915" s="31" t="n"/>
      <c r="P915" s="31" t="n"/>
      <c r="Q915" s="31" t="n"/>
      <c r="R915" s="31" t="n"/>
      <c r="S915" s="32">
        <f>IF($F915="","",IF(IFERROR(VLOOKUP($F915,'维度字典'!$I$2:$J$50,2,0),"求和")="手工录入","",IF(IFERROR(VLOOKUP($F915,'维度字典'!$I$2:$J$50,2,0),"求和")="最新值",IFERROR(LOOKUP(9.99E+307,G915:R915),""),SUM(G915:R915))))</f>
        <v/>
      </c>
      <c r="T915" s="33" t="n"/>
      <c r="U915" s="33" t="n"/>
    </row>
    <row r="916">
      <c r="A916" s="26">
        <f>IF($B916="","",ROW()-3)</f>
        <v/>
      </c>
      <c r="B916" s="27" t="n"/>
      <c r="C916" s="27" t="n"/>
      <c r="D916" s="28" t="n"/>
      <c r="E916" s="29" t="n"/>
      <c r="F916" s="30" t="n"/>
      <c r="G916" s="31" t="n"/>
      <c r="H916" s="31" t="n"/>
      <c r="I916" s="31" t="n"/>
      <c r="J916" s="31" t="n"/>
      <c r="K916" s="31" t="n"/>
      <c r="L916" s="31" t="n"/>
      <c r="M916" s="31" t="n"/>
      <c r="N916" s="31" t="n"/>
      <c r="O916" s="31" t="n"/>
      <c r="P916" s="31" t="n"/>
      <c r="Q916" s="31" t="n"/>
      <c r="R916" s="31" t="n"/>
      <c r="S916" s="32">
        <f>IF($F916="","",IF(IFERROR(VLOOKUP($F916,'维度字典'!$I$2:$J$50,2,0),"求和")="手工录入","",IF(IFERROR(VLOOKUP($F916,'维度字典'!$I$2:$J$50,2,0),"求和")="最新值",IFERROR(LOOKUP(9.99E+307,G916:R916),""),SUM(G916:R916))))</f>
        <v/>
      </c>
      <c r="T916" s="33" t="n"/>
      <c r="U916" s="33" t="n"/>
    </row>
    <row r="917">
      <c r="A917" s="26">
        <f>IF($B917="","",ROW()-3)</f>
        <v/>
      </c>
      <c r="B917" s="27" t="n"/>
      <c r="C917" s="27" t="n"/>
      <c r="D917" s="28" t="n"/>
      <c r="E917" s="29" t="n"/>
      <c r="F917" s="30" t="n"/>
      <c r="G917" s="31" t="n"/>
      <c r="H917" s="31" t="n"/>
      <c r="I917" s="31" t="n"/>
      <c r="J917" s="31" t="n"/>
      <c r="K917" s="31" t="n"/>
      <c r="L917" s="31" t="n"/>
      <c r="M917" s="31" t="n"/>
      <c r="N917" s="31" t="n"/>
      <c r="O917" s="31" t="n"/>
      <c r="P917" s="31" t="n"/>
      <c r="Q917" s="31" t="n"/>
      <c r="R917" s="31" t="n"/>
      <c r="S917" s="32">
        <f>IF($F917="","",IF(IFERROR(VLOOKUP($F917,'维度字典'!$I$2:$J$50,2,0),"求和")="手工录入","",IF(IFERROR(VLOOKUP($F917,'维度字典'!$I$2:$J$50,2,0),"求和")="最新值",IFERROR(LOOKUP(9.99E+307,G917:R917),""),SUM(G917:R917))))</f>
        <v/>
      </c>
      <c r="T917" s="33" t="n"/>
      <c r="U917" s="33" t="n"/>
    </row>
    <row r="918">
      <c r="A918" s="26">
        <f>IF($B918="","",ROW()-3)</f>
        <v/>
      </c>
      <c r="B918" s="27" t="n"/>
      <c r="C918" s="27" t="n"/>
      <c r="D918" s="28" t="n"/>
      <c r="E918" s="29" t="n"/>
      <c r="F918" s="30" t="n"/>
      <c r="G918" s="31" t="n"/>
      <c r="H918" s="31" t="n"/>
      <c r="I918" s="31" t="n"/>
      <c r="J918" s="31" t="n"/>
      <c r="K918" s="31" t="n"/>
      <c r="L918" s="31" t="n"/>
      <c r="M918" s="31" t="n"/>
      <c r="N918" s="31" t="n"/>
      <c r="O918" s="31" t="n"/>
      <c r="P918" s="31" t="n"/>
      <c r="Q918" s="31" t="n"/>
      <c r="R918" s="31" t="n"/>
      <c r="S918" s="32">
        <f>IF($F918="","",IF(IFERROR(VLOOKUP($F918,'维度字典'!$I$2:$J$50,2,0),"求和")="手工录入","",IF(IFERROR(VLOOKUP($F918,'维度字典'!$I$2:$J$50,2,0),"求和")="最新值",IFERROR(LOOKUP(9.99E+307,G918:R918),""),SUM(G918:R918))))</f>
        <v/>
      </c>
      <c r="T918" s="33" t="n"/>
      <c r="U918" s="33" t="n"/>
    </row>
    <row r="919">
      <c r="A919" s="26">
        <f>IF($B919="","",ROW()-3)</f>
        <v/>
      </c>
      <c r="B919" s="27" t="n"/>
      <c r="C919" s="27" t="n"/>
      <c r="D919" s="28" t="n"/>
      <c r="E919" s="29" t="n"/>
      <c r="F919" s="30" t="n"/>
      <c r="G919" s="31" t="n"/>
      <c r="H919" s="31" t="n"/>
      <c r="I919" s="31" t="n"/>
      <c r="J919" s="31" t="n"/>
      <c r="K919" s="31" t="n"/>
      <c r="L919" s="31" t="n"/>
      <c r="M919" s="31" t="n"/>
      <c r="N919" s="31" t="n"/>
      <c r="O919" s="31" t="n"/>
      <c r="P919" s="31" t="n"/>
      <c r="Q919" s="31" t="n"/>
      <c r="R919" s="31" t="n"/>
      <c r="S919" s="32">
        <f>IF($F919="","",IF(IFERROR(VLOOKUP($F919,'维度字典'!$I$2:$J$50,2,0),"求和")="手工录入","",IF(IFERROR(VLOOKUP($F919,'维度字典'!$I$2:$J$50,2,0),"求和")="最新值",IFERROR(LOOKUP(9.99E+307,G919:R919),""),SUM(G919:R919))))</f>
        <v/>
      </c>
      <c r="T919" s="33" t="n"/>
      <c r="U919" s="33" t="n"/>
    </row>
    <row r="920">
      <c r="A920" s="26">
        <f>IF($B920="","",ROW()-3)</f>
        <v/>
      </c>
      <c r="B920" s="27" t="n"/>
      <c r="C920" s="27" t="n"/>
      <c r="D920" s="28" t="n"/>
      <c r="E920" s="29" t="n"/>
      <c r="F920" s="30" t="n"/>
      <c r="G920" s="31" t="n"/>
      <c r="H920" s="31" t="n"/>
      <c r="I920" s="31" t="n"/>
      <c r="J920" s="31" t="n"/>
      <c r="K920" s="31" t="n"/>
      <c r="L920" s="31" t="n"/>
      <c r="M920" s="31" t="n"/>
      <c r="N920" s="31" t="n"/>
      <c r="O920" s="31" t="n"/>
      <c r="P920" s="31" t="n"/>
      <c r="Q920" s="31" t="n"/>
      <c r="R920" s="31" t="n"/>
      <c r="S920" s="32">
        <f>IF($F920="","",IF(IFERROR(VLOOKUP($F920,'维度字典'!$I$2:$J$50,2,0),"求和")="手工录入","",IF(IFERROR(VLOOKUP($F920,'维度字典'!$I$2:$J$50,2,0),"求和")="最新值",IFERROR(LOOKUP(9.99E+307,G920:R920),""),SUM(G920:R920))))</f>
        <v/>
      </c>
      <c r="T920" s="33" t="n"/>
      <c r="U920" s="33" t="n"/>
    </row>
    <row r="921">
      <c r="A921" s="26">
        <f>IF($B921="","",ROW()-3)</f>
        <v/>
      </c>
      <c r="B921" s="27" t="n"/>
      <c r="C921" s="27" t="n"/>
      <c r="D921" s="28" t="n"/>
      <c r="E921" s="29" t="n"/>
      <c r="F921" s="30" t="n"/>
      <c r="G921" s="31" t="n"/>
      <c r="H921" s="31" t="n"/>
      <c r="I921" s="31" t="n"/>
      <c r="J921" s="31" t="n"/>
      <c r="K921" s="31" t="n"/>
      <c r="L921" s="31" t="n"/>
      <c r="M921" s="31" t="n"/>
      <c r="N921" s="31" t="n"/>
      <c r="O921" s="31" t="n"/>
      <c r="P921" s="31" t="n"/>
      <c r="Q921" s="31" t="n"/>
      <c r="R921" s="31" t="n"/>
      <c r="S921" s="32">
        <f>IF($F921="","",IF(IFERROR(VLOOKUP($F921,'维度字典'!$I$2:$J$50,2,0),"求和")="手工录入","",IF(IFERROR(VLOOKUP($F921,'维度字典'!$I$2:$J$50,2,0),"求和")="最新值",IFERROR(LOOKUP(9.99E+307,G921:R921),""),SUM(G921:R921))))</f>
        <v/>
      </c>
      <c r="T921" s="33" t="n"/>
      <c r="U921" s="33" t="n"/>
    </row>
    <row r="922">
      <c r="A922" s="26">
        <f>IF($B922="","",ROW()-3)</f>
        <v/>
      </c>
      <c r="B922" s="27" t="n"/>
      <c r="C922" s="27" t="n"/>
      <c r="D922" s="28" t="n"/>
      <c r="E922" s="29" t="n"/>
      <c r="F922" s="30" t="n"/>
      <c r="G922" s="31" t="n"/>
      <c r="H922" s="31" t="n"/>
      <c r="I922" s="31" t="n"/>
      <c r="J922" s="31" t="n"/>
      <c r="K922" s="31" t="n"/>
      <c r="L922" s="31" t="n"/>
      <c r="M922" s="31" t="n"/>
      <c r="N922" s="31" t="n"/>
      <c r="O922" s="31" t="n"/>
      <c r="P922" s="31" t="n"/>
      <c r="Q922" s="31" t="n"/>
      <c r="R922" s="31" t="n"/>
      <c r="S922" s="32">
        <f>IF($F922="","",IF(IFERROR(VLOOKUP($F922,'维度字典'!$I$2:$J$50,2,0),"求和")="手工录入","",IF(IFERROR(VLOOKUP($F922,'维度字典'!$I$2:$J$50,2,0),"求和")="最新值",IFERROR(LOOKUP(9.99E+307,G922:R922),""),SUM(G922:R922))))</f>
        <v/>
      </c>
      <c r="T922" s="33" t="n"/>
      <c r="U922" s="33" t="n"/>
    </row>
    <row r="923">
      <c r="A923" s="26">
        <f>IF($B923="","",ROW()-3)</f>
        <v/>
      </c>
      <c r="B923" s="27" t="n"/>
      <c r="C923" s="27" t="n"/>
      <c r="D923" s="28" t="n"/>
      <c r="E923" s="29" t="n"/>
      <c r="F923" s="30" t="n"/>
      <c r="G923" s="31" t="n"/>
      <c r="H923" s="31" t="n"/>
      <c r="I923" s="31" t="n"/>
      <c r="J923" s="31" t="n"/>
      <c r="K923" s="31" t="n"/>
      <c r="L923" s="31" t="n"/>
      <c r="M923" s="31" t="n"/>
      <c r="N923" s="31" t="n"/>
      <c r="O923" s="31" t="n"/>
      <c r="P923" s="31" t="n"/>
      <c r="Q923" s="31" t="n"/>
      <c r="R923" s="31" t="n"/>
      <c r="S923" s="32">
        <f>IF($F923="","",IF(IFERROR(VLOOKUP($F923,'维度字典'!$I$2:$J$50,2,0),"求和")="手工录入","",IF(IFERROR(VLOOKUP($F923,'维度字典'!$I$2:$J$50,2,0),"求和")="最新值",IFERROR(LOOKUP(9.99E+307,G923:R923),""),SUM(G923:R923))))</f>
        <v/>
      </c>
      <c r="T923" s="33" t="n"/>
      <c r="U923" s="33" t="n"/>
    </row>
    <row r="924">
      <c r="A924" s="26">
        <f>IF($B924="","",ROW()-3)</f>
        <v/>
      </c>
      <c r="B924" s="27" t="n"/>
      <c r="C924" s="27" t="n"/>
      <c r="D924" s="28" t="n"/>
      <c r="E924" s="29" t="n"/>
      <c r="F924" s="30" t="n"/>
      <c r="G924" s="31" t="n"/>
      <c r="H924" s="31" t="n"/>
      <c r="I924" s="31" t="n"/>
      <c r="J924" s="31" t="n"/>
      <c r="K924" s="31" t="n"/>
      <c r="L924" s="31" t="n"/>
      <c r="M924" s="31" t="n"/>
      <c r="N924" s="31" t="n"/>
      <c r="O924" s="31" t="n"/>
      <c r="P924" s="31" t="n"/>
      <c r="Q924" s="31" t="n"/>
      <c r="R924" s="31" t="n"/>
      <c r="S924" s="32">
        <f>IF($F924="","",IF(IFERROR(VLOOKUP($F924,'维度字典'!$I$2:$J$50,2,0),"求和")="手工录入","",IF(IFERROR(VLOOKUP($F924,'维度字典'!$I$2:$J$50,2,0),"求和")="最新值",IFERROR(LOOKUP(9.99E+307,G924:R924),""),SUM(G924:R924))))</f>
        <v/>
      </c>
      <c r="T924" s="33" t="n"/>
      <c r="U924" s="33" t="n"/>
    </row>
    <row r="925">
      <c r="A925" s="26">
        <f>IF($B925="","",ROW()-3)</f>
        <v/>
      </c>
      <c r="B925" s="27" t="n"/>
      <c r="C925" s="27" t="n"/>
      <c r="D925" s="28" t="n"/>
      <c r="E925" s="29" t="n"/>
      <c r="F925" s="30" t="n"/>
      <c r="G925" s="31" t="n"/>
      <c r="H925" s="31" t="n"/>
      <c r="I925" s="31" t="n"/>
      <c r="J925" s="31" t="n"/>
      <c r="K925" s="31" t="n"/>
      <c r="L925" s="31" t="n"/>
      <c r="M925" s="31" t="n"/>
      <c r="N925" s="31" t="n"/>
      <c r="O925" s="31" t="n"/>
      <c r="P925" s="31" t="n"/>
      <c r="Q925" s="31" t="n"/>
      <c r="R925" s="31" t="n"/>
      <c r="S925" s="32">
        <f>IF($F925="","",IF(IFERROR(VLOOKUP($F925,'维度字典'!$I$2:$J$50,2,0),"求和")="手工录入","",IF(IFERROR(VLOOKUP($F925,'维度字典'!$I$2:$J$50,2,0),"求和")="最新值",IFERROR(LOOKUP(9.99E+307,G925:R925),""),SUM(G925:R925))))</f>
        <v/>
      </c>
      <c r="T925" s="33" t="n"/>
      <c r="U925" s="33" t="n"/>
    </row>
    <row r="926">
      <c r="A926" s="26">
        <f>IF($B926="","",ROW()-3)</f>
        <v/>
      </c>
      <c r="B926" s="27" t="n"/>
      <c r="C926" s="27" t="n"/>
      <c r="D926" s="28" t="n"/>
      <c r="E926" s="29" t="n"/>
      <c r="F926" s="30" t="n"/>
      <c r="G926" s="31" t="n"/>
      <c r="H926" s="31" t="n"/>
      <c r="I926" s="31" t="n"/>
      <c r="J926" s="31" t="n"/>
      <c r="K926" s="31" t="n"/>
      <c r="L926" s="31" t="n"/>
      <c r="M926" s="31" t="n"/>
      <c r="N926" s="31" t="n"/>
      <c r="O926" s="31" t="n"/>
      <c r="P926" s="31" t="n"/>
      <c r="Q926" s="31" t="n"/>
      <c r="R926" s="31" t="n"/>
      <c r="S926" s="32">
        <f>IF($F926="","",IF(IFERROR(VLOOKUP($F926,'维度字典'!$I$2:$J$50,2,0),"求和")="手工录入","",IF(IFERROR(VLOOKUP($F926,'维度字典'!$I$2:$J$50,2,0),"求和")="最新值",IFERROR(LOOKUP(9.99E+307,G926:R926),""),SUM(G926:R926))))</f>
        <v/>
      </c>
      <c r="T926" s="33" t="n"/>
      <c r="U926" s="33" t="n"/>
    </row>
    <row r="927">
      <c r="A927" s="26">
        <f>IF($B927="","",ROW()-3)</f>
        <v/>
      </c>
      <c r="B927" s="27" t="n"/>
      <c r="C927" s="27" t="n"/>
      <c r="D927" s="28" t="n"/>
      <c r="E927" s="29" t="n"/>
      <c r="F927" s="30" t="n"/>
      <c r="G927" s="31" t="n"/>
      <c r="H927" s="31" t="n"/>
      <c r="I927" s="31" t="n"/>
      <c r="J927" s="31" t="n"/>
      <c r="K927" s="31" t="n"/>
      <c r="L927" s="31" t="n"/>
      <c r="M927" s="31" t="n"/>
      <c r="N927" s="31" t="n"/>
      <c r="O927" s="31" t="n"/>
      <c r="P927" s="31" t="n"/>
      <c r="Q927" s="31" t="n"/>
      <c r="R927" s="31" t="n"/>
      <c r="S927" s="32">
        <f>IF($F927="","",IF(IFERROR(VLOOKUP($F927,'维度字典'!$I$2:$J$50,2,0),"求和")="手工录入","",IF(IFERROR(VLOOKUP($F927,'维度字典'!$I$2:$J$50,2,0),"求和")="最新值",IFERROR(LOOKUP(9.99E+307,G927:R927),""),SUM(G927:R927))))</f>
        <v/>
      </c>
      <c r="T927" s="33" t="n"/>
      <c r="U927" s="33" t="n"/>
    </row>
    <row r="928">
      <c r="A928" s="26">
        <f>IF($B928="","",ROW()-3)</f>
        <v/>
      </c>
      <c r="B928" s="27" t="n"/>
      <c r="C928" s="27" t="n"/>
      <c r="D928" s="28" t="n"/>
      <c r="E928" s="29" t="n"/>
      <c r="F928" s="30" t="n"/>
      <c r="G928" s="31" t="n"/>
      <c r="H928" s="31" t="n"/>
      <c r="I928" s="31" t="n"/>
      <c r="J928" s="31" t="n"/>
      <c r="K928" s="31" t="n"/>
      <c r="L928" s="31" t="n"/>
      <c r="M928" s="31" t="n"/>
      <c r="N928" s="31" t="n"/>
      <c r="O928" s="31" t="n"/>
      <c r="P928" s="31" t="n"/>
      <c r="Q928" s="31" t="n"/>
      <c r="R928" s="31" t="n"/>
      <c r="S928" s="32">
        <f>IF($F928="","",IF(IFERROR(VLOOKUP($F928,'维度字典'!$I$2:$J$50,2,0),"求和")="手工录入","",IF(IFERROR(VLOOKUP($F928,'维度字典'!$I$2:$J$50,2,0),"求和")="最新值",IFERROR(LOOKUP(9.99E+307,G928:R928),""),SUM(G928:R928))))</f>
        <v/>
      </c>
      <c r="T928" s="33" t="n"/>
      <c r="U928" s="33" t="n"/>
    </row>
    <row r="929">
      <c r="A929" s="26">
        <f>IF($B929="","",ROW()-3)</f>
        <v/>
      </c>
      <c r="B929" s="27" t="n"/>
      <c r="C929" s="27" t="n"/>
      <c r="D929" s="28" t="n"/>
      <c r="E929" s="29" t="n"/>
      <c r="F929" s="30" t="n"/>
      <c r="G929" s="31" t="n"/>
      <c r="H929" s="31" t="n"/>
      <c r="I929" s="31" t="n"/>
      <c r="J929" s="31" t="n"/>
      <c r="K929" s="31" t="n"/>
      <c r="L929" s="31" t="n"/>
      <c r="M929" s="31" t="n"/>
      <c r="N929" s="31" t="n"/>
      <c r="O929" s="31" t="n"/>
      <c r="P929" s="31" t="n"/>
      <c r="Q929" s="31" t="n"/>
      <c r="R929" s="31" t="n"/>
      <c r="S929" s="32">
        <f>IF($F929="","",IF(IFERROR(VLOOKUP($F929,'维度字典'!$I$2:$J$50,2,0),"求和")="手工录入","",IF(IFERROR(VLOOKUP($F929,'维度字典'!$I$2:$J$50,2,0),"求和")="最新值",IFERROR(LOOKUP(9.99E+307,G929:R929),""),SUM(G929:R929))))</f>
        <v/>
      </c>
      <c r="T929" s="33" t="n"/>
      <c r="U929" s="33" t="n"/>
    </row>
    <row r="930">
      <c r="A930" s="26">
        <f>IF($B930="","",ROW()-3)</f>
        <v/>
      </c>
      <c r="B930" s="27" t="n"/>
      <c r="C930" s="27" t="n"/>
      <c r="D930" s="28" t="n"/>
      <c r="E930" s="29" t="n"/>
      <c r="F930" s="30" t="n"/>
      <c r="G930" s="31" t="n"/>
      <c r="H930" s="31" t="n"/>
      <c r="I930" s="31" t="n"/>
      <c r="J930" s="31" t="n"/>
      <c r="K930" s="31" t="n"/>
      <c r="L930" s="31" t="n"/>
      <c r="M930" s="31" t="n"/>
      <c r="N930" s="31" t="n"/>
      <c r="O930" s="31" t="n"/>
      <c r="P930" s="31" t="n"/>
      <c r="Q930" s="31" t="n"/>
      <c r="R930" s="31" t="n"/>
      <c r="S930" s="32">
        <f>IF($F930="","",IF(IFERROR(VLOOKUP($F930,'维度字典'!$I$2:$J$50,2,0),"求和")="手工录入","",IF(IFERROR(VLOOKUP($F930,'维度字典'!$I$2:$J$50,2,0),"求和")="最新值",IFERROR(LOOKUP(9.99E+307,G930:R930),""),SUM(G930:R930))))</f>
        <v/>
      </c>
      <c r="T930" s="33" t="n"/>
      <c r="U930" s="33" t="n"/>
    </row>
    <row r="931">
      <c r="A931" s="26">
        <f>IF($B931="","",ROW()-3)</f>
        <v/>
      </c>
      <c r="B931" s="27" t="n"/>
      <c r="C931" s="27" t="n"/>
      <c r="D931" s="28" t="n"/>
      <c r="E931" s="29" t="n"/>
      <c r="F931" s="30" t="n"/>
      <c r="G931" s="31" t="n"/>
      <c r="H931" s="31" t="n"/>
      <c r="I931" s="31" t="n"/>
      <c r="J931" s="31" t="n"/>
      <c r="K931" s="31" t="n"/>
      <c r="L931" s="31" t="n"/>
      <c r="M931" s="31" t="n"/>
      <c r="N931" s="31" t="n"/>
      <c r="O931" s="31" t="n"/>
      <c r="P931" s="31" t="n"/>
      <c r="Q931" s="31" t="n"/>
      <c r="R931" s="31" t="n"/>
      <c r="S931" s="32">
        <f>IF($F931="","",IF(IFERROR(VLOOKUP($F931,'维度字典'!$I$2:$J$50,2,0),"求和")="手工录入","",IF(IFERROR(VLOOKUP($F931,'维度字典'!$I$2:$J$50,2,0),"求和")="最新值",IFERROR(LOOKUP(9.99E+307,G931:R931),""),SUM(G931:R931))))</f>
        <v/>
      </c>
      <c r="T931" s="33" t="n"/>
      <c r="U931" s="33" t="n"/>
    </row>
    <row r="932">
      <c r="A932" s="26">
        <f>IF($B932="","",ROW()-3)</f>
        <v/>
      </c>
      <c r="B932" s="27" t="n"/>
      <c r="C932" s="27" t="n"/>
      <c r="D932" s="28" t="n"/>
      <c r="E932" s="29" t="n"/>
      <c r="F932" s="30" t="n"/>
      <c r="G932" s="31" t="n"/>
      <c r="H932" s="31" t="n"/>
      <c r="I932" s="31" t="n"/>
      <c r="J932" s="31" t="n"/>
      <c r="K932" s="31" t="n"/>
      <c r="L932" s="31" t="n"/>
      <c r="M932" s="31" t="n"/>
      <c r="N932" s="31" t="n"/>
      <c r="O932" s="31" t="n"/>
      <c r="P932" s="31" t="n"/>
      <c r="Q932" s="31" t="n"/>
      <c r="R932" s="31" t="n"/>
      <c r="S932" s="32">
        <f>IF($F932="","",IF(IFERROR(VLOOKUP($F932,'维度字典'!$I$2:$J$50,2,0),"求和")="手工录入","",IF(IFERROR(VLOOKUP($F932,'维度字典'!$I$2:$J$50,2,0),"求和")="最新值",IFERROR(LOOKUP(9.99E+307,G932:R932),""),SUM(G932:R932))))</f>
        <v/>
      </c>
      <c r="T932" s="33" t="n"/>
      <c r="U932" s="33" t="n"/>
    </row>
    <row r="933">
      <c r="A933" s="26">
        <f>IF($B933="","",ROW()-3)</f>
        <v/>
      </c>
      <c r="B933" s="27" t="n"/>
      <c r="C933" s="27" t="n"/>
      <c r="D933" s="28" t="n"/>
      <c r="E933" s="29" t="n"/>
      <c r="F933" s="30" t="n"/>
      <c r="G933" s="31" t="n"/>
      <c r="H933" s="31" t="n"/>
      <c r="I933" s="31" t="n"/>
      <c r="J933" s="31" t="n"/>
      <c r="K933" s="31" t="n"/>
      <c r="L933" s="31" t="n"/>
      <c r="M933" s="31" t="n"/>
      <c r="N933" s="31" t="n"/>
      <c r="O933" s="31" t="n"/>
      <c r="P933" s="31" t="n"/>
      <c r="Q933" s="31" t="n"/>
      <c r="R933" s="31" t="n"/>
      <c r="S933" s="32">
        <f>IF($F933="","",IF(IFERROR(VLOOKUP($F933,'维度字典'!$I$2:$J$50,2,0),"求和")="手工录入","",IF(IFERROR(VLOOKUP($F933,'维度字典'!$I$2:$J$50,2,0),"求和")="最新值",IFERROR(LOOKUP(9.99E+307,G933:R933),""),SUM(G933:R933))))</f>
        <v/>
      </c>
      <c r="T933" s="33" t="n"/>
      <c r="U933" s="33" t="n"/>
    </row>
    <row r="934">
      <c r="A934" s="26">
        <f>IF($B934="","",ROW()-3)</f>
        <v/>
      </c>
      <c r="B934" s="27" t="n"/>
      <c r="C934" s="27" t="n"/>
      <c r="D934" s="28" t="n"/>
      <c r="E934" s="29" t="n"/>
      <c r="F934" s="30" t="n"/>
      <c r="G934" s="31" t="n"/>
      <c r="H934" s="31" t="n"/>
      <c r="I934" s="31" t="n"/>
      <c r="J934" s="31" t="n"/>
      <c r="K934" s="31" t="n"/>
      <c r="L934" s="31" t="n"/>
      <c r="M934" s="31" t="n"/>
      <c r="N934" s="31" t="n"/>
      <c r="O934" s="31" t="n"/>
      <c r="P934" s="31" t="n"/>
      <c r="Q934" s="31" t="n"/>
      <c r="R934" s="31" t="n"/>
      <c r="S934" s="32">
        <f>IF($F934="","",IF(IFERROR(VLOOKUP($F934,'维度字典'!$I$2:$J$50,2,0),"求和")="手工录入","",IF(IFERROR(VLOOKUP($F934,'维度字典'!$I$2:$J$50,2,0),"求和")="最新值",IFERROR(LOOKUP(9.99E+307,G934:R934),""),SUM(G934:R934))))</f>
        <v/>
      </c>
      <c r="T934" s="33" t="n"/>
      <c r="U934" s="33" t="n"/>
    </row>
    <row r="935">
      <c r="A935" s="26">
        <f>IF($B935="","",ROW()-3)</f>
        <v/>
      </c>
      <c r="B935" s="27" t="n"/>
      <c r="C935" s="27" t="n"/>
      <c r="D935" s="28" t="n"/>
      <c r="E935" s="29" t="n"/>
      <c r="F935" s="30" t="n"/>
      <c r="G935" s="31" t="n"/>
      <c r="H935" s="31" t="n"/>
      <c r="I935" s="31" t="n"/>
      <c r="J935" s="31" t="n"/>
      <c r="K935" s="31" t="n"/>
      <c r="L935" s="31" t="n"/>
      <c r="M935" s="31" t="n"/>
      <c r="N935" s="31" t="n"/>
      <c r="O935" s="31" t="n"/>
      <c r="P935" s="31" t="n"/>
      <c r="Q935" s="31" t="n"/>
      <c r="R935" s="31" t="n"/>
      <c r="S935" s="32">
        <f>IF($F935="","",IF(IFERROR(VLOOKUP($F935,'维度字典'!$I$2:$J$50,2,0),"求和")="手工录入","",IF(IFERROR(VLOOKUP($F935,'维度字典'!$I$2:$J$50,2,0),"求和")="最新值",IFERROR(LOOKUP(9.99E+307,G935:R935),""),SUM(G935:R935))))</f>
        <v/>
      </c>
      <c r="T935" s="33" t="n"/>
      <c r="U935" s="33" t="n"/>
    </row>
    <row r="936">
      <c r="A936" s="26">
        <f>IF($B936="","",ROW()-3)</f>
        <v/>
      </c>
      <c r="B936" s="27" t="n"/>
      <c r="C936" s="27" t="n"/>
      <c r="D936" s="28" t="n"/>
      <c r="E936" s="29" t="n"/>
      <c r="F936" s="30" t="n"/>
      <c r="G936" s="31" t="n"/>
      <c r="H936" s="31" t="n"/>
      <c r="I936" s="31" t="n"/>
      <c r="J936" s="31" t="n"/>
      <c r="K936" s="31" t="n"/>
      <c r="L936" s="31" t="n"/>
      <c r="M936" s="31" t="n"/>
      <c r="N936" s="31" t="n"/>
      <c r="O936" s="31" t="n"/>
      <c r="P936" s="31" t="n"/>
      <c r="Q936" s="31" t="n"/>
      <c r="R936" s="31" t="n"/>
      <c r="S936" s="32">
        <f>IF($F936="","",IF(IFERROR(VLOOKUP($F936,'维度字典'!$I$2:$J$50,2,0),"求和")="手工录入","",IF(IFERROR(VLOOKUP($F936,'维度字典'!$I$2:$J$50,2,0),"求和")="最新值",IFERROR(LOOKUP(9.99E+307,G936:R936),""),SUM(G936:R936))))</f>
        <v/>
      </c>
      <c r="T936" s="33" t="n"/>
      <c r="U936" s="33" t="n"/>
    </row>
    <row r="937">
      <c r="A937" s="26">
        <f>IF($B937="","",ROW()-3)</f>
        <v/>
      </c>
      <c r="B937" s="27" t="n"/>
      <c r="C937" s="27" t="n"/>
      <c r="D937" s="28" t="n"/>
      <c r="E937" s="29" t="n"/>
      <c r="F937" s="30" t="n"/>
      <c r="G937" s="31" t="n"/>
      <c r="H937" s="31" t="n"/>
      <c r="I937" s="31" t="n"/>
      <c r="J937" s="31" t="n"/>
      <c r="K937" s="31" t="n"/>
      <c r="L937" s="31" t="n"/>
      <c r="M937" s="31" t="n"/>
      <c r="N937" s="31" t="n"/>
      <c r="O937" s="31" t="n"/>
      <c r="P937" s="31" t="n"/>
      <c r="Q937" s="31" t="n"/>
      <c r="R937" s="31" t="n"/>
      <c r="S937" s="32">
        <f>IF($F937="","",IF(IFERROR(VLOOKUP($F937,'维度字典'!$I$2:$J$50,2,0),"求和")="手工录入","",IF(IFERROR(VLOOKUP($F937,'维度字典'!$I$2:$J$50,2,0),"求和")="最新值",IFERROR(LOOKUP(9.99E+307,G937:R937),""),SUM(G937:R937))))</f>
        <v/>
      </c>
      <c r="T937" s="33" t="n"/>
      <c r="U937" s="33" t="n"/>
    </row>
    <row r="938">
      <c r="A938" s="26">
        <f>IF($B938="","",ROW()-3)</f>
        <v/>
      </c>
      <c r="B938" s="27" t="n"/>
      <c r="C938" s="27" t="n"/>
      <c r="D938" s="28" t="n"/>
      <c r="E938" s="29" t="n"/>
      <c r="F938" s="30" t="n"/>
      <c r="G938" s="31" t="n"/>
      <c r="H938" s="31" t="n"/>
      <c r="I938" s="31" t="n"/>
      <c r="J938" s="31" t="n"/>
      <c r="K938" s="31" t="n"/>
      <c r="L938" s="31" t="n"/>
      <c r="M938" s="31" t="n"/>
      <c r="N938" s="31" t="n"/>
      <c r="O938" s="31" t="n"/>
      <c r="P938" s="31" t="n"/>
      <c r="Q938" s="31" t="n"/>
      <c r="R938" s="31" t="n"/>
      <c r="S938" s="32">
        <f>IF($F938="","",IF(IFERROR(VLOOKUP($F938,'维度字典'!$I$2:$J$50,2,0),"求和")="手工录入","",IF(IFERROR(VLOOKUP($F938,'维度字典'!$I$2:$J$50,2,0),"求和")="最新值",IFERROR(LOOKUP(9.99E+307,G938:R938),""),SUM(G938:R938))))</f>
        <v/>
      </c>
      <c r="T938" s="33" t="n"/>
      <c r="U938" s="33" t="n"/>
    </row>
    <row r="939">
      <c r="A939" s="26">
        <f>IF($B939="","",ROW()-3)</f>
        <v/>
      </c>
      <c r="B939" s="27" t="n"/>
      <c r="C939" s="27" t="n"/>
      <c r="D939" s="28" t="n"/>
      <c r="E939" s="29" t="n"/>
      <c r="F939" s="30" t="n"/>
      <c r="G939" s="31" t="n"/>
      <c r="H939" s="31" t="n"/>
      <c r="I939" s="31" t="n"/>
      <c r="J939" s="31" t="n"/>
      <c r="K939" s="31" t="n"/>
      <c r="L939" s="31" t="n"/>
      <c r="M939" s="31" t="n"/>
      <c r="N939" s="31" t="n"/>
      <c r="O939" s="31" t="n"/>
      <c r="P939" s="31" t="n"/>
      <c r="Q939" s="31" t="n"/>
      <c r="R939" s="31" t="n"/>
      <c r="S939" s="32">
        <f>IF($F939="","",IF(IFERROR(VLOOKUP($F939,'维度字典'!$I$2:$J$50,2,0),"求和")="手工录入","",IF(IFERROR(VLOOKUP($F939,'维度字典'!$I$2:$J$50,2,0),"求和")="最新值",IFERROR(LOOKUP(9.99E+307,G939:R939),""),SUM(G939:R939))))</f>
        <v/>
      </c>
      <c r="T939" s="33" t="n"/>
      <c r="U939" s="33" t="n"/>
    </row>
    <row r="940">
      <c r="A940" s="26">
        <f>IF($B940="","",ROW()-3)</f>
        <v/>
      </c>
      <c r="B940" s="27" t="n"/>
      <c r="C940" s="27" t="n"/>
      <c r="D940" s="28" t="n"/>
      <c r="E940" s="29" t="n"/>
      <c r="F940" s="30" t="n"/>
      <c r="G940" s="31" t="n"/>
      <c r="H940" s="31" t="n"/>
      <c r="I940" s="31" t="n"/>
      <c r="J940" s="31" t="n"/>
      <c r="K940" s="31" t="n"/>
      <c r="L940" s="31" t="n"/>
      <c r="M940" s="31" t="n"/>
      <c r="N940" s="31" t="n"/>
      <c r="O940" s="31" t="n"/>
      <c r="P940" s="31" t="n"/>
      <c r="Q940" s="31" t="n"/>
      <c r="R940" s="31" t="n"/>
      <c r="S940" s="32">
        <f>IF($F940="","",IF(IFERROR(VLOOKUP($F940,'维度字典'!$I$2:$J$50,2,0),"求和")="手工录入","",IF(IFERROR(VLOOKUP($F940,'维度字典'!$I$2:$J$50,2,0),"求和")="最新值",IFERROR(LOOKUP(9.99E+307,G940:R940),""),SUM(G940:R940))))</f>
        <v/>
      </c>
      <c r="T940" s="33" t="n"/>
      <c r="U940" s="33" t="n"/>
    </row>
    <row r="941">
      <c r="A941" s="26">
        <f>IF($B941="","",ROW()-3)</f>
        <v/>
      </c>
      <c r="B941" s="27" t="n"/>
      <c r="C941" s="27" t="n"/>
      <c r="D941" s="28" t="n"/>
      <c r="E941" s="29" t="n"/>
      <c r="F941" s="30" t="n"/>
      <c r="G941" s="31" t="n"/>
      <c r="H941" s="31" t="n"/>
      <c r="I941" s="31" t="n"/>
      <c r="J941" s="31" t="n"/>
      <c r="K941" s="31" t="n"/>
      <c r="L941" s="31" t="n"/>
      <c r="M941" s="31" t="n"/>
      <c r="N941" s="31" t="n"/>
      <c r="O941" s="31" t="n"/>
      <c r="P941" s="31" t="n"/>
      <c r="Q941" s="31" t="n"/>
      <c r="R941" s="31" t="n"/>
      <c r="S941" s="32">
        <f>IF($F941="","",IF(IFERROR(VLOOKUP($F941,'维度字典'!$I$2:$J$50,2,0),"求和")="手工录入","",IF(IFERROR(VLOOKUP($F941,'维度字典'!$I$2:$J$50,2,0),"求和")="最新值",IFERROR(LOOKUP(9.99E+307,G941:R941),""),SUM(G941:R941))))</f>
        <v/>
      </c>
      <c r="T941" s="33" t="n"/>
      <c r="U941" s="33" t="n"/>
    </row>
    <row r="942">
      <c r="A942" s="26">
        <f>IF($B942="","",ROW()-3)</f>
        <v/>
      </c>
      <c r="B942" s="27" t="n"/>
      <c r="C942" s="27" t="n"/>
      <c r="D942" s="28" t="n"/>
      <c r="E942" s="29" t="n"/>
      <c r="F942" s="30" t="n"/>
      <c r="G942" s="31" t="n"/>
      <c r="H942" s="31" t="n"/>
      <c r="I942" s="31" t="n"/>
      <c r="J942" s="31" t="n"/>
      <c r="K942" s="31" t="n"/>
      <c r="L942" s="31" t="n"/>
      <c r="M942" s="31" t="n"/>
      <c r="N942" s="31" t="n"/>
      <c r="O942" s="31" t="n"/>
      <c r="P942" s="31" t="n"/>
      <c r="Q942" s="31" t="n"/>
      <c r="R942" s="31" t="n"/>
      <c r="S942" s="32">
        <f>IF($F942="","",IF(IFERROR(VLOOKUP($F942,'维度字典'!$I$2:$J$50,2,0),"求和")="手工录入","",IF(IFERROR(VLOOKUP($F942,'维度字典'!$I$2:$J$50,2,0),"求和")="最新值",IFERROR(LOOKUP(9.99E+307,G942:R942),""),SUM(G942:R942))))</f>
        <v/>
      </c>
      <c r="T942" s="33" t="n"/>
      <c r="U942" s="33" t="n"/>
    </row>
    <row r="943">
      <c r="A943" s="26">
        <f>IF($B943="","",ROW()-3)</f>
        <v/>
      </c>
      <c r="B943" s="27" t="n"/>
      <c r="C943" s="27" t="n"/>
      <c r="D943" s="28" t="n"/>
      <c r="E943" s="29" t="n"/>
      <c r="F943" s="30" t="n"/>
      <c r="G943" s="31" t="n"/>
      <c r="H943" s="31" t="n"/>
      <c r="I943" s="31" t="n"/>
      <c r="J943" s="31" t="n"/>
      <c r="K943" s="31" t="n"/>
      <c r="L943" s="31" t="n"/>
      <c r="M943" s="31" t="n"/>
      <c r="N943" s="31" t="n"/>
      <c r="O943" s="31" t="n"/>
      <c r="P943" s="31" t="n"/>
      <c r="Q943" s="31" t="n"/>
      <c r="R943" s="31" t="n"/>
      <c r="S943" s="32">
        <f>IF($F943="","",IF(IFERROR(VLOOKUP($F943,'维度字典'!$I$2:$J$50,2,0),"求和")="手工录入","",IF(IFERROR(VLOOKUP($F943,'维度字典'!$I$2:$J$50,2,0),"求和")="最新值",IFERROR(LOOKUP(9.99E+307,G943:R943),""),SUM(G943:R943))))</f>
        <v/>
      </c>
      <c r="T943" s="33" t="n"/>
      <c r="U943" s="33" t="n"/>
    </row>
    <row r="944">
      <c r="A944" s="26">
        <f>IF($B944="","",ROW()-3)</f>
        <v/>
      </c>
      <c r="B944" s="27" t="n"/>
      <c r="C944" s="27" t="n"/>
      <c r="D944" s="28" t="n"/>
      <c r="E944" s="29" t="n"/>
      <c r="F944" s="30" t="n"/>
      <c r="G944" s="31" t="n"/>
      <c r="H944" s="31" t="n"/>
      <c r="I944" s="31" t="n"/>
      <c r="J944" s="31" t="n"/>
      <c r="K944" s="31" t="n"/>
      <c r="L944" s="31" t="n"/>
      <c r="M944" s="31" t="n"/>
      <c r="N944" s="31" t="n"/>
      <c r="O944" s="31" t="n"/>
      <c r="P944" s="31" t="n"/>
      <c r="Q944" s="31" t="n"/>
      <c r="R944" s="31" t="n"/>
      <c r="S944" s="32">
        <f>IF($F944="","",IF(IFERROR(VLOOKUP($F944,'维度字典'!$I$2:$J$50,2,0),"求和")="手工录入","",IF(IFERROR(VLOOKUP($F944,'维度字典'!$I$2:$J$50,2,0),"求和")="最新值",IFERROR(LOOKUP(9.99E+307,G944:R944),""),SUM(G944:R944))))</f>
        <v/>
      </c>
      <c r="T944" s="33" t="n"/>
      <c r="U944" s="33" t="n"/>
    </row>
    <row r="945">
      <c r="A945" s="26">
        <f>IF($B945="","",ROW()-3)</f>
        <v/>
      </c>
      <c r="B945" s="27" t="n"/>
      <c r="C945" s="27" t="n"/>
      <c r="D945" s="28" t="n"/>
      <c r="E945" s="29" t="n"/>
      <c r="F945" s="30" t="n"/>
      <c r="G945" s="31" t="n"/>
      <c r="H945" s="31" t="n"/>
      <c r="I945" s="31" t="n"/>
      <c r="J945" s="31" t="n"/>
      <c r="K945" s="31" t="n"/>
      <c r="L945" s="31" t="n"/>
      <c r="M945" s="31" t="n"/>
      <c r="N945" s="31" t="n"/>
      <c r="O945" s="31" t="n"/>
      <c r="P945" s="31" t="n"/>
      <c r="Q945" s="31" t="n"/>
      <c r="R945" s="31" t="n"/>
      <c r="S945" s="32">
        <f>IF($F945="","",IF(IFERROR(VLOOKUP($F945,'维度字典'!$I$2:$J$50,2,0),"求和")="手工录入","",IF(IFERROR(VLOOKUP($F945,'维度字典'!$I$2:$J$50,2,0),"求和")="最新值",IFERROR(LOOKUP(9.99E+307,G945:R945),""),SUM(G945:R945))))</f>
        <v/>
      </c>
      <c r="T945" s="33" t="n"/>
      <c r="U945" s="33" t="n"/>
    </row>
    <row r="946">
      <c r="A946" s="26">
        <f>IF($B946="","",ROW()-3)</f>
        <v/>
      </c>
      <c r="B946" s="27" t="n"/>
      <c r="C946" s="27" t="n"/>
      <c r="D946" s="28" t="n"/>
      <c r="E946" s="29" t="n"/>
      <c r="F946" s="30" t="n"/>
      <c r="G946" s="31" t="n"/>
      <c r="H946" s="31" t="n"/>
      <c r="I946" s="31" t="n"/>
      <c r="J946" s="31" t="n"/>
      <c r="K946" s="31" t="n"/>
      <c r="L946" s="31" t="n"/>
      <c r="M946" s="31" t="n"/>
      <c r="N946" s="31" t="n"/>
      <c r="O946" s="31" t="n"/>
      <c r="P946" s="31" t="n"/>
      <c r="Q946" s="31" t="n"/>
      <c r="R946" s="31" t="n"/>
      <c r="S946" s="32">
        <f>IF($F946="","",IF(IFERROR(VLOOKUP($F946,'维度字典'!$I$2:$J$50,2,0),"求和")="手工录入","",IF(IFERROR(VLOOKUP($F946,'维度字典'!$I$2:$J$50,2,0),"求和")="最新值",IFERROR(LOOKUP(9.99E+307,G946:R946),""),SUM(G946:R946))))</f>
        <v/>
      </c>
      <c r="T946" s="33" t="n"/>
      <c r="U946" s="33" t="n"/>
    </row>
    <row r="947">
      <c r="A947" s="26">
        <f>IF($B947="","",ROW()-3)</f>
        <v/>
      </c>
      <c r="B947" s="27" t="n"/>
      <c r="C947" s="27" t="n"/>
      <c r="D947" s="28" t="n"/>
      <c r="E947" s="29" t="n"/>
      <c r="F947" s="30" t="n"/>
      <c r="G947" s="31" t="n"/>
      <c r="H947" s="31" t="n"/>
      <c r="I947" s="31" t="n"/>
      <c r="J947" s="31" t="n"/>
      <c r="K947" s="31" t="n"/>
      <c r="L947" s="31" t="n"/>
      <c r="M947" s="31" t="n"/>
      <c r="N947" s="31" t="n"/>
      <c r="O947" s="31" t="n"/>
      <c r="P947" s="31" t="n"/>
      <c r="Q947" s="31" t="n"/>
      <c r="R947" s="31" t="n"/>
      <c r="S947" s="32">
        <f>IF($F947="","",IF(IFERROR(VLOOKUP($F947,'维度字典'!$I$2:$J$50,2,0),"求和")="手工录入","",IF(IFERROR(VLOOKUP($F947,'维度字典'!$I$2:$J$50,2,0),"求和")="最新值",IFERROR(LOOKUP(9.99E+307,G947:R947),""),SUM(G947:R947))))</f>
        <v/>
      </c>
      <c r="T947" s="33" t="n"/>
      <c r="U947" s="33" t="n"/>
    </row>
    <row r="948">
      <c r="A948" s="26">
        <f>IF($B948="","",ROW()-3)</f>
        <v/>
      </c>
      <c r="B948" s="27" t="n"/>
      <c r="C948" s="27" t="n"/>
      <c r="D948" s="28" t="n"/>
      <c r="E948" s="29" t="n"/>
      <c r="F948" s="30" t="n"/>
      <c r="G948" s="31" t="n"/>
      <c r="H948" s="31" t="n"/>
      <c r="I948" s="31" t="n"/>
      <c r="J948" s="31" t="n"/>
      <c r="K948" s="31" t="n"/>
      <c r="L948" s="31" t="n"/>
      <c r="M948" s="31" t="n"/>
      <c r="N948" s="31" t="n"/>
      <c r="O948" s="31" t="n"/>
      <c r="P948" s="31" t="n"/>
      <c r="Q948" s="31" t="n"/>
      <c r="R948" s="31" t="n"/>
      <c r="S948" s="32">
        <f>IF($F948="","",IF(IFERROR(VLOOKUP($F948,'维度字典'!$I$2:$J$50,2,0),"求和")="手工录入","",IF(IFERROR(VLOOKUP($F948,'维度字典'!$I$2:$J$50,2,0),"求和")="最新值",IFERROR(LOOKUP(9.99E+307,G948:R948),""),SUM(G948:R948))))</f>
        <v/>
      </c>
      <c r="T948" s="33" t="n"/>
      <c r="U948" s="33" t="n"/>
    </row>
    <row r="949">
      <c r="A949" s="26">
        <f>IF($B949="","",ROW()-3)</f>
        <v/>
      </c>
      <c r="B949" s="27" t="n"/>
      <c r="C949" s="27" t="n"/>
      <c r="D949" s="28" t="n"/>
      <c r="E949" s="29" t="n"/>
      <c r="F949" s="30" t="n"/>
      <c r="G949" s="31" t="n"/>
      <c r="H949" s="31" t="n"/>
      <c r="I949" s="31" t="n"/>
      <c r="J949" s="31" t="n"/>
      <c r="K949" s="31" t="n"/>
      <c r="L949" s="31" t="n"/>
      <c r="M949" s="31" t="n"/>
      <c r="N949" s="31" t="n"/>
      <c r="O949" s="31" t="n"/>
      <c r="P949" s="31" t="n"/>
      <c r="Q949" s="31" t="n"/>
      <c r="R949" s="31" t="n"/>
      <c r="S949" s="32">
        <f>IF($F949="","",IF(IFERROR(VLOOKUP($F949,'维度字典'!$I$2:$J$50,2,0),"求和")="手工录入","",IF(IFERROR(VLOOKUP($F949,'维度字典'!$I$2:$J$50,2,0),"求和")="最新值",IFERROR(LOOKUP(9.99E+307,G949:R949),""),SUM(G949:R949))))</f>
        <v/>
      </c>
      <c r="T949" s="33" t="n"/>
      <c r="U949" s="33" t="n"/>
    </row>
    <row r="950">
      <c r="A950" s="26">
        <f>IF($B950="","",ROW()-3)</f>
        <v/>
      </c>
      <c r="B950" s="27" t="n"/>
      <c r="C950" s="27" t="n"/>
      <c r="D950" s="28" t="n"/>
      <c r="E950" s="29" t="n"/>
      <c r="F950" s="30" t="n"/>
      <c r="G950" s="31" t="n"/>
      <c r="H950" s="31" t="n"/>
      <c r="I950" s="31" t="n"/>
      <c r="J950" s="31" t="n"/>
      <c r="K950" s="31" t="n"/>
      <c r="L950" s="31" t="n"/>
      <c r="M950" s="31" t="n"/>
      <c r="N950" s="31" t="n"/>
      <c r="O950" s="31" t="n"/>
      <c r="P950" s="31" t="n"/>
      <c r="Q950" s="31" t="n"/>
      <c r="R950" s="31" t="n"/>
      <c r="S950" s="32">
        <f>IF($F950="","",IF(IFERROR(VLOOKUP($F950,'维度字典'!$I$2:$J$50,2,0),"求和")="手工录入","",IF(IFERROR(VLOOKUP($F950,'维度字典'!$I$2:$J$50,2,0),"求和")="最新值",IFERROR(LOOKUP(9.99E+307,G950:R950),""),SUM(G950:R950))))</f>
        <v/>
      </c>
      <c r="T950" s="33" t="n"/>
      <c r="U950" s="33" t="n"/>
    </row>
    <row r="951">
      <c r="A951" s="26">
        <f>IF($B951="","",ROW()-3)</f>
        <v/>
      </c>
      <c r="B951" s="27" t="n"/>
      <c r="C951" s="27" t="n"/>
      <c r="D951" s="28" t="n"/>
      <c r="E951" s="29" t="n"/>
      <c r="F951" s="30" t="n"/>
      <c r="G951" s="31" t="n"/>
      <c r="H951" s="31" t="n"/>
      <c r="I951" s="31" t="n"/>
      <c r="J951" s="31" t="n"/>
      <c r="K951" s="31" t="n"/>
      <c r="L951" s="31" t="n"/>
      <c r="M951" s="31" t="n"/>
      <c r="N951" s="31" t="n"/>
      <c r="O951" s="31" t="n"/>
      <c r="P951" s="31" t="n"/>
      <c r="Q951" s="31" t="n"/>
      <c r="R951" s="31" t="n"/>
      <c r="S951" s="32">
        <f>IF($F951="","",IF(IFERROR(VLOOKUP($F951,'维度字典'!$I$2:$J$50,2,0),"求和")="手工录入","",IF(IFERROR(VLOOKUP($F951,'维度字典'!$I$2:$J$50,2,0),"求和")="最新值",IFERROR(LOOKUP(9.99E+307,G951:R951),""),SUM(G951:R951))))</f>
        <v/>
      </c>
      <c r="T951" s="33" t="n"/>
      <c r="U951" s="33" t="n"/>
    </row>
    <row r="952">
      <c r="A952" s="26">
        <f>IF($B952="","",ROW()-3)</f>
        <v/>
      </c>
      <c r="B952" s="27" t="n"/>
      <c r="C952" s="27" t="n"/>
      <c r="D952" s="28" t="n"/>
      <c r="E952" s="29" t="n"/>
      <c r="F952" s="30" t="n"/>
      <c r="G952" s="31" t="n"/>
      <c r="H952" s="31" t="n"/>
      <c r="I952" s="31" t="n"/>
      <c r="J952" s="31" t="n"/>
      <c r="K952" s="31" t="n"/>
      <c r="L952" s="31" t="n"/>
      <c r="M952" s="31" t="n"/>
      <c r="N952" s="31" t="n"/>
      <c r="O952" s="31" t="n"/>
      <c r="P952" s="31" t="n"/>
      <c r="Q952" s="31" t="n"/>
      <c r="R952" s="31" t="n"/>
      <c r="S952" s="32">
        <f>IF($F952="","",IF(IFERROR(VLOOKUP($F952,'维度字典'!$I$2:$J$50,2,0),"求和")="手工录入","",IF(IFERROR(VLOOKUP($F952,'维度字典'!$I$2:$J$50,2,0),"求和")="最新值",IFERROR(LOOKUP(9.99E+307,G952:R952),""),SUM(G952:R952))))</f>
        <v/>
      </c>
      <c r="T952" s="33" t="n"/>
      <c r="U952" s="33" t="n"/>
    </row>
    <row r="953">
      <c r="A953" s="26">
        <f>IF($B953="","",ROW()-3)</f>
        <v/>
      </c>
      <c r="B953" s="27" t="n"/>
      <c r="C953" s="27" t="n"/>
      <c r="D953" s="28" t="n"/>
      <c r="E953" s="29" t="n"/>
      <c r="F953" s="30" t="n"/>
      <c r="G953" s="31" t="n"/>
      <c r="H953" s="31" t="n"/>
      <c r="I953" s="31" t="n"/>
      <c r="J953" s="31" t="n"/>
      <c r="K953" s="31" t="n"/>
      <c r="L953" s="31" t="n"/>
      <c r="M953" s="31" t="n"/>
      <c r="N953" s="31" t="n"/>
      <c r="O953" s="31" t="n"/>
      <c r="P953" s="31" t="n"/>
      <c r="Q953" s="31" t="n"/>
      <c r="R953" s="31" t="n"/>
      <c r="S953" s="32">
        <f>IF($F953="","",IF(IFERROR(VLOOKUP($F953,'维度字典'!$I$2:$J$50,2,0),"求和")="手工录入","",IF(IFERROR(VLOOKUP($F953,'维度字典'!$I$2:$J$50,2,0),"求和")="最新值",IFERROR(LOOKUP(9.99E+307,G953:R953),""),SUM(G953:R953))))</f>
        <v/>
      </c>
      <c r="T953" s="33" t="n"/>
      <c r="U953" s="33" t="n"/>
    </row>
    <row r="954">
      <c r="A954" s="26">
        <f>IF($B954="","",ROW()-3)</f>
        <v/>
      </c>
      <c r="B954" s="27" t="n"/>
      <c r="C954" s="27" t="n"/>
      <c r="D954" s="28" t="n"/>
      <c r="E954" s="29" t="n"/>
      <c r="F954" s="30" t="n"/>
      <c r="G954" s="31" t="n"/>
      <c r="H954" s="31" t="n"/>
      <c r="I954" s="31" t="n"/>
      <c r="J954" s="31" t="n"/>
      <c r="K954" s="31" t="n"/>
      <c r="L954" s="31" t="n"/>
      <c r="M954" s="31" t="n"/>
      <c r="N954" s="31" t="n"/>
      <c r="O954" s="31" t="n"/>
      <c r="P954" s="31" t="n"/>
      <c r="Q954" s="31" t="n"/>
      <c r="R954" s="31" t="n"/>
      <c r="S954" s="32">
        <f>IF($F954="","",IF(IFERROR(VLOOKUP($F954,'维度字典'!$I$2:$J$50,2,0),"求和")="手工录入","",IF(IFERROR(VLOOKUP($F954,'维度字典'!$I$2:$J$50,2,0),"求和")="最新值",IFERROR(LOOKUP(9.99E+307,G954:R954),""),SUM(G954:R954))))</f>
        <v/>
      </c>
      <c r="T954" s="33" t="n"/>
      <c r="U954" s="33" t="n"/>
    </row>
    <row r="955">
      <c r="A955" s="26">
        <f>IF($B955="","",ROW()-3)</f>
        <v/>
      </c>
      <c r="B955" s="27" t="n"/>
      <c r="C955" s="27" t="n"/>
      <c r="D955" s="28" t="n"/>
      <c r="E955" s="29" t="n"/>
      <c r="F955" s="30" t="n"/>
      <c r="G955" s="31" t="n"/>
      <c r="H955" s="31" t="n"/>
      <c r="I955" s="31" t="n"/>
      <c r="J955" s="31" t="n"/>
      <c r="K955" s="31" t="n"/>
      <c r="L955" s="31" t="n"/>
      <c r="M955" s="31" t="n"/>
      <c r="N955" s="31" t="n"/>
      <c r="O955" s="31" t="n"/>
      <c r="P955" s="31" t="n"/>
      <c r="Q955" s="31" t="n"/>
      <c r="R955" s="31" t="n"/>
      <c r="S955" s="32">
        <f>IF($F955="","",IF(IFERROR(VLOOKUP($F955,'维度字典'!$I$2:$J$50,2,0),"求和")="手工录入","",IF(IFERROR(VLOOKUP($F955,'维度字典'!$I$2:$J$50,2,0),"求和")="最新值",IFERROR(LOOKUP(9.99E+307,G955:R955),""),SUM(G955:R955))))</f>
        <v/>
      </c>
      <c r="T955" s="33" t="n"/>
      <c r="U955" s="33" t="n"/>
    </row>
    <row r="956">
      <c r="A956" s="26">
        <f>IF($B956="","",ROW()-3)</f>
        <v/>
      </c>
      <c r="B956" s="27" t="n"/>
      <c r="C956" s="27" t="n"/>
      <c r="D956" s="28" t="n"/>
      <c r="E956" s="29" t="n"/>
      <c r="F956" s="30" t="n"/>
      <c r="G956" s="31" t="n"/>
      <c r="H956" s="31" t="n"/>
      <c r="I956" s="31" t="n"/>
      <c r="J956" s="31" t="n"/>
      <c r="K956" s="31" t="n"/>
      <c r="L956" s="31" t="n"/>
      <c r="M956" s="31" t="n"/>
      <c r="N956" s="31" t="n"/>
      <c r="O956" s="31" t="n"/>
      <c r="P956" s="31" t="n"/>
      <c r="Q956" s="31" t="n"/>
      <c r="R956" s="31" t="n"/>
      <c r="S956" s="32">
        <f>IF($F956="","",IF(IFERROR(VLOOKUP($F956,'维度字典'!$I$2:$J$50,2,0),"求和")="手工录入","",IF(IFERROR(VLOOKUP($F956,'维度字典'!$I$2:$J$50,2,0),"求和")="最新值",IFERROR(LOOKUP(9.99E+307,G956:R956),""),SUM(G956:R956))))</f>
        <v/>
      </c>
      <c r="T956" s="33" t="n"/>
      <c r="U956" s="33" t="n"/>
    </row>
    <row r="957">
      <c r="A957" s="26">
        <f>IF($B957="","",ROW()-3)</f>
        <v/>
      </c>
      <c r="B957" s="27" t="n"/>
      <c r="C957" s="27" t="n"/>
      <c r="D957" s="28" t="n"/>
      <c r="E957" s="29" t="n"/>
      <c r="F957" s="30" t="n"/>
      <c r="G957" s="31" t="n"/>
      <c r="H957" s="31" t="n"/>
      <c r="I957" s="31" t="n"/>
      <c r="J957" s="31" t="n"/>
      <c r="K957" s="31" t="n"/>
      <c r="L957" s="31" t="n"/>
      <c r="M957" s="31" t="n"/>
      <c r="N957" s="31" t="n"/>
      <c r="O957" s="31" t="n"/>
      <c r="P957" s="31" t="n"/>
      <c r="Q957" s="31" t="n"/>
      <c r="R957" s="31" t="n"/>
      <c r="S957" s="32">
        <f>IF($F957="","",IF(IFERROR(VLOOKUP($F957,'维度字典'!$I$2:$J$50,2,0),"求和")="手工录入","",IF(IFERROR(VLOOKUP($F957,'维度字典'!$I$2:$J$50,2,0),"求和")="最新值",IFERROR(LOOKUP(9.99E+307,G957:R957),""),SUM(G957:R957))))</f>
        <v/>
      </c>
      <c r="T957" s="33" t="n"/>
      <c r="U957" s="33" t="n"/>
    </row>
    <row r="958">
      <c r="A958" s="26">
        <f>IF($B958="","",ROW()-3)</f>
        <v/>
      </c>
      <c r="B958" s="27" t="n"/>
      <c r="C958" s="27" t="n"/>
      <c r="D958" s="28" t="n"/>
      <c r="E958" s="29" t="n"/>
      <c r="F958" s="30" t="n"/>
      <c r="G958" s="31" t="n"/>
      <c r="H958" s="31" t="n"/>
      <c r="I958" s="31" t="n"/>
      <c r="J958" s="31" t="n"/>
      <c r="K958" s="31" t="n"/>
      <c r="L958" s="31" t="n"/>
      <c r="M958" s="31" t="n"/>
      <c r="N958" s="31" t="n"/>
      <c r="O958" s="31" t="n"/>
      <c r="P958" s="31" t="n"/>
      <c r="Q958" s="31" t="n"/>
      <c r="R958" s="31" t="n"/>
      <c r="S958" s="32">
        <f>IF($F958="","",IF(IFERROR(VLOOKUP($F958,'维度字典'!$I$2:$J$50,2,0),"求和")="手工录入","",IF(IFERROR(VLOOKUP($F958,'维度字典'!$I$2:$J$50,2,0),"求和")="最新值",IFERROR(LOOKUP(9.99E+307,G958:R958),""),SUM(G958:R958))))</f>
        <v/>
      </c>
      <c r="T958" s="33" t="n"/>
      <c r="U958" s="33" t="n"/>
    </row>
    <row r="959">
      <c r="A959" s="26">
        <f>IF($B959="","",ROW()-3)</f>
        <v/>
      </c>
      <c r="B959" s="27" t="n"/>
      <c r="C959" s="27" t="n"/>
      <c r="D959" s="28" t="n"/>
      <c r="E959" s="29" t="n"/>
      <c r="F959" s="30" t="n"/>
      <c r="G959" s="31" t="n"/>
      <c r="H959" s="31" t="n"/>
      <c r="I959" s="31" t="n"/>
      <c r="J959" s="31" t="n"/>
      <c r="K959" s="31" t="n"/>
      <c r="L959" s="31" t="n"/>
      <c r="M959" s="31" t="n"/>
      <c r="N959" s="31" t="n"/>
      <c r="O959" s="31" t="n"/>
      <c r="P959" s="31" t="n"/>
      <c r="Q959" s="31" t="n"/>
      <c r="R959" s="31" t="n"/>
      <c r="S959" s="32">
        <f>IF($F959="","",IF(IFERROR(VLOOKUP($F959,'维度字典'!$I$2:$J$50,2,0),"求和")="手工录入","",IF(IFERROR(VLOOKUP($F959,'维度字典'!$I$2:$J$50,2,0),"求和")="最新值",IFERROR(LOOKUP(9.99E+307,G959:R959),""),SUM(G959:R959))))</f>
        <v/>
      </c>
      <c r="T959" s="33" t="n"/>
      <c r="U959" s="33" t="n"/>
    </row>
    <row r="960">
      <c r="A960" s="26">
        <f>IF($B960="","",ROW()-3)</f>
        <v/>
      </c>
      <c r="B960" s="27" t="n"/>
      <c r="C960" s="27" t="n"/>
      <c r="D960" s="28" t="n"/>
      <c r="E960" s="29" t="n"/>
      <c r="F960" s="30" t="n"/>
      <c r="G960" s="31" t="n"/>
      <c r="H960" s="31" t="n"/>
      <c r="I960" s="31" t="n"/>
      <c r="J960" s="31" t="n"/>
      <c r="K960" s="31" t="n"/>
      <c r="L960" s="31" t="n"/>
      <c r="M960" s="31" t="n"/>
      <c r="N960" s="31" t="n"/>
      <c r="O960" s="31" t="n"/>
      <c r="P960" s="31" t="n"/>
      <c r="Q960" s="31" t="n"/>
      <c r="R960" s="31" t="n"/>
      <c r="S960" s="32">
        <f>IF($F960="","",IF(IFERROR(VLOOKUP($F960,'维度字典'!$I$2:$J$50,2,0),"求和")="手工录入","",IF(IFERROR(VLOOKUP($F960,'维度字典'!$I$2:$J$50,2,0),"求和")="最新值",IFERROR(LOOKUP(9.99E+307,G960:R960),""),SUM(G960:R960))))</f>
        <v/>
      </c>
      <c r="T960" s="33" t="n"/>
      <c r="U960" s="33" t="n"/>
    </row>
    <row r="961">
      <c r="A961" s="26">
        <f>IF($B961="","",ROW()-3)</f>
        <v/>
      </c>
      <c r="B961" s="27" t="n"/>
      <c r="C961" s="27" t="n"/>
      <c r="D961" s="28" t="n"/>
      <c r="E961" s="29" t="n"/>
      <c r="F961" s="30" t="n"/>
      <c r="G961" s="31" t="n"/>
      <c r="H961" s="31" t="n"/>
      <c r="I961" s="31" t="n"/>
      <c r="J961" s="31" t="n"/>
      <c r="K961" s="31" t="n"/>
      <c r="L961" s="31" t="n"/>
      <c r="M961" s="31" t="n"/>
      <c r="N961" s="31" t="n"/>
      <c r="O961" s="31" t="n"/>
      <c r="P961" s="31" t="n"/>
      <c r="Q961" s="31" t="n"/>
      <c r="R961" s="31" t="n"/>
      <c r="S961" s="32">
        <f>IF($F961="","",IF(IFERROR(VLOOKUP($F961,'维度字典'!$I$2:$J$50,2,0),"求和")="手工录入","",IF(IFERROR(VLOOKUP($F961,'维度字典'!$I$2:$J$50,2,0),"求和")="最新值",IFERROR(LOOKUP(9.99E+307,G961:R961),""),SUM(G961:R961))))</f>
        <v/>
      </c>
      <c r="T961" s="33" t="n"/>
      <c r="U961" s="33" t="n"/>
    </row>
    <row r="962">
      <c r="A962" s="26">
        <f>IF($B962="","",ROW()-3)</f>
        <v/>
      </c>
      <c r="B962" s="27" t="n"/>
      <c r="C962" s="27" t="n"/>
      <c r="D962" s="28" t="n"/>
      <c r="E962" s="29" t="n"/>
      <c r="F962" s="30" t="n"/>
      <c r="G962" s="31" t="n"/>
      <c r="H962" s="31" t="n"/>
      <c r="I962" s="31" t="n"/>
      <c r="J962" s="31" t="n"/>
      <c r="K962" s="31" t="n"/>
      <c r="L962" s="31" t="n"/>
      <c r="M962" s="31" t="n"/>
      <c r="N962" s="31" t="n"/>
      <c r="O962" s="31" t="n"/>
      <c r="P962" s="31" t="n"/>
      <c r="Q962" s="31" t="n"/>
      <c r="R962" s="31" t="n"/>
      <c r="S962" s="32">
        <f>IF($F962="","",IF(IFERROR(VLOOKUP($F962,'维度字典'!$I$2:$J$50,2,0),"求和")="手工录入","",IF(IFERROR(VLOOKUP($F962,'维度字典'!$I$2:$J$50,2,0),"求和")="最新值",IFERROR(LOOKUP(9.99E+307,G962:R962),""),SUM(G962:R962))))</f>
        <v/>
      </c>
      <c r="T962" s="33" t="n"/>
      <c r="U962" s="33" t="n"/>
    </row>
    <row r="963">
      <c r="A963" s="26">
        <f>IF($B963="","",ROW()-3)</f>
        <v/>
      </c>
      <c r="B963" s="27" t="n"/>
      <c r="C963" s="27" t="n"/>
      <c r="D963" s="28" t="n"/>
      <c r="E963" s="29" t="n"/>
      <c r="F963" s="30" t="n"/>
      <c r="G963" s="31" t="n"/>
      <c r="H963" s="31" t="n"/>
      <c r="I963" s="31" t="n"/>
      <c r="J963" s="31" t="n"/>
      <c r="K963" s="31" t="n"/>
      <c r="L963" s="31" t="n"/>
      <c r="M963" s="31" t="n"/>
      <c r="N963" s="31" t="n"/>
      <c r="O963" s="31" t="n"/>
      <c r="P963" s="31" t="n"/>
      <c r="Q963" s="31" t="n"/>
      <c r="R963" s="31" t="n"/>
      <c r="S963" s="32">
        <f>IF($F963="","",IF(IFERROR(VLOOKUP($F963,'维度字典'!$I$2:$J$50,2,0),"求和")="手工录入","",IF(IFERROR(VLOOKUP($F963,'维度字典'!$I$2:$J$50,2,0),"求和")="最新值",IFERROR(LOOKUP(9.99E+307,G963:R963),""),SUM(G963:R963))))</f>
        <v/>
      </c>
      <c r="T963" s="33" t="n"/>
      <c r="U963" s="33" t="n"/>
    </row>
    <row r="964">
      <c r="A964" s="26">
        <f>IF($B964="","",ROW()-3)</f>
        <v/>
      </c>
      <c r="B964" s="27" t="n"/>
      <c r="C964" s="27" t="n"/>
      <c r="D964" s="28" t="n"/>
      <c r="E964" s="29" t="n"/>
      <c r="F964" s="30" t="n"/>
      <c r="G964" s="31" t="n"/>
      <c r="H964" s="31" t="n"/>
      <c r="I964" s="31" t="n"/>
      <c r="J964" s="31" t="n"/>
      <c r="K964" s="31" t="n"/>
      <c r="L964" s="31" t="n"/>
      <c r="M964" s="31" t="n"/>
      <c r="N964" s="31" t="n"/>
      <c r="O964" s="31" t="n"/>
      <c r="P964" s="31" t="n"/>
      <c r="Q964" s="31" t="n"/>
      <c r="R964" s="31" t="n"/>
      <c r="S964" s="32">
        <f>IF($F964="","",IF(IFERROR(VLOOKUP($F964,'维度字典'!$I$2:$J$50,2,0),"求和")="手工录入","",IF(IFERROR(VLOOKUP($F964,'维度字典'!$I$2:$J$50,2,0),"求和")="最新值",IFERROR(LOOKUP(9.99E+307,G964:R964),""),SUM(G964:R964))))</f>
        <v/>
      </c>
      <c r="T964" s="33" t="n"/>
      <c r="U964" s="33" t="n"/>
    </row>
    <row r="965">
      <c r="A965" s="26">
        <f>IF($B965="","",ROW()-3)</f>
        <v/>
      </c>
      <c r="B965" s="27" t="n"/>
      <c r="C965" s="27" t="n"/>
      <c r="D965" s="28" t="n"/>
      <c r="E965" s="29" t="n"/>
      <c r="F965" s="30" t="n"/>
      <c r="G965" s="31" t="n"/>
      <c r="H965" s="31" t="n"/>
      <c r="I965" s="31" t="n"/>
      <c r="J965" s="31" t="n"/>
      <c r="K965" s="31" t="n"/>
      <c r="L965" s="31" t="n"/>
      <c r="M965" s="31" t="n"/>
      <c r="N965" s="31" t="n"/>
      <c r="O965" s="31" t="n"/>
      <c r="P965" s="31" t="n"/>
      <c r="Q965" s="31" t="n"/>
      <c r="R965" s="31" t="n"/>
      <c r="S965" s="32">
        <f>IF($F965="","",IF(IFERROR(VLOOKUP($F965,'维度字典'!$I$2:$J$50,2,0),"求和")="手工录入","",IF(IFERROR(VLOOKUP($F965,'维度字典'!$I$2:$J$50,2,0),"求和")="最新值",IFERROR(LOOKUP(9.99E+307,G965:R965),""),SUM(G965:R965))))</f>
        <v/>
      </c>
      <c r="T965" s="33" t="n"/>
      <c r="U965" s="33" t="n"/>
    </row>
    <row r="966">
      <c r="A966" s="26">
        <f>IF($B966="","",ROW()-3)</f>
        <v/>
      </c>
      <c r="B966" s="27" t="n"/>
      <c r="C966" s="27" t="n"/>
      <c r="D966" s="28" t="n"/>
      <c r="E966" s="29" t="n"/>
      <c r="F966" s="30" t="n"/>
      <c r="G966" s="31" t="n"/>
      <c r="H966" s="31" t="n"/>
      <c r="I966" s="31" t="n"/>
      <c r="J966" s="31" t="n"/>
      <c r="K966" s="31" t="n"/>
      <c r="L966" s="31" t="n"/>
      <c r="M966" s="31" t="n"/>
      <c r="N966" s="31" t="n"/>
      <c r="O966" s="31" t="n"/>
      <c r="P966" s="31" t="n"/>
      <c r="Q966" s="31" t="n"/>
      <c r="R966" s="31" t="n"/>
      <c r="S966" s="32">
        <f>IF($F966="","",IF(IFERROR(VLOOKUP($F966,'维度字典'!$I$2:$J$50,2,0),"求和")="手工录入","",IF(IFERROR(VLOOKUP($F966,'维度字典'!$I$2:$J$50,2,0),"求和")="最新值",IFERROR(LOOKUP(9.99E+307,G966:R966),""),SUM(G966:R966))))</f>
        <v/>
      </c>
      <c r="T966" s="33" t="n"/>
      <c r="U966" s="33" t="n"/>
    </row>
    <row r="967">
      <c r="A967" s="26">
        <f>IF($B967="","",ROW()-3)</f>
        <v/>
      </c>
      <c r="B967" s="27" t="n"/>
      <c r="C967" s="27" t="n"/>
      <c r="D967" s="28" t="n"/>
      <c r="E967" s="29" t="n"/>
      <c r="F967" s="30" t="n"/>
      <c r="G967" s="31" t="n"/>
      <c r="H967" s="31" t="n"/>
      <c r="I967" s="31" t="n"/>
      <c r="J967" s="31" t="n"/>
      <c r="K967" s="31" t="n"/>
      <c r="L967" s="31" t="n"/>
      <c r="M967" s="31" t="n"/>
      <c r="N967" s="31" t="n"/>
      <c r="O967" s="31" t="n"/>
      <c r="P967" s="31" t="n"/>
      <c r="Q967" s="31" t="n"/>
      <c r="R967" s="31" t="n"/>
      <c r="S967" s="32">
        <f>IF($F967="","",IF(IFERROR(VLOOKUP($F967,'维度字典'!$I$2:$J$50,2,0),"求和")="手工录入","",IF(IFERROR(VLOOKUP($F967,'维度字典'!$I$2:$J$50,2,0),"求和")="最新值",IFERROR(LOOKUP(9.99E+307,G967:R967),""),SUM(G967:R967))))</f>
        <v/>
      </c>
      <c r="T967" s="33" t="n"/>
      <c r="U967" s="33" t="n"/>
    </row>
    <row r="968">
      <c r="A968" s="26">
        <f>IF($B968="","",ROW()-3)</f>
        <v/>
      </c>
      <c r="B968" s="27" t="n"/>
      <c r="C968" s="27" t="n"/>
      <c r="D968" s="28" t="n"/>
      <c r="E968" s="29" t="n"/>
      <c r="F968" s="30" t="n"/>
      <c r="G968" s="31" t="n"/>
      <c r="H968" s="31" t="n"/>
      <c r="I968" s="31" t="n"/>
      <c r="J968" s="31" t="n"/>
      <c r="K968" s="31" t="n"/>
      <c r="L968" s="31" t="n"/>
      <c r="M968" s="31" t="n"/>
      <c r="N968" s="31" t="n"/>
      <c r="O968" s="31" t="n"/>
      <c r="P968" s="31" t="n"/>
      <c r="Q968" s="31" t="n"/>
      <c r="R968" s="31" t="n"/>
      <c r="S968" s="32">
        <f>IF($F968="","",IF(IFERROR(VLOOKUP($F968,'维度字典'!$I$2:$J$50,2,0),"求和")="手工录入","",IF(IFERROR(VLOOKUP($F968,'维度字典'!$I$2:$J$50,2,0),"求和")="最新值",IFERROR(LOOKUP(9.99E+307,G968:R968),""),SUM(G968:R968))))</f>
        <v/>
      </c>
      <c r="T968" s="33" t="n"/>
      <c r="U968" s="33" t="n"/>
    </row>
    <row r="969">
      <c r="A969" s="26">
        <f>IF($B969="","",ROW()-3)</f>
        <v/>
      </c>
      <c r="B969" s="27" t="n"/>
      <c r="C969" s="27" t="n"/>
      <c r="D969" s="28" t="n"/>
      <c r="E969" s="29" t="n"/>
      <c r="F969" s="30" t="n"/>
      <c r="G969" s="31" t="n"/>
      <c r="H969" s="31" t="n"/>
      <c r="I969" s="31" t="n"/>
      <c r="J969" s="31" t="n"/>
      <c r="K969" s="31" t="n"/>
      <c r="L969" s="31" t="n"/>
      <c r="M969" s="31" t="n"/>
      <c r="N969" s="31" t="n"/>
      <c r="O969" s="31" t="n"/>
      <c r="P969" s="31" t="n"/>
      <c r="Q969" s="31" t="n"/>
      <c r="R969" s="31" t="n"/>
      <c r="S969" s="32">
        <f>IF($F969="","",IF(IFERROR(VLOOKUP($F969,'维度字典'!$I$2:$J$50,2,0),"求和")="手工录入","",IF(IFERROR(VLOOKUP($F969,'维度字典'!$I$2:$J$50,2,0),"求和")="最新值",IFERROR(LOOKUP(9.99E+307,G969:R969),""),SUM(G969:R969))))</f>
        <v/>
      </c>
      <c r="T969" s="33" t="n"/>
      <c r="U969" s="33" t="n"/>
    </row>
    <row r="970">
      <c r="A970" s="26">
        <f>IF($B970="","",ROW()-3)</f>
        <v/>
      </c>
      <c r="B970" s="27" t="n"/>
      <c r="C970" s="27" t="n"/>
      <c r="D970" s="28" t="n"/>
      <c r="E970" s="29" t="n"/>
      <c r="F970" s="30" t="n"/>
      <c r="G970" s="31" t="n"/>
      <c r="H970" s="31" t="n"/>
      <c r="I970" s="31" t="n"/>
      <c r="J970" s="31" t="n"/>
      <c r="K970" s="31" t="n"/>
      <c r="L970" s="31" t="n"/>
      <c r="M970" s="31" t="n"/>
      <c r="N970" s="31" t="n"/>
      <c r="O970" s="31" t="n"/>
      <c r="P970" s="31" t="n"/>
      <c r="Q970" s="31" t="n"/>
      <c r="R970" s="31" t="n"/>
      <c r="S970" s="32">
        <f>IF($F970="","",IF(IFERROR(VLOOKUP($F970,'维度字典'!$I$2:$J$50,2,0),"求和")="手工录入","",IF(IFERROR(VLOOKUP($F970,'维度字典'!$I$2:$J$50,2,0),"求和")="最新值",IFERROR(LOOKUP(9.99E+307,G970:R970),""),SUM(G970:R970))))</f>
        <v/>
      </c>
      <c r="T970" s="33" t="n"/>
      <c r="U970" s="33" t="n"/>
    </row>
    <row r="971">
      <c r="A971" s="26">
        <f>IF($B971="","",ROW()-3)</f>
        <v/>
      </c>
      <c r="B971" s="27" t="n"/>
      <c r="C971" s="27" t="n"/>
      <c r="D971" s="28" t="n"/>
      <c r="E971" s="29" t="n"/>
      <c r="F971" s="30" t="n"/>
      <c r="G971" s="31" t="n"/>
      <c r="H971" s="31" t="n"/>
      <c r="I971" s="31" t="n"/>
      <c r="J971" s="31" t="n"/>
      <c r="K971" s="31" t="n"/>
      <c r="L971" s="31" t="n"/>
      <c r="M971" s="31" t="n"/>
      <c r="N971" s="31" t="n"/>
      <c r="O971" s="31" t="n"/>
      <c r="P971" s="31" t="n"/>
      <c r="Q971" s="31" t="n"/>
      <c r="R971" s="31" t="n"/>
      <c r="S971" s="32">
        <f>IF($F971="","",IF(IFERROR(VLOOKUP($F971,'维度字典'!$I$2:$J$50,2,0),"求和")="手工录入","",IF(IFERROR(VLOOKUP($F971,'维度字典'!$I$2:$J$50,2,0),"求和")="最新值",IFERROR(LOOKUP(9.99E+307,G971:R971),""),SUM(G971:R971))))</f>
        <v/>
      </c>
      <c r="T971" s="33" t="n"/>
      <c r="U971" s="33" t="n"/>
    </row>
    <row r="972">
      <c r="A972" s="26">
        <f>IF($B972="","",ROW()-3)</f>
        <v/>
      </c>
      <c r="B972" s="27" t="n"/>
      <c r="C972" s="27" t="n"/>
      <c r="D972" s="28" t="n"/>
      <c r="E972" s="29" t="n"/>
      <c r="F972" s="30" t="n"/>
      <c r="G972" s="31" t="n"/>
      <c r="H972" s="31" t="n"/>
      <c r="I972" s="31" t="n"/>
      <c r="J972" s="31" t="n"/>
      <c r="K972" s="31" t="n"/>
      <c r="L972" s="31" t="n"/>
      <c r="M972" s="31" t="n"/>
      <c r="N972" s="31" t="n"/>
      <c r="O972" s="31" t="n"/>
      <c r="P972" s="31" t="n"/>
      <c r="Q972" s="31" t="n"/>
      <c r="R972" s="31" t="n"/>
      <c r="S972" s="32">
        <f>IF($F972="","",IF(IFERROR(VLOOKUP($F972,'维度字典'!$I$2:$J$50,2,0),"求和")="手工录入","",IF(IFERROR(VLOOKUP($F972,'维度字典'!$I$2:$J$50,2,0),"求和")="最新值",IFERROR(LOOKUP(9.99E+307,G972:R972),""),SUM(G972:R972))))</f>
        <v/>
      </c>
      <c r="T972" s="33" t="n"/>
      <c r="U972" s="33" t="n"/>
    </row>
    <row r="973">
      <c r="A973" s="26">
        <f>IF($B973="","",ROW()-3)</f>
        <v/>
      </c>
      <c r="B973" s="27" t="n"/>
      <c r="C973" s="27" t="n"/>
      <c r="D973" s="28" t="n"/>
      <c r="E973" s="29" t="n"/>
      <c r="F973" s="30" t="n"/>
      <c r="G973" s="31" t="n"/>
      <c r="H973" s="31" t="n"/>
      <c r="I973" s="31" t="n"/>
      <c r="J973" s="31" t="n"/>
      <c r="K973" s="31" t="n"/>
      <c r="L973" s="31" t="n"/>
      <c r="M973" s="31" t="n"/>
      <c r="N973" s="31" t="n"/>
      <c r="O973" s="31" t="n"/>
      <c r="P973" s="31" t="n"/>
      <c r="Q973" s="31" t="n"/>
      <c r="R973" s="31" t="n"/>
      <c r="S973" s="32">
        <f>IF($F973="","",IF(IFERROR(VLOOKUP($F973,'维度字典'!$I$2:$J$50,2,0),"求和")="手工录入","",IF(IFERROR(VLOOKUP($F973,'维度字典'!$I$2:$J$50,2,0),"求和")="最新值",IFERROR(LOOKUP(9.99E+307,G973:R973),""),SUM(G973:R973))))</f>
        <v/>
      </c>
      <c r="T973" s="33" t="n"/>
      <c r="U973" s="33" t="n"/>
    </row>
    <row r="974">
      <c r="A974" s="26">
        <f>IF($B974="","",ROW()-3)</f>
        <v/>
      </c>
      <c r="B974" s="27" t="n"/>
      <c r="C974" s="27" t="n"/>
      <c r="D974" s="28" t="n"/>
      <c r="E974" s="29" t="n"/>
      <c r="F974" s="30" t="n"/>
      <c r="G974" s="31" t="n"/>
      <c r="H974" s="31" t="n"/>
      <c r="I974" s="31" t="n"/>
      <c r="J974" s="31" t="n"/>
      <c r="K974" s="31" t="n"/>
      <c r="L974" s="31" t="n"/>
      <c r="M974" s="31" t="n"/>
      <c r="N974" s="31" t="n"/>
      <c r="O974" s="31" t="n"/>
      <c r="P974" s="31" t="n"/>
      <c r="Q974" s="31" t="n"/>
      <c r="R974" s="31" t="n"/>
      <c r="S974" s="32">
        <f>IF($F974="","",IF(IFERROR(VLOOKUP($F974,'维度字典'!$I$2:$J$50,2,0),"求和")="手工录入","",IF(IFERROR(VLOOKUP($F974,'维度字典'!$I$2:$J$50,2,0),"求和")="最新值",IFERROR(LOOKUP(9.99E+307,G974:R974),""),SUM(G974:R974))))</f>
        <v/>
      </c>
      <c r="T974" s="33" t="n"/>
      <c r="U974" s="33" t="n"/>
    </row>
    <row r="975">
      <c r="A975" s="26">
        <f>IF($B975="","",ROW()-3)</f>
        <v/>
      </c>
      <c r="B975" s="27" t="n"/>
      <c r="C975" s="27" t="n"/>
      <c r="D975" s="28" t="n"/>
      <c r="E975" s="29" t="n"/>
      <c r="F975" s="30" t="n"/>
      <c r="G975" s="31" t="n"/>
      <c r="H975" s="31" t="n"/>
      <c r="I975" s="31" t="n"/>
      <c r="J975" s="31" t="n"/>
      <c r="K975" s="31" t="n"/>
      <c r="L975" s="31" t="n"/>
      <c r="M975" s="31" t="n"/>
      <c r="N975" s="31" t="n"/>
      <c r="O975" s="31" t="n"/>
      <c r="P975" s="31" t="n"/>
      <c r="Q975" s="31" t="n"/>
      <c r="R975" s="31" t="n"/>
      <c r="S975" s="32">
        <f>IF($F975="","",IF(IFERROR(VLOOKUP($F975,'维度字典'!$I$2:$J$50,2,0),"求和")="手工录入","",IF(IFERROR(VLOOKUP($F975,'维度字典'!$I$2:$J$50,2,0),"求和")="最新值",IFERROR(LOOKUP(9.99E+307,G975:R975),""),SUM(G975:R975))))</f>
        <v/>
      </c>
      <c r="T975" s="33" t="n"/>
      <c r="U975" s="33" t="n"/>
    </row>
    <row r="976">
      <c r="A976" s="26">
        <f>IF($B976="","",ROW()-3)</f>
        <v/>
      </c>
      <c r="B976" s="27" t="n"/>
      <c r="C976" s="27" t="n"/>
      <c r="D976" s="28" t="n"/>
      <c r="E976" s="29" t="n"/>
      <c r="F976" s="30" t="n"/>
      <c r="G976" s="31" t="n"/>
      <c r="H976" s="31" t="n"/>
      <c r="I976" s="31" t="n"/>
      <c r="J976" s="31" t="n"/>
      <c r="K976" s="31" t="n"/>
      <c r="L976" s="31" t="n"/>
      <c r="M976" s="31" t="n"/>
      <c r="N976" s="31" t="n"/>
      <c r="O976" s="31" t="n"/>
      <c r="P976" s="31" t="n"/>
      <c r="Q976" s="31" t="n"/>
      <c r="R976" s="31" t="n"/>
      <c r="S976" s="32">
        <f>IF($F976="","",IF(IFERROR(VLOOKUP($F976,'维度字典'!$I$2:$J$50,2,0),"求和")="手工录入","",IF(IFERROR(VLOOKUP($F976,'维度字典'!$I$2:$J$50,2,0),"求和")="最新值",IFERROR(LOOKUP(9.99E+307,G976:R976),""),SUM(G976:R976))))</f>
        <v/>
      </c>
      <c r="T976" s="33" t="n"/>
      <c r="U976" s="33" t="n"/>
    </row>
    <row r="977">
      <c r="A977" s="26">
        <f>IF($B977="","",ROW()-3)</f>
        <v/>
      </c>
      <c r="B977" s="27" t="n"/>
      <c r="C977" s="27" t="n"/>
      <c r="D977" s="28" t="n"/>
      <c r="E977" s="29" t="n"/>
      <c r="F977" s="30" t="n"/>
      <c r="G977" s="31" t="n"/>
      <c r="H977" s="31" t="n"/>
      <c r="I977" s="31" t="n"/>
      <c r="J977" s="31" t="n"/>
      <c r="K977" s="31" t="n"/>
      <c r="L977" s="31" t="n"/>
      <c r="M977" s="31" t="n"/>
      <c r="N977" s="31" t="n"/>
      <c r="O977" s="31" t="n"/>
      <c r="P977" s="31" t="n"/>
      <c r="Q977" s="31" t="n"/>
      <c r="R977" s="31" t="n"/>
      <c r="S977" s="32">
        <f>IF($F977="","",IF(IFERROR(VLOOKUP($F977,'维度字典'!$I$2:$J$50,2,0),"求和")="手工录入","",IF(IFERROR(VLOOKUP($F977,'维度字典'!$I$2:$J$50,2,0),"求和")="最新值",IFERROR(LOOKUP(9.99E+307,G977:R977),""),SUM(G977:R977))))</f>
        <v/>
      </c>
      <c r="T977" s="33" t="n"/>
      <c r="U977" s="33" t="n"/>
    </row>
    <row r="978">
      <c r="A978" s="26">
        <f>IF($B978="","",ROW()-3)</f>
        <v/>
      </c>
      <c r="B978" s="27" t="n"/>
      <c r="C978" s="27" t="n"/>
      <c r="D978" s="28" t="n"/>
      <c r="E978" s="29" t="n"/>
      <c r="F978" s="30" t="n"/>
      <c r="G978" s="31" t="n"/>
      <c r="H978" s="31" t="n"/>
      <c r="I978" s="31" t="n"/>
      <c r="J978" s="31" t="n"/>
      <c r="K978" s="31" t="n"/>
      <c r="L978" s="31" t="n"/>
      <c r="M978" s="31" t="n"/>
      <c r="N978" s="31" t="n"/>
      <c r="O978" s="31" t="n"/>
      <c r="P978" s="31" t="n"/>
      <c r="Q978" s="31" t="n"/>
      <c r="R978" s="31" t="n"/>
      <c r="S978" s="32">
        <f>IF($F978="","",IF(IFERROR(VLOOKUP($F978,'维度字典'!$I$2:$J$50,2,0),"求和")="手工录入","",IF(IFERROR(VLOOKUP($F978,'维度字典'!$I$2:$J$50,2,0),"求和")="最新值",IFERROR(LOOKUP(9.99E+307,G978:R978),""),SUM(G978:R978))))</f>
        <v/>
      </c>
      <c r="T978" s="33" t="n"/>
      <c r="U978" s="33" t="n"/>
    </row>
    <row r="979">
      <c r="A979" s="26">
        <f>IF($B979="","",ROW()-3)</f>
        <v/>
      </c>
      <c r="B979" s="27" t="n"/>
      <c r="C979" s="27" t="n"/>
      <c r="D979" s="28" t="n"/>
      <c r="E979" s="29" t="n"/>
      <c r="F979" s="30" t="n"/>
      <c r="G979" s="31" t="n"/>
      <c r="H979" s="31" t="n"/>
      <c r="I979" s="31" t="n"/>
      <c r="J979" s="31" t="n"/>
      <c r="K979" s="31" t="n"/>
      <c r="L979" s="31" t="n"/>
      <c r="M979" s="31" t="n"/>
      <c r="N979" s="31" t="n"/>
      <c r="O979" s="31" t="n"/>
      <c r="P979" s="31" t="n"/>
      <c r="Q979" s="31" t="n"/>
      <c r="R979" s="31" t="n"/>
      <c r="S979" s="32">
        <f>IF($F979="","",IF(IFERROR(VLOOKUP($F979,'维度字典'!$I$2:$J$50,2,0),"求和")="手工录入","",IF(IFERROR(VLOOKUP($F979,'维度字典'!$I$2:$J$50,2,0),"求和")="最新值",IFERROR(LOOKUP(9.99E+307,G979:R979),""),SUM(G979:R979))))</f>
        <v/>
      </c>
      <c r="T979" s="33" t="n"/>
      <c r="U979" s="33" t="n"/>
    </row>
    <row r="980">
      <c r="A980" s="26">
        <f>IF($B980="","",ROW()-3)</f>
        <v/>
      </c>
      <c r="B980" s="27" t="n"/>
      <c r="C980" s="27" t="n"/>
      <c r="D980" s="28" t="n"/>
      <c r="E980" s="29" t="n"/>
      <c r="F980" s="30" t="n"/>
      <c r="G980" s="31" t="n"/>
      <c r="H980" s="31" t="n"/>
      <c r="I980" s="31" t="n"/>
      <c r="J980" s="31" t="n"/>
      <c r="K980" s="31" t="n"/>
      <c r="L980" s="31" t="n"/>
      <c r="M980" s="31" t="n"/>
      <c r="N980" s="31" t="n"/>
      <c r="O980" s="31" t="n"/>
      <c r="P980" s="31" t="n"/>
      <c r="Q980" s="31" t="n"/>
      <c r="R980" s="31" t="n"/>
      <c r="S980" s="32">
        <f>IF($F980="","",IF(IFERROR(VLOOKUP($F980,'维度字典'!$I$2:$J$50,2,0),"求和")="手工录入","",IF(IFERROR(VLOOKUP($F980,'维度字典'!$I$2:$J$50,2,0),"求和")="最新值",IFERROR(LOOKUP(9.99E+307,G980:R980),""),SUM(G980:R980))))</f>
        <v/>
      </c>
      <c r="T980" s="33" t="n"/>
      <c r="U980" s="33" t="n"/>
    </row>
    <row r="981">
      <c r="A981" s="26">
        <f>IF($B981="","",ROW()-3)</f>
        <v/>
      </c>
      <c r="B981" s="27" t="n"/>
      <c r="C981" s="27" t="n"/>
      <c r="D981" s="28" t="n"/>
      <c r="E981" s="29" t="n"/>
      <c r="F981" s="30" t="n"/>
      <c r="G981" s="31" t="n"/>
      <c r="H981" s="31" t="n"/>
      <c r="I981" s="31" t="n"/>
      <c r="J981" s="31" t="n"/>
      <c r="K981" s="31" t="n"/>
      <c r="L981" s="31" t="n"/>
      <c r="M981" s="31" t="n"/>
      <c r="N981" s="31" t="n"/>
      <c r="O981" s="31" t="n"/>
      <c r="P981" s="31" t="n"/>
      <c r="Q981" s="31" t="n"/>
      <c r="R981" s="31" t="n"/>
      <c r="S981" s="32">
        <f>IF($F981="","",IF(IFERROR(VLOOKUP($F981,'维度字典'!$I$2:$J$50,2,0),"求和")="手工录入","",IF(IFERROR(VLOOKUP($F981,'维度字典'!$I$2:$J$50,2,0),"求和")="最新值",IFERROR(LOOKUP(9.99E+307,G981:R981),""),SUM(G981:R981))))</f>
        <v/>
      </c>
      <c r="T981" s="33" t="n"/>
      <c r="U981" s="33" t="n"/>
    </row>
    <row r="982">
      <c r="A982" s="26">
        <f>IF($B982="","",ROW()-3)</f>
        <v/>
      </c>
      <c r="B982" s="27" t="n"/>
      <c r="C982" s="27" t="n"/>
      <c r="D982" s="28" t="n"/>
      <c r="E982" s="29" t="n"/>
      <c r="F982" s="30" t="n"/>
      <c r="G982" s="31" t="n"/>
      <c r="H982" s="31" t="n"/>
      <c r="I982" s="31" t="n"/>
      <c r="J982" s="31" t="n"/>
      <c r="K982" s="31" t="n"/>
      <c r="L982" s="31" t="n"/>
      <c r="M982" s="31" t="n"/>
      <c r="N982" s="31" t="n"/>
      <c r="O982" s="31" t="n"/>
      <c r="P982" s="31" t="n"/>
      <c r="Q982" s="31" t="n"/>
      <c r="R982" s="31" t="n"/>
      <c r="S982" s="32">
        <f>IF($F982="","",IF(IFERROR(VLOOKUP($F982,'维度字典'!$I$2:$J$50,2,0),"求和")="手工录入","",IF(IFERROR(VLOOKUP($F982,'维度字典'!$I$2:$J$50,2,0),"求和")="最新值",IFERROR(LOOKUP(9.99E+307,G982:R982),""),SUM(G982:R982))))</f>
        <v/>
      </c>
      <c r="T982" s="33" t="n"/>
      <c r="U982" s="33" t="n"/>
    </row>
    <row r="983">
      <c r="A983" s="26">
        <f>IF($B983="","",ROW()-3)</f>
        <v/>
      </c>
      <c r="B983" s="27" t="n"/>
      <c r="C983" s="27" t="n"/>
      <c r="D983" s="28" t="n"/>
      <c r="E983" s="29" t="n"/>
      <c r="F983" s="30" t="n"/>
      <c r="G983" s="31" t="n"/>
      <c r="H983" s="31" t="n"/>
      <c r="I983" s="31" t="n"/>
      <c r="J983" s="31" t="n"/>
      <c r="K983" s="31" t="n"/>
      <c r="L983" s="31" t="n"/>
      <c r="M983" s="31" t="n"/>
      <c r="N983" s="31" t="n"/>
      <c r="O983" s="31" t="n"/>
      <c r="P983" s="31" t="n"/>
      <c r="Q983" s="31" t="n"/>
      <c r="R983" s="31" t="n"/>
      <c r="S983" s="32">
        <f>IF($F983="","",IF(IFERROR(VLOOKUP($F983,'维度字典'!$I$2:$J$50,2,0),"求和")="手工录入","",IF(IFERROR(VLOOKUP($F983,'维度字典'!$I$2:$J$50,2,0),"求和")="最新值",IFERROR(LOOKUP(9.99E+307,G983:R983),""),SUM(G983:R983))))</f>
        <v/>
      </c>
      <c r="T983" s="33" t="n"/>
      <c r="U983" s="33" t="n"/>
    </row>
    <row r="984">
      <c r="A984" s="26">
        <f>IF($B984="","",ROW()-3)</f>
        <v/>
      </c>
      <c r="B984" s="27" t="n"/>
      <c r="C984" s="27" t="n"/>
      <c r="D984" s="28" t="n"/>
      <c r="E984" s="29" t="n"/>
      <c r="F984" s="30" t="n"/>
      <c r="G984" s="31" t="n"/>
      <c r="H984" s="31" t="n"/>
      <c r="I984" s="31" t="n"/>
      <c r="J984" s="31" t="n"/>
      <c r="K984" s="31" t="n"/>
      <c r="L984" s="31" t="n"/>
      <c r="M984" s="31" t="n"/>
      <c r="N984" s="31" t="n"/>
      <c r="O984" s="31" t="n"/>
      <c r="P984" s="31" t="n"/>
      <c r="Q984" s="31" t="n"/>
      <c r="R984" s="31" t="n"/>
      <c r="S984" s="32">
        <f>IF($F984="","",IF(IFERROR(VLOOKUP($F984,'维度字典'!$I$2:$J$50,2,0),"求和")="手工录入","",IF(IFERROR(VLOOKUP($F984,'维度字典'!$I$2:$J$50,2,0),"求和")="最新值",IFERROR(LOOKUP(9.99E+307,G984:R984),""),SUM(G984:R984))))</f>
        <v/>
      </c>
      <c r="T984" s="33" t="n"/>
      <c r="U984" s="33" t="n"/>
    </row>
    <row r="985">
      <c r="A985" s="26">
        <f>IF($B985="","",ROW()-3)</f>
        <v/>
      </c>
      <c r="B985" s="27" t="n"/>
      <c r="C985" s="27" t="n"/>
      <c r="D985" s="28" t="n"/>
      <c r="E985" s="29" t="n"/>
      <c r="F985" s="30" t="n"/>
      <c r="G985" s="31" t="n"/>
      <c r="H985" s="31" t="n"/>
      <c r="I985" s="31" t="n"/>
      <c r="J985" s="31" t="n"/>
      <c r="K985" s="31" t="n"/>
      <c r="L985" s="31" t="n"/>
      <c r="M985" s="31" t="n"/>
      <c r="N985" s="31" t="n"/>
      <c r="O985" s="31" t="n"/>
      <c r="P985" s="31" t="n"/>
      <c r="Q985" s="31" t="n"/>
      <c r="R985" s="31" t="n"/>
      <c r="S985" s="32">
        <f>IF($F985="","",IF(IFERROR(VLOOKUP($F985,'维度字典'!$I$2:$J$50,2,0),"求和")="手工录入","",IF(IFERROR(VLOOKUP($F985,'维度字典'!$I$2:$J$50,2,0),"求和")="最新值",IFERROR(LOOKUP(9.99E+307,G985:R985),""),SUM(G985:R985))))</f>
        <v/>
      </c>
      <c r="T985" s="33" t="n"/>
      <c r="U985" s="33" t="n"/>
    </row>
    <row r="986">
      <c r="A986" s="26">
        <f>IF($B986="","",ROW()-3)</f>
        <v/>
      </c>
      <c r="B986" s="27" t="n"/>
      <c r="C986" s="27" t="n"/>
      <c r="D986" s="28" t="n"/>
      <c r="E986" s="29" t="n"/>
      <c r="F986" s="30" t="n"/>
      <c r="G986" s="31" t="n"/>
      <c r="H986" s="31" t="n"/>
      <c r="I986" s="31" t="n"/>
      <c r="J986" s="31" t="n"/>
      <c r="K986" s="31" t="n"/>
      <c r="L986" s="31" t="n"/>
      <c r="M986" s="31" t="n"/>
      <c r="N986" s="31" t="n"/>
      <c r="O986" s="31" t="n"/>
      <c r="P986" s="31" t="n"/>
      <c r="Q986" s="31" t="n"/>
      <c r="R986" s="31" t="n"/>
      <c r="S986" s="32">
        <f>IF($F986="","",IF(IFERROR(VLOOKUP($F986,'维度字典'!$I$2:$J$50,2,0),"求和")="手工录入","",IF(IFERROR(VLOOKUP($F986,'维度字典'!$I$2:$J$50,2,0),"求和")="最新值",IFERROR(LOOKUP(9.99E+307,G986:R986),""),SUM(G986:R986))))</f>
        <v/>
      </c>
      <c r="T986" s="33" t="n"/>
      <c r="U986" s="33" t="n"/>
    </row>
    <row r="987">
      <c r="A987" s="26">
        <f>IF($B987="","",ROW()-3)</f>
        <v/>
      </c>
      <c r="B987" s="27" t="n"/>
      <c r="C987" s="27" t="n"/>
      <c r="D987" s="28" t="n"/>
      <c r="E987" s="29" t="n"/>
      <c r="F987" s="30" t="n"/>
      <c r="G987" s="31" t="n"/>
      <c r="H987" s="31" t="n"/>
      <c r="I987" s="31" t="n"/>
      <c r="J987" s="31" t="n"/>
      <c r="K987" s="31" t="n"/>
      <c r="L987" s="31" t="n"/>
      <c r="M987" s="31" t="n"/>
      <c r="N987" s="31" t="n"/>
      <c r="O987" s="31" t="n"/>
      <c r="P987" s="31" t="n"/>
      <c r="Q987" s="31" t="n"/>
      <c r="R987" s="31" t="n"/>
      <c r="S987" s="32">
        <f>IF($F987="","",IF(IFERROR(VLOOKUP($F987,'维度字典'!$I$2:$J$50,2,0),"求和")="手工录入","",IF(IFERROR(VLOOKUP($F987,'维度字典'!$I$2:$J$50,2,0),"求和")="最新值",IFERROR(LOOKUP(9.99E+307,G987:R987),""),SUM(G987:R987))))</f>
        <v/>
      </c>
      <c r="T987" s="33" t="n"/>
      <c r="U987" s="33" t="n"/>
    </row>
    <row r="988">
      <c r="A988" s="26">
        <f>IF($B988="","",ROW()-3)</f>
        <v/>
      </c>
      <c r="B988" s="27" t="n"/>
      <c r="C988" s="27" t="n"/>
      <c r="D988" s="28" t="n"/>
      <c r="E988" s="29" t="n"/>
      <c r="F988" s="30" t="n"/>
      <c r="G988" s="31" t="n"/>
      <c r="H988" s="31" t="n"/>
      <c r="I988" s="31" t="n"/>
      <c r="J988" s="31" t="n"/>
      <c r="K988" s="31" t="n"/>
      <c r="L988" s="31" t="n"/>
      <c r="M988" s="31" t="n"/>
      <c r="N988" s="31" t="n"/>
      <c r="O988" s="31" t="n"/>
      <c r="P988" s="31" t="n"/>
      <c r="Q988" s="31" t="n"/>
      <c r="R988" s="31" t="n"/>
      <c r="S988" s="32">
        <f>IF($F988="","",IF(IFERROR(VLOOKUP($F988,'维度字典'!$I$2:$J$50,2,0),"求和")="手工录入","",IF(IFERROR(VLOOKUP($F988,'维度字典'!$I$2:$J$50,2,0),"求和")="最新值",IFERROR(LOOKUP(9.99E+307,G988:R988),""),SUM(G988:R988))))</f>
        <v/>
      </c>
      <c r="T988" s="33" t="n"/>
      <c r="U988" s="33" t="n"/>
    </row>
    <row r="989">
      <c r="A989" s="26">
        <f>IF($B989="","",ROW()-3)</f>
        <v/>
      </c>
      <c r="B989" s="27" t="n"/>
      <c r="C989" s="27" t="n"/>
      <c r="D989" s="28" t="n"/>
      <c r="E989" s="29" t="n"/>
      <c r="F989" s="30" t="n"/>
      <c r="G989" s="31" t="n"/>
      <c r="H989" s="31" t="n"/>
      <c r="I989" s="31" t="n"/>
      <c r="J989" s="31" t="n"/>
      <c r="K989" s="31" t="n"/>
      <c r="L989" s="31" t="n"/>
      <c r="M989" s="31" t="n"/>
      <c r="N989" s="31" t="n"/>
      <c r="O989" s="31" t="n"/>
      <c r="P989" s="31" t="n"/>
      <c r="Q989" s="31" t="n"/>
      <c r="R989" s="31" t="n"/>
      <c r="S989" s="32">
        <f>IF($F989="","",IF(IFERROR(VLOOKUP($F989,'维度字典'!$I$2:$J$50,2,0),"求和")="手工录入","",IF(IFERROR(VLOOKUP($F989,'维度字典'!$I$2:$J$50,2,0),"求和")="最新值",IFERROR(LOOKUP(9.99E+307,G989:R989),""),SUM(G989:R989))))</f>
        <v/>
      </c>
      <c r="T989" s="33" t="n"/>
      <c r="U989" s="33" t="n"/>
    </row>
    <row r="990">
      <c r="A990" s="26">
        <f>IF($B990="","",ROW()-3)</f>
        <v/>
      </c>
      <c r="B990" s="27" t="n"/>
      <c r="C990" s="27" t="n"/>
      <c r="D990" s="28" t="n"/>
      <c r="E990" s="29" t="n"/>
      <c r="F990" s="30" t="n"/>
      <c r="G990" s="31" t="n"/>
      <c r="H990" s="31" t="n"/>
      <c r="I990" s="31" t="n"/>
      <c r="J990" s="31" t="n"/>
      <c r="K990" s="31" t="n"/>
      <c r="L990" s="31" t="n"/>
      <c r="M990" s="31" t="n"/>
      <c r="N990" s="31" t="n"/>
      <c r="O990" s="31" t="n"/>
      <c r="P990" s="31" t="n"/>
      <c r="Q990" s="31" t="n"/>
      <c r="R990" s="31" t="n"/>
      <c r="S990" s="32">
        <f>IF($F990="","",IF(IFERROR(VLOOKUP($F990,'维度字典'!$I$2:$J$50,2,0),"求和")="手工录入","",IF(IFERROR(VLOOKUP($F990,'维度字典'!$I$2:$J$50,2,0),"求和")="最新值",IFERROR(LOOKUP(9.99E+307,G990:R990),""),SUM(G990:R990))))</f>
        <v/>
      </c>
      <c r="T990" s="33" t="n"/>
      <c r="U990" s="33" t="n"/>
    </row>
    <row r="991">
      <c r="A991" s="26">
        <f>IF($B991="","",ROW()-3)</f>
        <v/>
      </c>
      <c r="B991" s="27" t="n"/>
      <c r="C991" s="27" t="n"/>
      <c r="D991" s="28" t="n"/>
      <c r="E991" s="29" t="n"/>
      <c r="F991" s="30" t="n"/>
      <c r="G991" s="31" t="n"/>
      <c r="H991" s="31" t="n"/>
      <c r="I991" s="31" t="n"/>
      <c r="J991" s="31" t="n"/>
      <c r="K991" s="31" t="n"/>
      <c r="L991" s="31" t="n"/>
      <c r="M991" s="31" t="n"/>
      <c r="N991" s="31" t="n"/>
      <c r="O991" s="31" t="n"/>
      <c r="P991" s="31" t="n"/>
      <c r="Q991" s="31" t="n"/>
      <c r="R991" s="31" t="n"/>
      <c r="S991" s="32">
        <f>IF($F991="","",IF(IFERROR(VLOOKUP($F991,'维度字典'!$I$2:$J$50,2,0),"求和")="手工录入","",IF(IFERROR(VLOOKUP($F991,'维度字典'!$I$2:$J$50,2,0),"求和")="最新值",IFERROR(LOOKUP(9.99E+307,G991:R991),""),SUM(G991:R991))))</f>
        <v/>
      </c>
      <c r="T991" s="33" t="n"/>
      <c r="U991" s="33" t="n"/>
    </row>
    <row r="992">
      <c r="A992" s="26">
        <f>IF($B992="","",ROW()-3)</f>
        <v/>
      </c>
      <c r="B992" s="27" t="n"/>
      <c r="C992" s="27" t="n"/>
      <c r="D992" s="28" t="n"/>
      <c r="E992" s="29" t="n"/>
      <c r="F992" s="30" t="n"/>
      <c r="G992" s="31" t="n"/>
      <c r="H992" s="31" t="n"/>
      <c r="I992" s="31" t="n"/>
      <c r="J992" s="31" t="n"/>
      <c r="K992" s="31" t="n"/>
      <c r="L992" s="31" t="n"/>
      <c r="M992" s="31" t="n"/>
      <c r="N992" s="31" t="n"/>
      <c r="O992" s="31" t="n"/>
      <c r="P992" s="31" t="n"/>
      <c r="Q992" s="31" t="n"/>
      <c r="R992" s="31" t="n"/>
      <c r="S992" s="32">
        <f>IF($F992="","",IF(IFERROR(VLOOKUP($F992,'维度字典'!$I$2:$J$50,2,0),"求和")="手工录入","",IF(IFERROR(VLOOKUP($F992,'维度字典'!$I$2:$J$50,2,0),"求和")="最新值",IFERROR(LOOKUP(9.99E+307,G992:R992),""),SUM(G992:R992))))</f>
        <v/>
      </c>
      <c r="T992" s="33" t="n"/>
      <c r="U992" s="33" t="n"/>
    </row>
    <row r="993">
      <c r="A993" s="26">
        <f>IF($B993="","",ROW()-3)</f>
        <v/>
      </c>
      <c r="B993" s="27" t="n"/>
      <c r="C993" s="27" t="n"/>
      <c r="D993" s="28" t="n"/>
      <c r="E993" s="29" t="n"/>
      <c r="F993" s="30" t="n"/>
      <c r="G993" s="31" t="n"/>
      <c r="H993" s="31" t="n"/>
      <c r="I993" s="31" t="n"/>
      <c r="J993" s="31" t="n"/>
      <c r="K993" s="31" t="n"/>
      <c r="L993" s="31" t="n"/>
      <c r="M993" s="31" t="n"/>
      <c r="N993" s="31" t="n"/>
      <c r="O993" s="31" t="n"/>
      <c r="P993" s="31" t="n"/>
      <c r="Q993" s="31" t="n"/>
      <c r="R993" s="31" t="n"/>
      <c r="S993" s="32">
        <f>IF($F993="","",IF(IFERROR(VLOOKUP($F993,'维度字典'!$I$2:$J$50,2,0),"求和")="手工录入","",IF(IFERROR(VLOOKUP($F993,'维度字典'!$I$2:$J$50,2,0),"求和")="最新值",IFERROR(LOOKUP(9.99E+307,G993:R993),""),SUM(G993:R993))))</f>
        <v/>
      </c>
      <c r="T993" s="33" t="n"/>
      <c r="U993" s="33" t="n"/>
    </row>
    <row r="994">
      <c r="A994" s="26">
        <f>IF($B994="","",ROW()-3)</f>
        <v/>
      </c>
      <c r="B994" s="27" t="n"/>
      <c r="C994" s="27" t="n"/>
      <c r="D994" s="28" t="n"/>
      <c r="E994" s="29" t="n"/>
      <c r="F994" s="30" t="n"/>
      <c r="G994" s="31" t="n"/>
      <c r="H994" s="31" t="n"/>
      <c r="I994" s="31" t="n"/>
      <c r="J994" s="31" t="n"/>
      <c r="K994" s="31" t="n"/>
      <c r="L994" s="31" t="n"/>
      <c r="M994" s="31" t="n"/>
      <c r="N994" s="31" t="n"/>
      <c r="O994" s="31" t="n"/>
      <c r="P994" s="31" t="n"/>
      <c r="Q994" s="31" t="n"/>
      <c r="R994" s="31" t="n"/>
      <c r="S994" s="32">
        <f>IF($F994="","",IF(IFERROR(VLOOKUP($F994,'维度字典'!$I$2:$J$50,2,0),"求和")="手工录入","",IF(IFERROR(VLOOKUP($F994,'维度字典'!$I$2:$J$50,2,0),"求和")="最新值",IFERROR(LOOKUP(9.99E+307,G994:R994),""),SUM(G994:R994))))</f>
        <v/>
      </c>
      <c r="T994" s="33" t="n"/>
      <c r="U994" s="33" t="n"/>
    </row>
    <row r="995">
      <c r="A995" s="26">
        <f>IF($B995="","",ROW()-3)</f>
        <v/>
      </c>
      <c r="B995" s="27" t="n"/>
      <c r="C995" s="27" t="n"/>
      <c r="D995" s="28" t="n"/>
      <c r="E995" s="29" t="n"/>
      <c r="F995" s="30" t="n"/>
      <c r="G995" s="31" t="n"/>
      <c r="H995" s="31" t="n"/>
      <c r="I995" s="31" t="n"/>
      <c r="J995" s="31" t="n"/>
      <c r="K995" s="31" t="n"/>
      <c r="L995" s="31" t="n"/>
      <c r="M995" s="31" t="n"/>
      <c r="N995" s="31" t="n"/>
      <c r="O995" s="31" t="n"/>
      <c r="P995" s="31" t="n"/>
      <c r="Q995" s="31" t="n"/>
      <c r="R995" s="31" t="n"/>
      <c r="S995" s="32">
        <f>IF($F995="","",IF(IFERROR(VLOOKUP($F995,'维度字典'!$I$2:$J$50,2,0),"求和")="手工录入","",IF(IFERROR(VLOOKUP($F995,'维度字典'!$I$2:$J$50,2,0),"求和")="最新值",IFERROR(LOOKUP(9.99E+307,G995:R995),""),SUM(G995:R995))))</f>
        <v/>
      </c>
      <c r="T995" s="33" t="n"/>
      <c r="U995" s="33" t="n"/>
    </row>
    <row r="996">
      <c r="A996" s="26">
        <f>IF($B996="","",ROW()-3)</f>
        <v/>
      </c>
      <c r="B996" s="27" t="n"/>
      <c r="C996" s="27" t="n"/>
      <c r="D996" s="28" t="n"/>
      <c r="E996" s="29" t="n"/>
      <c r="F996" s="30" t="n"/>
      <c r="G996" s="31" t="n"/>
      <c r="H996" s="31" t="n"/>
      <c r="I996" s="31" t="n"/>
      <c r="J996" s="31" t="n"/>
      <c r="K996" s="31" t="n"/>
      <c r="L996" s="31" t="n"/>
      <c r="M996" s="31" t="n"/>
      <c r="N996" s="31" t="n"/>
      <c r="O996" s="31" t="n"/>
      <c r="P996" s="31" t="n"/>
      <c r="Q996" s="31" t="n"/>
      <c r="R996" s="31" t="n"/>
      <c r="S996" s="32">
        <f>IF($F996="","",IF(IFERROR(VLOOKUP($F996,'维度字典'!$I$2:$J$50,2,0),"求和")="手工录入","",IF(IFERROR(VLOOKUP($F996,'维度字典'!$I$2:$J$50,2,0),"求和")="最新值",IFERROR(LOOKUP(9.99E+307,G996:R996),""),SUM(G996:R996))))</f>
        <v/>
      </c>
      <c r="T996" s="33" t="n"/>
      <c r="U996" s="33" t="n"/>
    </row>
    <row r="997">
      <c r="A997" s="26">
        <f>IF($B997="","",ROW()-3)</f>
        <v/>
      </c>
      <c r="B997" s="27" t="n"/>
      <c r="C997" s="27" t="n"/>
      <c r="D997" s="28" t="n"/>
      <c r="E997" s="29" t="n"/>
      <c r="F997" s="30" t="n"/>
      <c r="G997" s="31" t="n"/>
      <c r="H997" s="31" t="n"/>
      <c r="I997" s="31" t="n"/>
      <c r="J997" s="31" t="n"/>
      <c r="K997" s="31" t="n"/>
      <c r="L997" s="31" t="n"/>
      <c r="M997" s="31" t="n"/>
      <c r="N997" s="31" t="n"/>
      <c r="O997" s="31" t="n"/>
      <c r="P997" s="31" t="n"/>
      <c r="Q997" s="31" t="n"/>
      <c r="R997" s="31" t="n"/>
      <c r="S997" s="32">
        <f>IF($F997="","",IF(IFERROR(VLOOKUP($F997,'维度字典'!$I$2:$J$50,2,0),"求和")="手工录入","",IF(IFERROR(VLOOKUP($F997,'维度字典'!$I$2:$J$50,2,0),"求和")="最新值",IFERROR(LOOKUP(9.99E+307,G997:R997),""),SUM(G997:R997))))</f>
        <v/>
      </c>
      <c r="T997" s="33" t="n"/>
      <c r="U997" s="33" t="n"/>
    </row>
    <row r="998">
      <c r="A998" s="26">
        <f>IF($B998="","",ROW()-3)</f>
        <v/>
      </c>
      <c r="B998" s="27" t="n"/>
      <c r="C998" s="27" t="n"/>
      <c r="D998" s="28" t="n"/>
      <c r="E998" s="29" t="n"/>
      <c r="F998" s="30" t="n"/>
      <c r="G998" s="31" t="n"/>
      <c r="H998" s="31" t="n"/>
      <c r="I998" s="31" t="n"/>
      <c r="J998" s="31" t="n"/>
      <c r="K998" s="31" t="n"/>
      <c r="L998" s="31" t="n"/>
      <c r="M998" s="31" t="n"/>
      <c r="N998" s="31" t="n"/>
      <c r="O998" s="31" t="n"/>
      <c r="P998" s="31" t="n"/>
      <c r="Q998" s="31" t="n"/>
      <c r="R998" s="31" t="n"/>
      <c r="S998" s="32">
        <f>IF($F998="","",IF(IFERROR(VLOOKUP($F998,'维度字典'!$I$2:$J$50,2,0),"求和")="手工录入","",IF(IFERROR(VLOOKUP($F998,'维度字典'!$I$2:$J$50,2,0),"求和")="最新值",IFERROR(LOOKUP(9.99E+307,G998:R998),""),SUM(G998:R998))))</f>
        <v/>
      </c>
      <c r="T998" s="33" t="n"/>
      <c r="U998" s="33" t="n"/>
    </row>
    <row r="999">
      <c r="A999" s="26">
        <f>IF($B999="","",ROW()-3)</f>
        <v/>
      </c>
      <c r="B999" s="27" t="n"/>
      <c r="C999" s="27" t="n"/>
      <c r="D999" s="28" t="n"/>
      <c r="E999" s="29" t="n"/>
      <c r="F999" s="30" t="n"/>
      <c r="G999" s="31" t="n"/>
      <c r="H999" s="31" t="n"/>
      <c r="I999" s="31" t="n"/>
      <c r="J999" s="31" t="n"/>
      <c r="K999" s="31" t="n"/>
      <c r="L999" s="31" t="n"/>
      <c r="M999" s="31" t="n"/>
      <c r="N999" s="31" t="n"/>
      <c r="O999" s="31" t="n"/>
      <c r="P999" s="31" t="n"/>
      <c r="Q999" s="31" t="n"/>
      <c r="R999" s="31" t="n"/>
      <c r="S999" s="32">
        <f>IF($F999="","",IF(IFERROR(VLOOKUP($F999,'维度字典'!$I$2:$J$50,2,0),"求和")="手工录入","",IF(IFERROR(VLOOKUP($F999,'维度字典'!$I$2:$J$50,2,0),"求和")="最新值",IFERROR(LOOKUP(9.99E+307,G999:R999),""),SUM(G999:R999))))</f>
        <v/>
      </c>
      <c r="T999" s="33" t="n"/>
      <c r="U999" s="33" t="n"/>
    </row>
    <row r="1000">
      <c r="A1000" s="26">
        <f>IF($B1000="","",ROW()-3)</f>
        <v/>
      </c>
      <c r="B1000" s="27" t="n"/>
      <c r="C1000" s="27" t="n"/>
      <c r="D1000" s="28" t="n"/>
      <c r="E1000" s="29" t="n"/>
      <c r="F1000" s="30" t="n"/>
      <c r="G1000" s="31" t="n"/>
      <c r="H1000" s="31" t="n"/>
      <c r="I1000" s="31" t="n"/>
      <c r="J1000" s="31" t="n"/>
      <c r="K1000" s="31" t="n"/>
      <c r="L1000" s="31" t="n"/>
      <c r="M1000" s="31" t="n"/>
      <c r="N1000" s="31" t="n"/>
      <c r="O1000" s="31" t="n"/>
      <c r="P1000" s="31" t="n"/>
      <c r="Q1000" s="31" t="n"/>
      <c r="R1000" s="31" t="n"/>
      <c r="S1000" s="32">
        <f>IF($F1000="","",IF(IFERROR(VLOOKUP($F1000,'维度字典'!$I$2:$J$50,2,0),"求和")="手工录入","",IF(IFERROR(VLOOKUP($F1000,'维度字典'!$I$2:$J$50,2,0),"求和")="最新值",IFERROR(LOOKUP(9.99E+307,G1000:R1000),""),SUM(G1000:R1000))))</f>
        <v/>
      </c>
      <c r="T1000" s="33" t="n"/>
      <c r="U1000" s="33" t="n"/>
    </row>
    <row r="1001">
      <c r="A1001" s="26">
        <f>IF($B1001="","",ROW()-3)</f>
        <v/>
      </c>
      <c r="B1001" s="27" t="n"/>
      <c r="C1001" s="27" t="n"/>
      <c r="D1001" s="28" t="n"/>
      <c r="E1001" s="29" t="n"/>
      <c r="F1001" s="30" t="n"/>
      <c r="G1001" s="31" t="n"/>
      <c r="H1001" s="31" t="n"/>
      <c r="I1001" s="31" t="n"/>
      <c r="J1001" s="31" t="n"/>
      <c r="K1001" s="31" t="n"/>
      <c r="L1001" s="31" t="n"/>
      <c r="M1001" s="31" t="n"/>
      <c r="N1001" s="31" t="n"/>
      <c r="O1001" s="31" t="n"/>
      <c r="P1001" s="31" t="n"/>
      <c r="Q1001" s="31" t="n"/>
      <c r="R1001" s="31" t="n"/>
      <c r="S1001" s="32">
        <f>IF($F1001="","",IF(IFERROR(VLOOKUP($F1001,'维度字典'!$I$2:$J$50,2,0),"求和")="手工录入","",IF(IFERROR(VLOOKUP($F1001,'维度字典'!$I$2:$J$50,2,0),"求和")="最新值",IFERROR(LOOKUP(9.99E+307,G1001:R1001),""),SUM(G1001:R1001))))</f>
        <v/>
      </c>
      <c r="T1001" s="33" t="n"/>
      <c r="U1001" s="33" t="n"/>
    </row>
    <row r="1002">
      <c r="A1002" s="26">
        <f>IF($B1002="","",ROW()-3)</f>
        <v/>
      </c>
      <c r="B1002" s="27" t="n"/>
      <c r="C1002" s="27" t="n"/>
      <c r="D1002" s="28" t="n"/>
      <c r="E1002" s="29" t="n"/>
      <c r="F1002" s="30" t="n"/>
      <c r="G1002" s="31" t="n"/>
      <c r="H1002" s="31" t="n"/>
      <c r="I1002" s="31" t="n"/>
      <c r="J1002" s="31" t="n"/>
      <c r="K1002" s="31" t="n"/>
      <c r="L1002" s="31" t="n"/>
      <c r="M1002" s="31" t="n"/>
      <c r="N1002" s="31" t="n"/>
      <c r="O1002" s="31" t="n"/>
      <c r="P1002" s="31" t="n"/>
      <c r="Q1002" s="31" t="n"/>
      <c r="R1002" s="31" t="n"/>
      <c r="S1002" s="32">
        <f>IF($F1002="","",IF(IFERROR(VLOOKUP($F1002,'维度字典'!$I$2:$J$50,2,0),"求和")="手工录入","",IF(IFERROR(VLOOKUP($F1002,'维度字典'!$I$2:$J$50,2,0),"求和")="最新值",IFERROR(LOOKUP(9.99E+307,G1002:R1002),""),SUM(G1002:R1002))))</f>
        <v/>
      </c>
      <c r="T1002" s="33" t="n"/>
      <c r="U1002" s="33" t="n"/>
    </row>
    <row r="1003">
      <c r="A1003" s="26">
        <f>IF($B1003="","",ROW()-3)</f>
        <v/>
      </c>
      <c r="B1003" s="27" t="n"/>
      <c r="C1003" s="27" t="n"/>
      <c r="D1003" s="28" t="n"/>
      <c r="E1003" s="29" t="n"/>
      <c r="F1003" s="30" t="n"/>
      <c r="G1003" s="31" t="n"/>
      <c r="H1003" s="31" t="n"/>
      <c r="I1003" s="31" t="n"/>
      <c r="J1003" s="31" t="n"/>
      <c r="K1003" s="31" t="n"/>
      <c r="L1003" s="31" t="n"/>
      <c r="M1003" s="31" t="n"/>
      <c r="N1003" s="31" t="n"/>
      <c r="O1003" s="31" t="n"/>
      <c r="P1003" s="31" t="n"/>
      <c r="Q1003" s="31" t="n"/>
      <c r="R1003" s="31" t="n"/>
      <c r="S1003" s="32">
        <f>IF($F1003="","",IF(IFERROR(VLOOKUP($F1003,'维度字典'!$I$2:$J$50,2,0),"求和")="手工录入","",IF(IFERROR(VLOOKUP($F1003,'维度字典'!$I$2:$J$50,2,0),"求和")="最新值",IFERROR(LOOKUP(9.99E+307,G1003:R1003),""),SUM(G1003:R1003))))</f>
        <v/>
      </c>
      <c r="T1003" s="33" t="n"/>
      <c r="U1003" s="33" t="n"/>
    </row>
    <row r="1004">
      <c r="A1004" s="26">
        <f>IF($B1004="","",ROW()-3)</f>
        <v/>
      </c>
      <c r="B1004" s="27" t="n"/>
      <c r="C1004" s="27" t="n"/>
      <c r="D1004" s="28" t="n"/>
      <c r="E1004" s="29" t="n"/>
      <c r="F1004" s="30" t="n"/>
      <c r="G1004" s="31" t="n"/>
      <c r="H1004" s="31" t="n"/>
      <c r="I1004" s="31" t="n"/>
      <c r="J1004" s="31" t="n"/>
      <c r="K1004" s="31" t="n"/>
      <c r="L1004" s="31" t="n"/>
      <c r="M1004" s="31" t="n"/>
      <c r="N1004" s="31" t="n"/>
      <c r="O1004" s="31" t="n"/>
      <c r="P1004" s="31" t="n"/>
      <c r="Q1004" s="31" t="n"/>
      <c r="R1004" s="31" t="n"/>
      <c r="S1004" s="32">
        <f>IF($F1004="","",IF(IFERROR(VLOOKUP($F1004,'维度字典'!$I$2:$J$50,2,0),"求和")="手工录入","",IF(IFERROR(VLOOKUP($F1004,'维度字典'!$I$2:$J$50,2,0),"求和")="最新值",IFERROR(LOOKUP(9.99E+307,G1004:R1004),""),SUM(G1004:R1004))))</f>
        <v/>
      </c>
      <c r="T1004" s="33" t="n"/>
      <c r="U1004" s="33" t="n"/>
    </row>
    <row r="1005">
      <c r="A1005" s="26">
        <f>IF($B1005="","",ROW()-3)</f>
        <v/>
      </c>
      <c r="B1005" s="27" t="n"/>
      <c r="C1005" s="27" t="n"/>
      <c r="D1005" s="28" t="n"/>
      <c r="E1005" s="29" t="n"/>
      <c r="F1005" s="30" t="n"/>
      <c r="G1005" s="31" t="n"/>
      <c r="H1005" s="31" t="n"/>
      <c r="I1005" s="31" t="n"/>
      <c r="J1005" s="31" t="n"/>
      <c r="K1005" s="31" t="n"/>
      <c r="L1005" s="31" t="n"/>
      <c r="M1005" s="31" t="n"/>
      <c r="N1005" s="31" t="n"/>
      <c r="O1005" s="31" t="n"/>
      <c r="P1005" s="31" t="n"/>
      <c r="Q1005" s="31" t="n"/>
      <c r="R1005" s="31" t="n"/>
      <c r="S1005" s="32">
        <f>IF($F1005="","",IF(IFERROR(VLOOKUP($F1005,'维度字典'!$I$2:$J$50,2,0),"求和")="手工录入","",IF(IFERROR(VLOOKUP($F1005,'维度字典'!$I$2:$J$50,2,0),"求和")="最新值",IFERROR(LOOKUP(9.99E+307,G1005:R1005),""),SUM(G1005:R1005))))</f>
        <v/>
      </c>
      <c r="T1005" s="33" t="n"/>
      <c r="U1005" s="33" t="n"/>
    </row>
    <row r="1006">
      <c r="A1006" s="26">
        <f>IF($B1006="","",ROW()-3)</f>
        <v/>
      </c>
      <c r="B1006" s="27" t="n"/>
      <c r="C1006" s="27" t="n"/>
      <c r="D1006" s="28" t="n"/>
      <c r="E1006" s="29" t="n"/>
      <c r="F1006" s="30" t="n"/>
      <c r="G1006" s="31" t="n"/>
      <c r="H1006" s="31" t="n"/>
      <c r="I1006" s="31" t="n"/>
      <c r="J1006" s="31" t="n"/>
      <c r="K1006" s="31" t="n"/>
      <c r="L1006" s="31" t="n"/>
      <c r="M1006" s="31" t="n"/>
      <c r="N1006" s="31" t="n"/>
      <c r="O1006" s="31" t="n"/>
      <c r="P1006" s="31" t="n"/>
      <c r="Q1006" s="31" t="n"/>
      <c r="R1006" s="31" t="n"/>
      <c r="S1006" s="32">
        <f>IF($F1006="","",IF(IFERROR(VLOOKUP($F1006,'维度字典'!$I$2:$J$50,2,0),"求和")="手工录入","",IF(IFERROR(VLOOKUP($F1006,'维度字典'!$I$2:$J$50,2,0),"求和")="最新值",IFERROR(LOOKUP(9.99E+307,G1006:R1006),""),SUM(G1006:R1006))))</f>
        <v/>
      </c>
      <c r="T1006" s="33" t="n"/>
      <c r="U1006" s="33" t="n"/>
    </row>
    <row r="1007">
      <c r="A1007" s="26">
        <f>IF($B1007="","",ROW()-3)</f>
        <v/>
      </c>
      <c r="B1007" s="27" t="n"/>
      <c r="C1007" s="27" t="n"/>
      <c r="D1007" s="28" t="n"/>
      <c r="E1007" s="29" t="n"/>
      <c r="F1007" s="30" t="n"/>
      <c r="G1007" s="31" t="n"/>
      <c r="H1007" s="31" t="n"/>
      <c r="I1007" s="31" t="n"/>
      <c r="J1007" s="31" t="n"/>
      <c r="K1007" s="31" t="n"/>
      <c r="L1007" s="31" t="n"/>
      <c r="M1007" s="31" t="n"/>
      <c r="N1007" s="31" t="n"/>
      <c r="O1007" s="31" t="n"/>
      <c r="P1007" s="31" t="n"/>
      <c r="Q1007" s="31" t="n"/>
      <c r="R1007" s="31" t="n"/>
      <c r="S1007" s="32">
        <f>IF($F1007="","",IF(IFERROR(VLOOKUP($F1007,'维度字典'!$I$2:$J$50,2,0),"求和")="手工录入","",IF(IFERROR(VLOOKUP($F1007,'维度字典'!$I$2:$J$50,2,0),"求和")="最新值",IFERROR(LOOKUP(9.99E+307,G1007:R1007),""),SUM(G1007:R1007))))</f>
        <v/>
      </c>
      <c r="T1007" s="33" t="n"/>
      <c r="U1007" s="33" t="n"/>
    </row>
    <row r="1008">
      <c r="A1008" s="26">
        <f>IF($B1008="","",ROW()-3)</f>
        <v/>
      </c>
      <c r="B1008" s="27" t="n"/>
      <c r="C1008" s="27" t="n"/>
      <c r="D1008" s="28" t="n"/>
      <c r="E1008" s="29" t="n"/>
      <c r="F1008" s="30" t="n"/>
      <c r="G1008" s="31" t="n"/>
      <c r="H1008" s="31" t="n"/>
      <c r="I1008" s="31" t="n"/>
      <c r="J1008" s="31" t="n"/>
      <c r="K1008" s="31" t="n"/>
      <c r="L1008" s="31" t="n"/>
      <c r="M1008" s="31" t="n"/>
      <c r="N1008" s="31" t="n"/>
      <c r="O1008" s="31" t="n"/>
      <c r="P1008" s="31" t="n"/>
      <c r="Q1008" s="31" t="n"/>
      <c r="R1008" s="31" t="n"/>
      <c r="S1008" s="32">
        <f>IF($F1008="","",IF(IFERROR(VLOOKUP($F1008,'维度字典'!$I$2:$J$50,2,0),"求和")="手工录入","",IF(IFERROR(VLOOKUP($F1008,'维度字典'!$I$2:$J$50,2,0),"求和")="最新值",IFERROR(LOOKUP(9.99E+307,G1008:R1008),""),SUM(G1008:R1008))))</f>
        <v/>
      </c>
      <c r="T1008" s="33" t="n"/>
      <c r="U1008" s="33" t="n"/>
    </row>
    <row r="1009">
      <c r="A1009" s="26">
        <f>IF($B1009="","",ROW()-3)</f>
        <v/>
      </c>
      <c r="B1009" s="27" t="n"/>
      <c r="C1009" s="27" t="n"/>
      <c r="D1009" s="28" t="n"/>
      <c r="E1009" s="29" t="n"/>
      <c r="F1009" s="30" t="n"/>
      <c r="G1009" s="31" t="n"/>
      <c r="H1009" s="31" t="n"/>
      <c r="I1009" s="31" t="n"/>
      <c r="J1009" s="31" t="n"/>
      <c r="K1009" s="31" t="n"/>
      <c r="L1009" s="31" t="n"/>
      <c r="M1009" s="31" t="n"/>
      <c r="N1009" s="31" t="n"/>
      <c r="O1009" s="31" t="n"/>
      <c r="P1009" s="31" t="n"/>
      <c r="Q1009" s="31" t="n"/>
      <c r="R1009" s="31" t="n"/>
      <c r="S1009" s="32">
        <f>IF($F1009="","",IF(IFERROR(VLOOKUP($F1009,'维度字典'!$I$2:$J$50,2,0),"求和")="手工录入","",IF(IFERROR(VLOOKUP($F1009,'维度字典'!$I$2:$J$50,2,0),"求和")="最新值",IFERROR(LOOKUP(9.99E+307,G1009:R1009),""),SUM(G1009:R1009))))</f>
        <v/>
      </c>
      <c r="T1009" s="33" t="n"/>
      <c r="U1009" s="33" t="n"/>
    </row>
    <row r="1010">
      <c r="A1010" s="26">
        <f>IF($B1010="","",ROW()-3)</f>
        <v/>
      </c>
      <c r="B1010" s="27" t="n"/>
      <c r="C1010" s="27" t="n"/>
      <c r="D1010" s="28" t="n"/>
      <c r="E1010" s="29" t="n"/>
      <c r="F1010" s="30" t="n"/>
      <c r="G1010" s="31" t="n"/>
      <c r="H1010" s="31" t="n"/>
      <c r="I1010" s="31" t="n"/>
      <c r="J1010" s="31" t="n"/>
      <c r="K1010" s="31" t="n"/>
      <c r="L1010" s="31" t="n"/>
      <c r="M1010" s="31" t="n"/>
      <c r="N1010" s="31" t="n"/>
      <c r="O1010" s="31" t="n"/>
      <c r="P1010" s="31" t="n"/>
      <c r="Q1010" s="31" t="n"/>
      <c r="R1010" s="31" t="n"/>
      <c r="S1010" s="32">
        <f>IF($F1010="","",IF(IFERROR(VLOOKUP($F1010,'维度字典'!$I$2:$J$50,2,0),"求和")="手工录入","",IF(IFERROR(VLOOKUP($F1010,'维度字典'!$I$2:$J$50,2,0),"求和")="最新值",IFERROR(LOOKUP(9.99E+307,G1010:R1010),""),SUM(G1010:R1010))))</f>
        <v/>
      </c>
      <c r="T1010" s="33" t="n"/>
      <c r="U1010" s="33" t="n"/>
    </row>
    <row r="1011">
      <c r="A1011" s="26">
        <f>IF($B1011="","",ROW()-3)</f>
        <v/>
      </c>
      <c r="B1011" s="27" t="n"/>
      <c r="C1011" s="27" t="n"/>
      <c r="D1011" s="28" t="n"/>
      <c r="E1011" s="29" t="n"/>
      <c r="F1011" s="30" t="n"/>
      <c r="G1011" s="31" t="n"/>
      <c r="H1011" s="31" t="n"/>
      <c r="I1011" s="31" t="n"/>
      <c r="J1011" s="31" t="n"/>
      <c r="K1011" s="31" t="n"/>
      <c r="L1011" s="31" t="n"/>
      <c r="M1011" s="31" t="n"/>
      <c r="N1011" s="31" t="n"/>
      <c r="O1011" s="31" t="n"/>
      <c r="P1011" s="31" t="n"/>
      <c r="Q1011" s="31" t="n"/>
      <c r="R1011" s="31" t="n"/>
      <c r="S1011" s="32">
        <f>IF($F1011="","",IF(IFERROR(VLOOKUP($F1011,'维度字典'!$I$2:$J$50,2,0),"求和")="手工录入","",IF(IFERROR(VLOOKUP($F1011,'维度字典'!$I$2:$J$50,2,0),"求和")="最新值",IFERROR(LOOKUP(9.99E+307,G1011:R1011),""),SUM(G1011:R1011))))</f>
        <v/>
      </c>
      <c r="T1011" s="33" t="n"/>
      <c r="U1011" s="33" t="n"/>
    </row>
    <row r="1012">
      <c r="A1012" s="26">
        <f>IF($B1012="","",ROW()-3)</f>
        <v/>
      </c>
      <c r="B1012" s="27" t="n"/>
      <c r="C1012" s="27" t="n"/>
      <c r="D1012" s="28" t="n"/>
      <c r="E1012" s="29" t="n"/>
      <c r="F1012" s="30" t="n"/>
      <c r="G1012" s="31" t="n"/>
      <c r="H1012" s="31" t="n"/>
      <c r="I1012" s="31" t="n"/>
      <c r="J1012" s="31" t="n"/>
      <c r="K1012" s="31" t="n"/>
      <c r="L1012" s="31" t="n"/>
      <c r="M1012" s="31" t="n"/>
      <c r="N1012" s="31" t="n"/>
      <c r="O1012" s="31" t="n"/>
      <c r="P1012" s="31" t="n"/>
      <c r="Q1012" s="31" t="n"/>
      <c r="R1012" s="31" t="n"/>
      <c r="S1012" s="32">
        <f>IF($F1012="","",IF(IFERROR(VLOOKUP($F1012,'维度字典'!$I$2:$J$50,2,0),"求和")="手工录入","",IF(IFERROR(VLOOKUP($F1012,'维度字典'!$I$2:$J$50,2,0),"求和")="最新值",IFERROR(LOOKUP(9.99E+307,G1012:R1012),""),SUM(G1012:R1012))))</f>
        <v/>
      </c>
      <c r="T1012" s="33" t="n"/>
      <c r="U1012" s="33" t="n"/>
    </row>
    <row r="1013">
      <c r="A1013" s="26">
        <f>IF($B1013="","",ROW()-3)</f>
        <v/>
      </c>
      <c r="B1013" s="27" t="n"/>
      <c r="C1013" s="27" t="n"/>
      <c r="D1013" s="28" t="n"/>
      <c r="E1013" s="29" t="n"/>
      <c r="F1013" s="30" t="n"/>
      <c r="G1013" s="31" t="n"/>
      <c r="H1013" s="31" t="n"/>
      <c r="I1013" s="31" t="n"/>
      <c r="J1013" s="31" t="n"/>
      <c r="K1013" s="31" t="n"/>
      <c r="L1013" s="31" t="n"/>
      <c r="M1013" s="31" t="n"/>
      <c r="N1013" s="31" t="n"/>
      <c r="O1013" s="31" t="n"/>
      <c r="P1013" s="31" t="n"/>
      <c r="Q1013" s="31" t="n"/>
      <c r="R1013" s="31" t="n"/>
      <c r="S1013" s="32">
        <f>IF($F1013="","",IF(IFERROR(VLOOKUP($F1013,'维度字典'!$I$2:$J$50,2,0),"求和")="手工录入","",IF(IFERROR(VLOOKUP($F1013,'维度字典'!$I$2:$J$50,2,0),"求和")="最新值",IFERROR(LOOKUP(9.99E+307,G1013:R1013),""),SUM(G1013:R1013))))</f>
        <v/>
      </c>
      <c r="T1013" s="33" t="n"/>
      <c r="U1013" s="33" t="n"/>
    </row>
    <row r="1014">
      <c r="A1014" s="26">
        <f>IF($B1014="","",ROW()-3)</f>
        <v/>
      </c>
      <c r="B1014" s="27" t="n"/>
      <c r="C1014" s="27" t="n"/>
      <c r="D1014" s="28" t="n"/>
      <c r="E1014" s="29" t="n"/>
      <c r="F1014" s="30" t="n"/>
      <c r="G1014" s="31" t="n"/>
      <c r="H1014" s="31" t="n"/>
      <c r="I1014" s="31" t="n"/>
      <c r="J1014" s="31" t="n"/>
      <c r="K1014" s="31" t="n"/>
      <c r="L1014" s="31" t="n"/>
      <c r="M1014" s="31" t="n"/>
      <c r="N1014" s="31" t="n"/>
      <c r="O1014" s="31" t="n"/>
      <c r="P1014" s="31" t="n"/>
      <c r="Q1014" s="31" t="n"/>
      <c r="R1014" s="31" t="n"/>
      <c r="S1014" s="32">
        <f>IF($F1014="","",IF(IFERROR(VLOOKUP($F1014,'维度字典'!$I$2:$J$50,2,0),"求和")="手工录入","",IF(IFERROR(VLOOKUP($F1014,'维度字典'!$I$2:$J$50,2,0),"求和")="最新值",IFERROR(LOOKUP(9.99E+307,G1014:R1014),""),SUM(G1014:R1014))))</f>
        <v/>
      </c>
      <c r="T1014" s="33" t="n"/>
      <c r="U1014" s="33" t="n"/>
    </row>
    <row r="1015">
      <c r="A1015" s="26">
        <f>IF($B1015="","",ROW()-3)</f>
        <v/>
      </c>
      <c r="B1015" s="27" t="n"/>
      <c r="C1015" s="27" t="n"/>
      <c r="D1015" s="28" t="n"/>
      <c r="E1015" s="29" t="n"/>
      <c r="F1015" s="30" t="n"/>
      <c r="G1015" s="31" t="n"/>
      <c r="H1015" s="31" t="n"/>
      <c r="I1015" s="31" t="n"/>
      <c r="J1015" s="31" t="n"/>
      <c r="K1015" s="31" t="n"/>
      <c r="L1015" s="31" t="n"/>
      <c r="M1015" s="31" t="n"/>
      <c r="N1015" s="31" t="n"/>
      <c r="O1015" s="31" t="n"/>
      <c r="P1015" s="31" t="n"/>
      <c r="Q1015" s="31" t="n"/>
      <c r="R1015" s="31" t="n"/>
      <c r="S1015" s="32">
        <f>IF($F1015="","",IF(IFERROR(VLOOKUP($F1015,'维度字典'!$I$2:$J$50,2,0),"求和")="手工录入","",IF(IFERROR(VLOOKUP($F1015,'维度字典'!$I$2:$J$50,2,0),"求和")="最新值",IFERROR(LOOKUP(9.99E+307,G1015:R1015),""),SUM(G1015:R1015))))</f>
        <v/>
      </c>
      <c r="T1015" s="33" t="n"/>
      <c r="U1015" s="33" t="n"/>
    </row>
    <row r="1016">
      <c r="A1016" s="26">
        <f>IF($B1016="","",ROW()-3)</f>
        <v/>
      </c>
      <c r="B1016" s="27" t="n"/>
      <c r="C1016" s="27" t="n"/>
      <c r="D1016" s="28" t="n"/>
      <c r="E1016" s="29" t="n"/>
      <c r="F1016" s="30" t="n"/>
      <c r="G1016" s="31" t="n"/>
      <c r="H1016" s="31" t="n"/>
      <c r="I1016" s="31" t="n"/>
      <c r="J1016" s="31" t="n"/>
      <c r="K1016" s="31" t="n"/>
      <c r="L1016" s="31" t="n"/>
      <c r="M1016" s="31" t="n"/>
      <c r="N1016" s="31" t="n"/>
      <c r="O1016" s="31" t="n"/>
      <c r="P1016" s="31" t="n"/>
      <c r="Q1016" s="31" t="n"/>
      <c r="R1016" s="31" t="n"/>
      <c r="S1016" s="32">
        <f>IF($F1016="","",IF(IFERROR(VLOOKUP($F1016,'维度字典'!$I$2:$J$50,2,0),"求和")="手工录入","",IF(IFERROR(VLOOKUP($F1016,'维度字典'!$I$2:$J$50,2,0),"求和")="最新值",IFERROR(LOOKUP(9.99E+307,G1016:R1016),""),SUM(G1016:R1016))))</f>
        <v/>
      </c>
      <c r="T1016" s="33" t="n"/>
      <c r="U1016" s="33" t="n"/>
    </row>
    <row r="1017">
      <c r="A1017" s="26">
        <f>IF($B1017="","",ROW()-3)</f>
        <v/>
      </c>
      <c r="B1017" s="27" t="n"/>
      <c r="C1017" s="27" t="n"/>
      <c r="D1017" s="28" t="n"/>
      <c r="E1017" s="29" t="n"/>
      <c r="F1017" s="30" t="n"/>
      <c r="G1017" s="31" t="n"/>
      <c r="H1017" s="31" t="n"/>
      <c r="I1017" s="31" t="n"/>
      <c r="J1017" s="31" t="n"/>
      <c r="K1017" s="31" t="n"/>
      <c r="L1017" s="31" t="n"/>
      <c r="M1017" s="31" t="n"/>
      <c r="N1017" s="31" t="n"/>
      <c r="O1017" s="31" t="n"/>
      <c r="P1017" s="31" t="n"/>
      <c r="Q1017" s="31" t="n"/>
      <c r="R1017" s="31" t="n"/>
      <c r="S1017" s="32">
        <f>IF($F1017="","",IF(IFERROR(VLOOKUP($F1017,'维度字典'!$I$2:$J$50,2,0),"求和")="手工录入","",IF(IFERROR(VLOOKUP($F1017,'维度字典'!$I$2:$J$50,2,0),"求和")="最新值",IFERROR(LOOKUP(9.99E+307,G1017:R1017),""),SUM(G1017:R1017))))</f>
        <v/>
      </c>
      <c r="T1017" s="33" t="n"/>
      <c r="U1017" s="33" t="n"/>
    </row>
    <row r="1018">
      <c r="A1018" s="26">
        <f>IF($B1018="","",ROW()-3)</f>
        <v/>
      </c>
      <c r="B1018" s="27" t="n"/>
      <c r="C1018" s="27" t="n"/>
      <c r="D1018" s="28" t="n"/>
      <c r="E1018" s="29" t="n"/>
      <c r="F1018" s="30" t="n"/>
      <c r="G1018" s="31" t="n"/>
      <c r="H1018" s="31" t="n"/>
      <c r="I1018" s="31" t="n"/>
      <c r="J1018" s="31" t="n"/>
      <c r="K1018" s="31" t="n"/>
      <c r="L1018" s="31" t="n"/>
      <c r="M1018" s="31" t="n"/>
      <c r="N1018" s="31" t="n"/>
      <c r="O1018" s="31" t="n"/>
      <c r="P1018" s="31" t="n"/>
      <c r="Q1018" s="31" t="n"/>
      <c r="R1018" s="31" t="n"/>
      <c r="S1018" s="32">
        <f>IF($F1018="","",IF(IFERROR(VLOOKUP($F1018,'维度字典'!$I$2:$J$50,2,0),"求和")="手工录入","",IF(IFERROR(VLOOKUP($F1018,'维度字典'!$I$2:$J$50,2,0),"求和")="最新值",IFERROR(LOOKUP(9.99E+307,G1018:R1018),""),SUM(G1018:R1018))))</f>
        <v/>
      </c>
      <c r="T1018" s="33" t="n"/>
      <c r="U1018" s="33" t="n"/>
    </row>
    <row r="1019">
      <c r="A1019" s="26">
        <f>IF($B1019="","",ROW()-3)</f>
        <v/>
      </c>
      <c r="B1019" s="27" t="n"/>
      <c r="C1019" s="27" t="n"/>
      <c r="D1019" s="28" t="n"/>
      <c r="E1019" s="29" t="n"/>
      <c r="F1019" s="30" t="n"/>
      <c r="G1019" s="31" t="n"/>
      <c r="H1019" s="31" t="n"/>
      <c r="I1019" s="31" t="n"/>
      <c r="J1019" s="31" t="n"/>
      <c r="K1019" s="31" t="n"/>
      <c r="L1019" s="31" t="n"/>
      <c r="M1019" s="31" t="n"/>
      <c r="N1019" s="31" t="n"/>
      <c r="O1019" s="31" t="n"/>
      <c r="P1019" s="31" t="n"/>
      <c r="Q1019" s="31" t="n"/>
      <c r="R1019" s="31" t="n"/>
      <c r="S1019" s="32">
        <f>IF($F1019="","",IF(IFERROR(VLOOKUP($F1019,'维度字典'!$I$2:$J$50,2,0),"求和")="手工录入","",IF(IFERROR(VLOOKUP($F1019,'维度字典'!$I$2:$J$50,2,0),"求和")="最新值",IFERROR(LOOKUP(9.99E+307,G1019:R1019),""),SUM(G1019:R1019))))</f>
        <v/>
      </c>
      <c r="T1019" s="33" t="n"/>
      <c r="U1019" s="33" t="n"/>
    </row>
    <row r="1020">
      <c r="A1020" s="26">
        <f>IF($B1020="","",ROW()-3)</f>
        <v/>
      </c>
      <c r="B1020" s="27" t="n"/>
      <c r="C1020" s="27" t="n"/>
      <c r="D1020" s="28" t="n"/>
      <c r="E1020" s="29" t="n"/>
      <c r="F1020" s="30" t="n"/>
      <c r="G1020" s="31" t="n"/>
      <c r="H1020" s="31" t="n"/>
      <c r="I1020" s="31" t="n"/>
      <c r="J1020" s="31" t="n"/>
      <c r="K1020" s="31" t="n"/>
      <c r="L1020" s="31" t="n"/>
      <c r="M1020" s="31" t="n"/>
      <c r="N1020" s="31" t="n"/>
      <c r="O1020" s="31" t="n"/>
      <c r="P1020" s="31" t="n"/>
      <c r="Q1020" s="31" t="n"/>
      <c r="R1020" s="31" t="n"/>
      <c r="S1020" s="32">
        <f>IF($F1020="","",IF(IFERROR(VLOOKUP($F1020,'维度字典'!$I$2:$J$50,2,0),"求和")="手工录入","",IF(IFERROR(VLOOKUP($F1020,'维度字典'!$I$2:$J$50,2,0),"求和")="最新值",IFERROR(LOOKUP(9.99E+307,G1020:R1020),""),SUM(G1020:R1020))))</f>
        <v/>
      </c>
      <c r="T1020" s="33" t="n"/>
      <c r="U1020" s="33" t="n"/>
    </row>
    <row r="1021">
      <c r="A1021" s="26">
        <f>IF($B1021="","",ROW()-3)</f>
        <v/>
      </c>
      <c r="B1021" s="27" t="n"/>
      <c r="C1021" s="27" t="n"/>
      <c r="D1021" s="28" t="n"/>
      <c r="E1021" s="29" t="n"/>
      <c r="F1021" s="30" t="n"/>
      <c r="G1021" s="31" t="n"/>
      <c r="H1021" s="31" t="n"/>
      <c r="I1021" s="31" t="n"/>
      <c r="J1021" s="31" t="n"/>
      <c r="K1021" s="31" t="n"/>
      <c r="L1021" s="31" t="n"/>
      <c r="M1021" s="31" t="n"/>
      <c r="N1021" s="31" t="n"/>
      <c r="O1021" s="31" t="n"/>
      <c r="P1021" s="31" t="n"/>
      <c r="Q1021" s="31" t="n"/>
      <c r="R1021" s="31" t="n"/>
      <c r="S1021" s="32">
        <f>IF($F1021="","",IF(IFERROR(VLOOKUP($F1021,'维度字典'!$I$2:$J$50,2,0),"求和")="手工录入","",IF(IFERROR(VLOOKUP($F1021,'维度字典'!$I$2:$J$50,2,0),"求和")="最新值",IFERROR(LOOKUP(9.99E+307,G1021:R1021),""),SUM(G1021:R1021))))</f>
        <v/>
      </c>
      <c r="T1021" s="33" t="n"/>
      <c r="U1021" s="33" t="n"/>
    </row>
    <row r="1022">
      <c r="A1022" s="26">
        <f>IF($B1022="","",ROW()-3)</f>
        <v/>
      </c>
      <c r="B1022" s="27" t="n"/>
      <c r="C1022" s="27" t="n"/>
      <c r="D1022" s="28" t="n"/>
      <c r="E1022" s="29" t="n"/>
      <c r="F1022" s="30" t="n"/>
      <c r="G1022" s="31" t="n"/>
      <c r="H1022" s="31" t="n"/>
      <c r="I1022" s="31" t="n"/>
      <c r="J1022" s="31" t="n"/>
      <c r="K1022" s="31" t="n"/>
      <c r="L1022" s="31" t="n"/>
      <c r="M1022" s="31" t="n"/>
      <c r="N1022" s="31" t="n"/>
      <c r="O1022" s="31" t="n"/>
      <c r="P1022" s="31" t="n"/>
      <c r="Q1022" s="31" t="n"/>
      <c r="R1022" s="31" t="n"/>
      <c r="S1022" s="32">
        <f>IF($F1022="","",IF(IFERROR(VLOOKUP($F1022,'维度字典'!$I$2:$J$50,2,0),"求和")="手工录入","",IF(IFERROR(VLOOKUP($F1022,'维度字典'!$I$2:$J$50,2,0),"求和")="最新值",IFERROR(LOOKUP(9.99E+307,G1022:R1022),""),SUM(G1022:R1022))))</f>
        <v/>
      </c>
      <c r="T1022" s="33" t="n"/>
      <c r="U1022" s="33" t="n"/>
    </row>
    <row r="1023">
      <c r="A1023" s="26">
        <f>IF($B1023="","",ROW()-3)</f>
        <v/>
      </c>
      <c r="B1023" s="27" t="n"/>
      <c r="C1023" s="27" t="n"/>
      <c r="D1023" s="28" t="n"/>
      <c r="E1023" s="29" t="n"/>
      <c r="F1023" s="30" t="n"/>
      <c r="G1023" s="31" t="n"/>
      <c r="H1023" s="31" t="n"/>
      <c r="I1023" s="31" t="n"/>
      <c r="J1023" s="31" t="n"/>
      <c r="K1023" s="31" t="n"/>
      <c r="L1023" s="31" t="n"/>
      <c r="M1023" s="31" t="n"/>
      <c r="N1023" s="31" t="n"/>
      <c r="O1023" s="31" t="n"/>
      <c r="P1023" s="31" t="n"/>
      <c r="Q1023" s="31" t="n"/>
      <c r="R1023" s="31" t="n"/>
      <c r="S1023" s="32">
        <f>IF($F1023="","",IF(IFERROR(VLOOKUP($F1023,'维度字典'!$I$2:$J$50,2,0),"求和")="手工录入","",IF(IFERROR(VLOOKUP($F1023,'维度字典'!$I$2:$J$50,2,0),"求和")="最新值",IFERROR(LOOKUP(9.99E+307,G1023:R1023),""),SUM(G1023:R1023))))</f>
        <v/>
      </c>
      <c r="T1023" s="33" t="n"/>
      <c r="U1023" s="33" t="n"/>
    </row>
    <row r="1024">
      <c r="A1024" s="26">
        <f>IF($B1024="","",ROW()-3)</f>
        <v/>
      </c>
      <c r="B1024" s="27" t="n"/>
      <c r="C1024" s="27" t="n"/>
      <c r="D1024" s="28" t="n"/>
      <c r="E1024" s="29" t="n"/>
      <c r="F1024" s="30" t="n"/>
      <c r="G1024" s="31" t="n"/>
      <c r="H1024" s="31" t="n"/>
      <c r="I1024" s="31" t="n"/>
      <c r="J1024" s="31" t="n"/>
      <c r="K1024" s="31" t="n"/>
      <c r="L1024" s="31" t="n"/>
      <c r="M1024" s="31" t="n"/>
      <c r="N1024" s="31" t="n"/>
      <c r="O1024" s="31" t="n"/>
      <c r="P1024" s="31" t="n"/>
      <c r="Q1024" s="31" t="n"/>
      <c r="R1024" s="31" t="n"/>
      <c r="S1024" s="32">
        <f>IF($F1024="","",IF(IFERROR(VLOOKUP($F1024,'维度字典'!$I$2:$J$50,2,0),"求和")="手工录入","",IF(IFERROR(VLOOKUP($F1024,'维度字典'!$I$2:$J$50,2,0),"求和")="最新值",IFERROR(LOOKUP(9.99E+307,G1024:R1024),""),SUM(G1024:R1024))))</f>
        <v/>
      </c>
      <c r="T1024" s="33" t="n"/>
      <c r="U1024" s="33" t="n"/>
    </row>
    <row r="1025">
      <c r="A1025" s="26">
        <f>IF($B1025="","",ROW()-3)</f>
        <v/>
      </c>
      <c r="B1025" s="27" t="n"/>
      <c r="C1025" s="27" t="n"/>
      <c r="D1025" s="28" t="n"/>
      <c r="E1025" s="29" t="n"/>
      <c r="F1025" s="30" t="n"/>
      <c r="G1025" s="31" t="n"/>
      <c r="H1025" s="31" t="n"/>
      <c r="I1025" s="31" t="n"/>
      <c r="J1025" s="31" t="n"/>
      <c r="K1025" s="31" t="n"/>
      <c r="L1025" s="31" t="n"/>
      <c r="M1025" s="31" t="n"/>
      <c r="N1025" s="31" t="n"/>
      <c r="O1025" s="31" t="n"/>
      <c r="P1025" s="31" t="n"/>
      <c r="Q1025" s="31" t="n"/>
      <c r="R1025" s="31" t="n"/>
      <c r="S1025" s="32">
        <f>IF($F1025="","",IF(IFERROR(VLOOKUP($F1025,'维度字典'!$I$2:$J$50,2,0),"求和")="手工录入","",IF(IFERROR(VLOOKUP($F1025,'维度字典'!$I$2:$J$50,2,0),"求和")="最新值",IFERROR(LOOKUP(9.99E+307,G1025:R1025),""),SUM(G1025:R1025))))</f>
        <v/>
      </c>
      <c r="T1025" s="33" t="n"/>
      <c r="U1025" s="33" t="n"/>
    </row>
    <row r="1026">
      <c r="A1026" s="26">
        <f>IF($B1026="","",ROW()-3)</f>
        <v/>
      </c>
      <c r="B1026" s="27" t="n"/>
      <c r="C1026" s="27" t="n"/>
      <c r="D1026" s="28" t="n"/>
      <c r="E1026" s="29" t="n"/>
      <c r="F1026" s="30" t="n"/>
      <c r="G1026" s="31" t="n"/>
      <c r="H1026" s="31" t="n"/>
      <c r="I1026" s="31" t="n"/>
      <c r="J1026" s="31" t="n"/>
      <c r="K1026" s="31" t="n"/>
      <c r="L1026" s="31" t="n"/>
      <c r="M1026" s="31" t="n"/>
      <c r="N1026" s="31" t="n"/>
      <c r="O1026" s="31" t="n"/>
      <c r="P1026" s="31" t="n"/>
      <c r="Q1026" s="31" t="n"/>
      <c r="R1026" s="31" t="n"/>
      <c r="S1026" s="32">
        <f>IF($F1026="","",IF(IFERROR(VLOOKUP($F1026,'维度字典'!$I$2:$J$50,2,0),"求和")="手工录入","",IF(IFERROR(VLOOKUP($F1026,'维度字典'!$I$2:$J$50,2,0),"求和")="最新值",IFERROR(LOOKUP(9.99E+307,G1026:R1026),""),SUM(G1026:R1026))))</f>
        <v/>
      </c>
      <c r="T1026" s="33" t="n"/>
      <c r="U1026" s="33" t="n"/>
    </row>
    <row r="1027">
      <c r="A1027" s="26">
        <f>IF($B1027="","",ROW()-3)</f>
        <v/>
      </c>
      <c r="B1027" s="27" t="n"/>
      <c r="C1027" s="27" t="n"/>
      <c r="D1027" s="28" t="n"/>
      <c r="E1027" s="29" t="n"/>
      <c r="F1027" s="30" t="n"/>
      <c r="G1027" s="31" t="n"/>
      <c r="H1027" s="31" t="n"/>
      <c r="I1027" s="31" t="n"/>
      <c r="J1027" s="31" t="n"/>
      <c r="K1027" s="31" t="n"/>
      <c r="L1027" s="31" t="n"/>
      <c r="M1027" s="31" t="n"/>
      <c r="N1027" s="31" t="n"/>
      <c r="O1027" s="31" t="n"/>
      <c r="P1027" s="31" t="n"/>
      <c r="Q1027" s="31" t="n"/>
      <c r="R1027" s="31" t="n"/>
      <c r="S1027" s="32">
        <f>IF($F1027="","",IF(IFERROR(VLOOKUP($F1027,'维度字典'!$I$2:$J$50,2,0),"求和")="手工录入","",IF(IFERROR(VLOOKUP($F1027,'维度字典'!$I$2:$J$50,2,0),"求和")="最新值",IFERROR(LOOKUP(9.99E+307,G1027:R1027),""),SUM(G1027:R1027))))</f>
        <v/>
      </c>
      <c r="T1027" s="33" t="n"/>
      <c r="U1027" s="33" t="n"/>
    </row>
    <row r="1028">
      <c r="A1028" s="26">
        <f>IF($B1028="","",ROW()-3)</f>
        <v/>
      </c>
      <c r="B1028" s="27" t="n"/>
      <c r="C1028" s="27" t="n"/>
      <c r="D1028" s="28" t="n"/>
      <c r="E1028" s="29" t="n"/>
      <c r="F1028" s="30" t="n"/>
      <c r="G1028" s="31" t="n"/>
      <c r="H1028" s="31" t="n"/>
      <c r="I1028" s="31" t="n"/>
      <c r="J1028" s="31" t="n"/>
      <c r="K1028" s="31" t="n"/>
      <c r="L1028" s="31" t="n"/>
      <c r="M1028" s="31" t="n"/>
      <c r="N1028" s="31" t="n"/>
      <c r="O1028" s="31" t="n"/>
      <c r="P1028" s="31" t="n"/>
      <c r="Q1028" s="31" t="n"/>
      <c r="R1028" s="31" t="n"/>
      <c r="S1028" s="32">
        <f>IF($F1028="","",IF(IFERROR(VLOOKUP($F1028,'维度字典'!$I$2:$J$50,2,0),"求和")="手工录入","",IF(IFERROR(VLOOKUP($F1028,'维度字典'!$I$2:$J$50,2,0),"求和")="最新值",IFERROR(LOOKUP(9.99E+307,G1028:R1028),""),SUM(G1028:R1028))))</f>
        <v/>
      </c>
      <c r="T1028" s="33" t="n"/>
      <c r="U1028" s="33" t="n"/>
    </row>
    <row r="1029">
      <c r="A1029" s="26">
        <f>IF($B1029="","",ROW()-3)</f>
        <v/>
      </c>
      <c r="B1029" s="27" t="n"/>
      <c r="C1029" s="27" t="n"/>
      <c r="D1029" s="28" t="n"/>
      <c r="E1029" s="29" t="n"/>
      <c r="F1029" s="30" t="n"/>
      <c r="G1029" s="31" t="n"/>
      <c r="H1029" s="31" t="n"/>
      <c r="I1029" s="31" t="n"/>
      <c r="J1029" s="31" t="n"/>
      <c r="K1029" s="31" t="n"/>
      <c r="L1029" s="31" t="n"/>
      <c r="M1029" s="31" t="n"/>
      <c r="N1029" s="31" t="n"/>
      <c r="O1029" s="31" t="n"/>
      <c r="P1029" s="31" t="n"/>
      <c r="Q1029" s="31" t="n"/>
      <c r="R1029" s="31" t="n"/>
      <c r="S1029" s="32">
        <f>IF($F1029="","",IF(IFERROR(VLOOKUP($F1029,'维度字典'!$I$2:$J$50,2,0),"求和")="手工录入","",IF(IFERROR(VLOOKUP($F1029,'维度字典'!$I$2:$J$50,2,0),"求和")="最新值",IFERROR(LOOKUP(9.99E+307,G1029:R1029),""),SUM(G1029:R1029))))</f>
        <v/>
      </c>
      <c r="T1029" s="33" t="n"/>
      <c r="U1029" s="33" t="n"/>
    </row>
    <row r="1030">
      <c r="A1030" s="26">
        <f>IF($B1030="","",ROW()-3)</f>
        <v/>
      </c>
      <c r="B1030" s="27" t="n"/>
      <c r="C1030" s="27" t="n"/>
      <c r="D1030" s="28" t="n"/>
      <c r="E1030" s="29" t="n"/>
      <c r="F1030" s="30" t="n"/>
      <c r="G1030" s="31" t="n"/>
      <c r="H1030" s="31" t="n"/>
      <c r="I1030" s="31" t="n"/>
      <c r="J1030" s="31" t="n"/>
      <c r="K1030" s="31" t="n"/>
      <c r="L1030" s="31" t="n"/>
      <c r="M1030" s="31" t="n"/>
      <c r="N1030" s="31" t="n"/>
      <c r="O1030" s="31" t="n"/>
      <c r="P1030" s="31" t="n"/>
      <c r="Q1030" s="31" t="n"/>
      <c r="R1030" s="31" t="n"/>
      <c r="S1030" s="32">
        <f>IF($F1030="","",IF(IFERROR(VLOOKUP($F1030,'维度字典'!$I$2:$J$50,2,0),"求和")="手工录入","",IF(IFERROR(VLOOKUP($F1030,'维度字典'!$I$2:$J$50,2,0),"求和")="最新值",IFERROR(LOOKUP(9.99E+307,G1030:R1030),""),SUM(G1030:R1030))))</f>
        <v/>
      </c>
      <c r="T1030" s="33" t="n"/>
      <c r="U1030" s="33" t="n"/>
    </row>
    <row r="1031">
      <c r="A1031" s="26">
        <f>IF($B1031="","",ROW()-3)</f>
        <v/>
      </c>
      <c r="B1031" s="27" t="n"/>
      <c r="C1031" s="27" t="n"/>
      <c r="D1031" s="28" t="n"/>
      <c r="E1031" s="29" t="n"/>
      <c r="F1031" s="30" t="n"/>
      <c r="G1031" s="31" t="n"/>
      <c r="H1031" s="31" t="n"/>
      <c r="I1031" s="31" t="n"/>
      <c r="J1031" s="31" t="n"/>
      <c r="K1031" s="31" t="n"/>
      <c r="L1031" s="31" t="n"/>
      <c r="M1031" s="31" t="n"/>
      <c r="N1031" s="31" t="n"/>
      <c r="O1031" s="31" t="n"/>
      <c r="P1031" s="31" t="n"/>
      <c r="Q1031" s="31" t="n"/>
      <c r="R1031" s="31" t="n"/>
      <c r="S1031" s="32">
        <f>IF($F1031="","",IF(IFERROR(VLOOKUP($F1031,'维度字典'!$I$2:$J$50,2,0),"求和")="手工录入","",IF(IFERROR(VLOOKUP($F1031,'维度字典'!$I$2:$J$50,2,0),"求和")="最新值",IFERROR(LOOKUP(9.99E+307,G1031:R1031),""),SUM(G1031:R1031))))</f>
        <v/>
      </c>
      <c r="T1031" s="33" t="n"/>
      <c r="U1031" s="33" t="n"/>
    </row>
    <row r="1032">
      <c r="A1032" s="26">
        <f>IF($B1032="","",ROW()-3)</f>
        <v/>
      </c>
      <c r="B1032" s="27" t="n"/>
      <c r="C1032" s="27" t="n"/>
      <c r="D1032" s="28" t="n"/>
      <c r="E1032" s="29" t="n"/>
      <c r="F1032" s="30" t="n"/>
      <c r="G1032" s="31" t="n"/>
      <c r="H1032" s="31" t="n"/>
      <c r="I1032" s="31" t="n"/>
      <c r="J1032" s="31" t="n"/>
      <c r="K1032" s="31" t="n"/>
      <c r="L1032" s="31" t="n"/>
      <c r="M1032" s="31" t="n"/>
      <c r="N1032" s="31" t="n"/>
      <c r="O1032" s="31" t="n"/>
      <c r="P1032" s="31" t="n"/>
      <c r="Q1032" s="31" t="n"/>
      <c r="R1032" s="31" t="n"/>
      <c r="S1032" s="32">
        <f>IF($F1032="","",IF(IFERROR(VLOOKUP($F1032,'维度字典'!$I$2:$J$50,2,0),"求和")="手工录入","",IF(IFERROR(VLOOKUP($F1032,'维度字典'!$I$2:$J$50,2,0),"求和")="最新值",IFERROR(LOOKUP(9.99E+307,G1032:R1032),""),SUM(G1032:R1032))))</f>
        <v/>
      </c>
      <c r="T1032" s="33" t="n"/>
      <c r="U1032" s="33" t="n"/>
    </row>
    <row r="1033">
      <c r="A1033" s="26">
        <f>IF($B1033="","",ROW()-3)</f>
        <v/>
      </c>
      <c r="B1033" s="27" t="n"/>
      <c r="C1033" s="27" t="n"/>
      <c r="D1033" s="28" t="n"/>
      <c r="E1033" s="29" t="n"/>
      <c r="F1033" s="30" t="n"/>
      <c r="G1033" s="31" t="n"/>
      <c r="H1033" s="31" t="n"/>
      <c r="I1033" s="31" t="n"/>
      <c r="J1033" s="31" t="n"/>
      <c r="K1033" s="31" t="n"/>
      <c r="L1033" s="31" t="n"/>
      <c r="M1033" s="31" t="n"/>
      <c r="N1033" s="31" t="n"/>
      <c r="O1033" s="31" t="n"/>
      <c r="P1033" s="31" t="n"/>
      <c r="Q1033" s="31" t="n"/>
      <c r="R1033" s="31" t="n"/>
      <c r="S1033" s="32">
        <f>IF($F1033="","",IF(IFERROR(VLOOKUP($F1033,'维度字典'!$I$2:$J$50,2,0),"求和")="手工录入","",IF(IFERROR(VLOOKUP($F1033,'维度字典'!$I$2:$J$50,2,0),"求和")="最新值",IFERROR(LOOKUP(9.99E+307,G1033:R1033),""),SUM(G1033:R1033))))</f>
        <v/>
      </c>
      <c r="T1033" s="33" t="n"/>
      <c r="U1033" s="33" t="n"/>
    </row>
    <row r="1034">
      <c r="A1034" s="26">
        <f>IF($B1034="","",ROW()-3)</f>
        <v/>
      </c>
      <c r="B1034" s="27" t="n"/>
      <c r="C1034" s="27" t="n"/>
      <c r="D1034" s="28" t="n"/>
      <c r="E1034" s="29" t="n"/>
      <c r="F1034" s="30" t="n"/>
      <c r="G1034" s="31" t="n"/>
      <c r="H1034" s="31" t="n"/>
      <c r="I1034" s="31" t="n"/>
      <c r="J1034" s="31" t="n"/>
      <c r="K1034" s="31" t="n"/>
      <c r="L1034" s="31" t="n"/>
      <c r="M1034" s="31" t="n"/>
      <c r="N1034" s="31" t="n"/>
      <c r="O1034" s="31" t="n"/>
      <c r="P1034" s="31" t="n"/>
      <c r="Q1034" s="31" t="n"/>
      <c r="R1034" s="31" t="n"/>
      <c r="S1034" s="32">
        <f>IF($F1034="","",IF(IFERROR(VLOOKUP($F1034,'维度字典'!$I$2:$J$50,2,0),"求和")="手工录入","",IF(IFERROR(VLOOKUP($F1034,'维度字典'!$I$2:$J$50,2,0),"求和")="最新值",IFERROR(LOOKUP(9.99E+307,G1034:R1034),""),SUM(G1034:R1034))))</f>
        <v/>
      </c>
      <c r="T1034" s="33" t="n"/>
      <c r="U1034" s="33" t="n"/>
    </row>
    <row r="1035">
      <c r="A1035" s="26">
        <f>IF($B1035="","",ROW()-3)</f>
        <v/>
      </c>
      <c r="B1035" s="27" t="n"/>
      <c r="C1035" s="27" t="n"/>
      <c r="D1035" s="28" t="n"/>
      <c r="E1035" s="29" t="n"/>
      <c r="F1035" s="30" t="n"/>
      <c r="G1035" s="31" t="n"/>
      <c r="H1035" s="31" t="n"/>
      <c r="I1035" s="31" t="n"/>
      <c r="J1035" s="31" t="n"/>
      <c r="K1035" s="31" t="n"/>
      <c r="L1035" s="31" t="n"/>
      <c r="M1035" s="31" t="n"/>
      <c r="N1035" s="31" t="n"/>
      <c r="O1035" s="31" t="n"/>
      <c r="P1035" s="31" t="n"/>
      <c r="Q1035" s="31" t="n"/>
      <c r="R1035" s="31" t="n"/>
      <c r="S1035" s="32">
        <f>IF($F1035="","",IF(IFERROR(VLOOKUP($F1035,'维度字典'!$I$2:$J$50,2,0),"求和")="手工录入","",IF(IFERROR(VLOOKUP($F1035,'维度字典'!$I$2:$J$50,2,0),"求和")="最新值",IFERROR(LOOKUP(9.99E+307,G1035:R1035),""),SUM(G1035:R1035))))</f>
        <v/>
      </c>
      <c r="T1035" s="33" t="n"/>
      <c r="U1035" s="33" t="n"/>
    </row>
    <row r="1036">
      <c r="A1036" s="26">
        <f>IF($B1036="","",ROW()-3)</f>
        <v/>
      </c>
      <c r="B1036" s="27" t="n"/>
      <c r="C1036" s="27" t="n"/>
      <c r="D1036" s="28" t="n"/>
      <c r="E1036" s="29" t="n"/>
      <c r="F1036" s="30" t="n"/>
      <c r="G1036" s="31" t="n"/>
      <c r="H1036" s="31" t="n"/>
      <c r="I1036" s="31" t="n"/>
      <c r="J1036" s="31" t="n"/>
      <c r="K1036" s="31" t="n"/>
      <c r="L1036" s="31" t="n"/>
      <c r="M1036" s="31" t="n"/>
      <c r="N1036" s="31" t="n"/>
      <c r="O1036" s="31" t="n"/>
      <c r="P1036" s="31" t="n"/>
      <c r="Q1036" s="31" t="n"/>
      <c r="R1036" s="31" t="n"/>
      <c r="S1036" s="32">
        <f>IF($F1036="","",IF(IFERROR(VLOOKUP($F1036,'维度字典'!$I$2:$J$50,2,0),"求和")="手工录入","",IF(IFERROR(VLOOKUP($F1036,'维度字典'!$I$2:$J$50,2,0),"求和")="最新值",IFERROR(LOOKUP(9.99E+307,G1036:R1036),""),SUM(G1036:R1036))))</f>
        <v/>
      </c>
      <c r="T1036" s="33" t="n"/>
      <c r="U1036" s="33" t="n"/>
    </row>
    <row r="1037">
      <c r="A1037" s="26">
        <f>IF($B1037="","",ROW()-3)</f>
        <v/>
      </c>
      <c r="B1037" s="27" t="n"/>
      <c r="C1037" s="27" t="n"/>
      <c r="D1037" s="28" t="n"/>
      <c r="E1037" s="29" t="n"/>
      <c r="F1037" s="30" t="n"/>
      <c r="G1037" s="31" t="n"/>
      <c r="H1037" s="31" t="n"/>
      <c r="I1037" s="31" t="n"/>
      <c r="J1037" s="31" t="n"/>
      <c r="K1037" s="31" t="n"/>
      <c r="L1037" s="31" t="n"/>
      <c r="M1037" s="31" t="n"/>
      <c r="N1037" s="31" t="n"/>
      <c r="O1037" s="31" t="n"/>
      <c r="P1037" s="31" t="n"/>
      <c r="Q1037" s="31" t="n"/>
      <c r="R1037" s="31" t="n"/>
      <c r="S1037" s="32">
        <f>IF($F1037="","",IF(IFERROR(VLOOKUP($F1037,'维度字典'!$I$2:$J$50,2,0),"求和")="手工录入","",IF(IFERROR(VLOOKUP($F1037,'维度字典'!$I$2:$J$50,2,0),"求和")="最新值",IFERROR(LOOKUP(9.99E+307,G1037:R1037),""),SUM(G1037:R1037))))</f>
        <v/>
      </c>
      <c r="T1037" s="33" t="n"/>
      <c r="U1037" s="33" t="n"/>
    </row>
    <row r="1038">
      <c r="A1038" s="26">
        <f>IF($B1038="","",ROW()-3)</f>
        <v/>
      </c>
      <c r="B1038" s="27" t="n"/>
      <c r="C1038" s="27" t="n"/>
      <c r="D1038" s="28" t="n"/>
      <c r="E1038" s="29" t="n"/>
      <c r="F1038" s="30" t="n"/>
      <c r="G1038" s="31" t="n"/>
      <c r="H1038" s="31" t="n"/>
      <c r="I1038" s="31" t="n"/>
      <c r="J1038" s="31" t="n"/>
      <c r="K1038" s="31" t="n"/>
      <c r="L1038" s="31" t="n"/>
      <c r="M1038" s="31" t="n"/>
      <c r="N1038" s="31" t="n"/>
      <c r="O1038" s="31" t="n"/>
      <c r="P1038" s="31" t="n"/>
      <c r="Q1038" s="31" t="n"/>
      <c r="R1038" s="31" t="n"/>
      <c r="S1038" s="32">
        <f>IF($F1038="","",IF(IFERROR(VLOOKUP($F1038,'维度字典'!$I$2:$J$50,2,0),"求和")="手工录入","",IF(IFERROR(VLOOKUP($F1038,'维度字典'!$I$2:$J$50,2,0),"求和")="最新值",IFERROR(LOOKUP(9.99E+307,G1038:R1038),""),SUM(G1038:R1038))))</f>
        <v/>
      </c>
      <c r="T1038" s="33" t="n"/>
      <c r="U1038" s="33" t="n"/>
    </row>
    <row r="1039">
      <c r="A1039" s="26">
        <f>IF($B1039="","",ROW()-3)</f>
        <v/>
      </c>
      <c r="B1039" s="27" t="n"/>
      <c r="C1039" s="27" t="n"/>
      <c r="D1039" s="28" t="n"/>
      <c r="E1039" s="29" t="n"/>
      <c r="F1039" s="30" t="n"/>
      <c r="G1039" s="31" t="n"/>
      <c r="H1039" s="31" t="n"/>
      <c r="I1039" s="31" t="n"/>
      <c r="J1039" s="31" t="n"/>
      <c r="K1039" s="31" t="n"/>
      <c r="L1039" s="31" t="n"/>
      <c r="M1039" s="31" t="n"/>
      <c r="N1039" s="31" t="n"/>
      <c r="O1039" s="31" t="n"/>
      <c r="P1039" s="31" t="n"/>
      <c r="Q1039" s="31" t="n"/>
      <c r="R1039" s="31" t="n"/>
      <c r="S1039" s="32">
        <f>IF($F1039="","",IF(IFERROR(VLOOKUP($F1039,'维度字典'!$I$2:$J$50,2,0),"求和")="手工录入","",IF(IFERROR(VLOOKUP($F1039,'维度字典'!$I$2:$J$50,2,0),"求和")="最新值",IFERROR(LOOKUP(9.99E+307,G1039:R1039),""),SUM(G1039:R1039))))</f>
        <v/>
      </c>
      <c r="T1039" s="33" t="n"/>
      <c r="U1039" s="33" t="n"/>
    </row>
    <row r="1040">
      <c r="A1040" s="26">
        <f>IF($B1040="","",ROW()-3)</f>
        <v/>
      </c>
      <c r="B1040" s="27" t="n"/>
      <c r="C1040" s="27" t="n"/>
      <c r="D1040" s="28" t="n"/>
      <c r="E1040" s="29" t="n"/>
      <c r="F1040" s="30" t="n"/>
      <c r="G1040" s="31" t="n"/>
      <c r="H1040" s="31" t="n"/>
      <c r="I1040" s="31" t="n"/>
      <c r="J1040" s="31" t="n"/>
      <c r="K1040" s="31" t="n"/>
      <c r="L1040" s="31" t="n"/>
      <c r="M1040" s="31" t="n"/>
      <c r="N1040" s="31" t="n"/>
      <c r="O1040" s="31" t="n"/>
      <c r="P1040" s="31" t="n"/>
      <c r="Q1040" s="31" t="n"/>
      <c r="R1040" s="31" t="n"/>
      <c r="S1040" s="32">
        <f>IF($F1040="","",IF(IFERROR(VLOOKUP($F1040,'维度字典'!$I$2:$J$50,2,0),"求和")="手工录入","",IF(IFERROR(VLOOKUP($F1040,'维度字典'!$I$2:$J$50,2,0),"求和")="最新值",IFERROR(LOOKUP(9.99E+307,G1040:R1040),""),SUM(G1040:R1040))))</f>
        <v/>
      </c>
      <c r="T1040" s="33" t="n"/>
      <c r="U1040" s="33" t="n"/>
    </row>
    <row r="1041">
      <c r="A1041" s="26">
        <f>IF($B1041="","",ROW()-3)</f>
        <v/>
      </c>
      <c r="B1041" s="27" t="n"/>
      <c r="C1041" s="27" t="n"/>
      <c r="D1041" s="28" t="n"/>
      <c r="E1041" s="29" t="n"/>
      <c r="F1041" s="30" t="n"/>
      <c r="G1041" s="31" t="n"/>
      <c r="H1041" s="31" t="n"/>
      <c r="I1041" s="31" t="n"/>
      <c r="J1041" s="31" t="n"/>
      <c r="K1041" s="31" t="n"/>
      <c r="L1041" s="31" t="n"/>
      <c r="M1041" s="31" t="n"/>
      <c r="N1041" s="31" t="n"/>
      <c r="O1041" s="31" t="n"/>
      <c r="P1041" s="31" t="n"/>
      <c r="Q1041" s="31" t="n"/>
      <c r="R1041" s="31" t="n"/>
      <c r="S1041" s="32">
        <f>IF($F1041="","",IF(IFERROR(VLOOKUP($F1041,'维度字典'!$I$2:$J$50,2,0),"求和")="手工录入","",IF(IFERROR(VLOOKUP($F1041,'维度字典'!$I$2:$J$50,2,0),"求和")="最新值",IFERROR(LOOKUP(9.99E+307,G1041:R1041),""),SUM(G1041:R1041))))</f>
        <v/>
      </c>
      <c r="T1041" s="33" t="n"/>
      <c r="U1041" s="33" t="n"/>
    </row>
    <row r="1042">
      <c r="A1042" s="26">
        <f>IF($B1042="","",ROW()-3)</f>
        <v/>
      </c>
      <c r="B1042" s="27" t="n"/>
      <c r="C1042" s="27" t="n"/>
      <c r="D1042" s="28" t="n"/>
      <c r="E1042" s="29" t="n"/>
      <c r="F1042" s="30" t="n"/>
      <c r="G1042" s="31" t="n"/>
      <c r="H1042" s="31" t="n"/>
      <c r="I1042" s="31" t="n"/>
      <c r="J1042" s="31" t="n"/>
      <c r="K1042" s="31" t="n"/>
      <c r="L1042" s="31" t="n"/>
      <c r="M1042" s="31" t="n"/>
      <c r="N1042" s="31" t="n"/>
      <c r="O1042" s="31" t="n"/>
      <c r="P1042" s="31" t="n"/>
      <c r="Q1042" s="31" t="n"/>
      <c r="R1042" s="31" t="n"/>
      <c r="S1042" s="32">
        <f>IF($F1042="","",IF(IFERROR(VLOOKUP($F1042,'维度字典'!$I$2:$J$50,2,0),"求和")="手工录入","",IF(IFERROR(VLOOKUP($F1042,'维度字典'!$I$2:$J$50,2,0),"求和")="最新值",IFERROR(LOOKUP(9.99E+307,G1042:R1042),""),SUM(G1042:R1042))))</f>
        <v/>
      </c>
      <c r="T1042" s="33" t="n"/>
      <c r="U1042" s="33" t="n"/>
    </row>
    <row r="1043">
      <c r="A1043" s="26">
        <f>IF($B1043="","",ROW()-3)</f>
        <v/>
      </c>
      <c r="B1043" s="27" t="n"/>
      <c r="C1043" s="27" t="n"/>
      <c r="D1043" s="28" t="n"/>
      <c r="E1043" s="29" t="n"/>
      <c r="F1043" s="30" t="n"/>
      <c r="G1043" s="31" t="n"/>
      <c r="H1043" s="31" t="n"/>
      <c r="I1043" s="31" t="n"/>
      <c r="J1043" s="31" t="n"/>
      <c r="K1043" s="31" t="n"/>
      <c r="L1043" s="31" t="n"/>
      <c r="M1043" s="31" t="n"/>
      <c r="N1043" s="31" t="n"/>
      <c r="O1043" s="31" t="n"/>
      <c r="P1043" s="31" t="n"/>
      <c r="Q1043" s="31" t="n"/>
      <c r="R1043" s="31" t="n"/>
      <c r="S1043" s="32">
        <f>IF($F1043="","",IF(IFERROR(VLOOKUP($F1043,'维度字典'!$I$2:$J$50,2,0),"求和")="手工录入","",IF(IFERROR(VLOOKUP($F1043,'维度字典'!$I$2:$J$50,2,0),"求和")="最新值",IFERROR(LOOKUP(9.99E+307,G1043:R1043),""),SUM(G1043:R1043))))</f>
        <v/>
      </c>
      <c r="T1043" s="33" t="n"/>
      <c r="U1043" s="33" t="n"/>
    </row>
    <row r="1044">
      <c r="A1044" s="26">
        <f>IF($B1044="","",ROW()-3)</f>
        <v/>
      </c>
      <c r="B1044" s="27" t="n"/>
      <c r="C1044" s="27" t="n"/>
      <c r="D1044" s="28" t="n"/>
      <c r="E1044" s="29" t="n"/>
      <c r="F1044" s="30" t="n"/>
      <c r="G1044" s="31" t="n"/>
      <c r="H1044" s="31" t="n"/>
      <c r="I1044" s="31" t="n"/>
      <c r="J1044" s="31" t="n"/>
      <c r="K1044" s="31" t="n"/>
      <c r="L1044" s="31" t="n"/>
      <c r="M1044" s="31" t="n"/>
      <c r="N1044" s="31" t="n"/>
      <c r="O1044" s="31" t="n"/>
      <c r="P1044" s="31" t="n"/>
      <c r="Q1044" s="31" t="n"/>
      <c r="R1044" s="31" t="n"/>
      <c r="S1044" s="32">
        <f>IF($F1044="","",IF(IFERROR(VLOOKUP($F1044,'维度字典'!$I$2:$J$50,2,0),"求和")="手工录入","",IF(IFERROR(VLOOKUP($F1044,'维度字典'!$I$2:$J$50,2,0),"求和")="最新值",IFERROR(LOOKUP(9.99E+307,G1044:R1044),""),SUM(G1044:R1044))))</f>
        <v/>
      </c>
      <c r="T1044" s="33" t="n"/>
      <c r="U1044" s="33" t="n"/>
    </row>
    <row r="1045">
      <c r="A1045" s="26">
        <f>IF($B1045="","",ROW()-3)</f>
        <v/>
      </c>
      <c r="B1045" s="27" t="n"/>
      <c r="C1045" s="27" t="n"/>
      <c r="D1045" s="28" t="n"/>
      <c r="E1045" s="29" t="n"/>
      <c r="F1045" s="30" t="n"/>
      <c r="G1045" s="31" t="n"/>
      <c r="H1045" s="31" t="n"/>
      <c r="I1045" s="31" t="n"/>
      <c r="J1045" s="31" t="n"/>
      <c r="K1045" s="31" t="n"/>
      <c r="L1045" s="31" t="n"/>
      <c r="M1045" s="31" t="n"/>
      <c r="N1045" s="31" t="n"/>
      <c r="O1045" s="31" t="n"/>
      <c r="P1045" s="31" t="n"/>
      <c r="Q1045" s="31" t="n"/>
      <c r="R1045" s="31" t="n"/>
      <c r="S1045" s="32">
        <f>IF($F1045="","",IF(IFERROR(VLOOKUP($F1045,'维度字典'!$I$2:$J$50,2,0),"求和")="手工录入","",IF(IFERROR(VLOOKUP($F1045,'维度字典'!$I$2:$J$50,2,0),"求和")="最新值",IFERROR(LOOKUP(9.99E+307,G1045:R1045),""),SUM(G1045:R1045))))</f>
        <v/>
      </c>
      <c r="T1045" s="33" t="n"/>
      <c r="U1045" s="33" t="n"/>
    </row>
    <row r="1046">
      <c r="A1046" s="26">
        <f>IF($B1046="","",ROW()-3)</f>
        <v/>
      </c>
      <c r="B1046" s="27" t="n"/>
      <c r="C1046" s="27" t="n"/>
      <c r="D1046" s="28" t="n"/>
      <c r="E1046" s="29" t="n"/>
      <c r="F1046" s="30" t="n"/>
      <c r="G1046" s="31" t="n"/>
      <c r="H1046" s="31" t="n"/>
      <c r="I1046" s="31" t="n"/>
      <c r="J1046" s="31" t="n"/>
      <c r="K1046" s="31" t="n"/>
      <c r="L1046" s="31" t="n"/>
      <c r="M1046" s="31" t="n"/>
      <c r="N1046" s="31" t="n"/>
      <c r="O1046" s="31" t="n"/>
      <c r="P1046" s="31" t="n"/>
      <c r="Q1046" s="31" t="n"/>
      <c r="R1046" s="31" t="n"/>
      <c r="S1046" s="32">
        <f>IF($F1046="","",IF(IFERROR(VLOOKUP($F1046,'维度字典'!$I$2:$J$50,2,0),"求和")="手工录入","",IF(IFERROR(VLOOKUP($F1046,'维度字典'!$I$2:$J$50,2,0),"求和")="最新值",IFERROR(LOOKUP(9.99E+307,G1046:R1046),""),SUM(G1046:R1046))))</f>
        <v/>
      </c>
      <c r="T1046" s="33" t="n"/>
      <c r="U1046" s="33" t="n"/>
    </row>
    <row r="1047">
      <c r="A1047" s="26">
        <f>IF($B1047="","",ROW()-3)</f>
        <v/>
      </c>
      <c r="B1047" s="27" t="n"/>
      <c r="C1047" s="27" t="n"/>
      <c r="D1047" s="28" t="n"/>
      <c r="E1047" s="29" t="n"/>
      <c r="F1047" s="30" t="n"/>
      <c r="G1047" s="31" t="n"/>
      <c r="H1047" s="31" t="n"/>
      <c r="I1047" s="31" t="n"/>
      <c r="J1047" s="31" t="n"/>
      <c r="K1047" s="31" t="n"/>
      <c r="L1047" s="31" t="n"/>
      <c r="M1047" s="31" t="n"/>
      <c r="N1047" s="31" t="n"/>
      <c r="O1047" s="31" t="n"/>
      <c r="P1047" s="31" t="n"/>
      <c r="Q1047" s="31" t="n"/>
      <c r="R1047" s="31" t="n"/>
      <c r="S1047" s="32">
        <f>IF($F1047="","",IF(IFERROR(VLOOKUP($F1047,'维度字典'!$I$2:$J$50,2,0),"求和")="手工录入","",IF(IFERROR(VLOOKUP($F1047,'维度字典'!$I$2:$J$50,2,0),"求和")="最新值",IFERROR(LOOKUP(9.99E+307,G1047:R1047),""),SUM(G1047:R1047))))</f>
        <v/>
      </c>
      <c r="T1047" s="33" t="n"/>
      <c r="U1047" s="33" t="n"/>
    </row>
    <row r="1048">
      <c r="A1048" s="26">
        <f>IF($B1048="","",ROW()-3)</f>
        <v/>
      </c>
      <c r="B1048" s="27" t="n"/>
      <c r="C1048" s="27" t="n"/>
      <c r="D1048" s="28" t="n"/>
      <c r="E1048" s="29" t="n"/>
      <c r="F1048" s="30" t="n"/>
      <c r="G1048" s="31" t="n"/>
      <c r="H1048" s="31" t="n"/>
      <c r="I1048" s="31" t="n"/>
      <c r="J1048" s="31" t="n"/>
      <c r="K1048" s="31" t="n"/>
      <c r="L1048" s="31" t="n"/>
      <c r="M1048" s="31" t="n"/>
      <c r="N1048" s="31" t="n"/>
      <c r="O1048" s="31" t="n"/>
      <c r="P1048" s="31" t="n"/>
      <c r="Q1048" s="31" t="n"/>
      <c r="R1048" s="31" t="n"/>
      <c r="S1048" s="32">
        <f>IF($F1048="","",IF(IFERROR(VLOOKUP($F1048,'维度字典'!$I$2:$J$50,2,0),"求和")="手工录入","",IF(IFERROR(VLOOKUP($F1048,'维度字典'!$I$2:$J$50,2,0),"求和")="最新值",IFERROR(LOOKUP(9.99E+307,G1048:R1048),""),SUM(G1048:R1048))))</f>
        <v/>
      </c>
      <c r="T1048" s="33" t="n"/>
      <c r="U1048" s="33" t="n"/>
    </row>
    <row r="1049">
      <c r="A1049" s="26">
        <f>IF($B1049="","",ROW()-3)</f>
        <v/>
      </c>
      <c r="B1049" s="27" t="n"/>
      <c r="C1049" s="27" t="n"/>
      <c r="D1049" s="28" t="n"/>
      <c r="E1049" s="29" t="n"/>
      <c r="F1049" s="30" t="n"/>
      <c r="G1049" s="31" t="n"/>
      <c r="H1049" s="31" t="n"/>
      <c r="I1049" s="31" t="n"/>
      <c r="J1049" s="31" t="n"/>
      <c r="K1049" s="31" t="n"/>
      <c r="L1049" s="31" t="n"/>
      <c r="M1049" s="31" t="n"/>
      <c r="N1049" s="31" t="n"/>
      <c r="O1049" s="31" t="n"/>
      <c r="P1049" s="31" t="n"/>
      <c r="Q1049" s="31" t="n"/>
      <c r="R1049" s="31" t="n"/>
      <c r="S1049" s="32">
        <f>IF($F1049="","",IF(IFERROR(VLOOKUP($F1049,'维度字典'!$I$2:$J$50,2,0),"求和")="手工录入","",IF(IFERROR(VLOOKUP($F1049,'维度字典'!$I$2:$J$50,2,0),"求和")="最新值",IFERROR(LOOKUP(9.99E+307,G1049:R1049),""),SUM(G1049:R1049))))</f>
        <v/>
      </c>
      <c r="T1049" s="33" t="n"/>
      <c r="U1049" s="33" t="n"/>
    </row>
    <row r="1050">
      <c r="A1050" s="26">
        <f>IF($B1050="","",ROW()-3)</f>
        <v/>
      </c>
      <c r="B1050" s="27" t="n"/>
      <c r="C1050" s="27" t="n"/>
      <c r="D1050" s="28" t="n"/>
      <c r="E1050" s="29" t="n"/>
      <c r="F1050" s="30" t="n"/>
      <c r="G1050" s="31" t="n"/>
      <c r="H1050" s="31" t="n"/>
      <c r="I1050" s="31" t="n"/>
      <c r="J1050" s="31" t="n"/>
      <c r="K1050" s="31" t="n"/>
      <c r="L1050" s="31" t="n"/>
      <c r="M1050" s="31" t="n"/>
      <c r="N1050" s="31" t="n"/>
      <c r="O1050" s="31" t="n"/>
      <c r="P1050" s="31" t="n"/>
      <c r="Q1050" s="31" t="n"/>
      <c r="R1050" s="31" t="n"/>
      <c r="S1050" s="32">
        <f>IF($F1050="","",IF(IFERROR(VLOOKUP($F1050,'维度字典'!$I$2:$J$50,2,0),"求和")="手工录入","",IF(IFERROR(VLOOKUP($F1050,'维度字典'!$I$2:$J$50,2,0),"求和")="最新值",IFERROR(LOOKUP(9.99E+307,G1050:R1050),""),SUM(G1050:R1050))))</f>
        <v/>
      </c>
      <c r="T1050" s="33" t="n"/>
      <c r="U1050" s="33" t="n"/>
    </row>
    <row r="1051">
      <c r="A1051" s="26">
        <f>IF($B1051="","",ROW()-3)</f>
        <v/>
      </c>
      <c r="B1051" s="27" t="n"/>
      <c r="C1051" s="27" t="n"/>
      <c r="D1051" s="28" t="n"/>
      <c r="E1051" s="29" t="n"/>
      <c r="F1051" s="30" t="n"/>
      <c r="G1051" s="31" t="n"/>
      <c r="H1051" s="31" t="n"/>
      <c r="I1051" s="31" t="n"/>
      <c r="J1051" s="31" t="n"/>
      <c r="K1051" s="31" t="n"/>
      <c r="L1051" s="31" t="n"/>
      <c r="M1051" s="31" t="n"/>
      <c r="N1051" s="31" t="n"/>
      <c r="O1051" s="31" t="n"/>
      <c r="P1051" s="31" t="n"/>
      <c r="Q1051" s="31" t="n"/>
      <c r="R1051" s="31" t="n"/>
      <c r="S1051" s="32">
        <f>IF($F1051="","",IF(IFERROR(VLOOKUP($F1051,'维度字典'!$I$2:$J$50,2,0),"求和")="手工录入","",IF(IFERROR(VLOOKUP($F1051,'维度字典'!$I$2:$J$50,2,0),"求和")="最新值",IFERROR(LOOKUP(9.99E+307,G1051:R1051),""),SUM(G1051:R1051))))</f>
        <v/>
      </c>
      <c r="T1051" s="33" t="n"/>
      <c r="U1051" s="33" t="n"/>
    </row>
    <row r="1052">
      <c r="A1052" s="26">
        <f>IF($B1052="","",ROW()-3)</f>
        <v/>
      </c>
      <c r="B1052" s="27" t="n"/>
      <c r="C1052" s="27" t="n"/>
      <c r="D1052" s="28" t="n"/>
      <c r="E1052" s="29" t="n"/>
      <c r="F1052" s="30" t="n"/>
      <c r="G1052" s="31" t="n"/>
      <c r="H1052" s="31" t="n"/>
      <c r="I1052" s="31" t="n"/>
      <c r="J1052" s="31" t="n"/>
      <c r="K1052" s="31" t="n"/>
      <c r="L1052" s="31" t="n"/>
      <c r="M1052" s="31" t="n"/>
      <c r="N1052" s="31" t="n"/>
      <c r="O1052" s="31" t="n"/>
      <c r="P1052" s="31" t="n"/>
      <c r="Q1052" s="31" t="n"/>
      <c r="R1052" s="31" t="n"/>
      <c r="S1052" s="32">
        <f>IF($F1052="","",IF(IFERROR(VLOOKUP($F1052,'维度字典'!$I$2:$J$50,2,0),"求和")="手工录入","",IF(IFERROR(VLOOKUP($F1052,'维度字典'!$I$2:$J$50,2,0),"求和")="最新值",IFERROR(LOOKUP(9.99E+307,G1052:R1052),""),SUM(G1052:R1052))))</f>
        <v/>
      </c>
      <c r="T1052" s="33" t="n"/>
      <c r="U1052" s="33" t="n"/>
    </row>
    <row r="1053">
      <c r="A1053" s="26">
        <f>IF($B1053="","",ROW()-3)</f>
        <v/>
      </c>
      <c r="B1053" s="27" t="n"/>
      <c r="C1053" s="27" t="n"/>
      <c r="D1053" s="28" t="n"/>
      <c r="E1053" s="29" t="n"/>
      <c r="F1053" s="30" t="n"/>
      <c r="G1053" s="31" t="n"/>
      <c r="H1053" s="31" t="n"/>
      <c r="I1053" s="31" t="n"/>
      <c r="J1053" s="31" t="n"/>
      <c r="K1053" s="31" t="n"/>
      <c r="L1053" s="31" t="n"/>
      <c r="M1053" s="31" t="n"/>
      <c r="N1053" s="31" t="n"/>
      <c r="O1053" s="31" t="n"/>
      <c r="P1053" s="31" t="n"/>
      <c r="Q1053" s="31" t="n"/>
      <c r="R1053" s="31" t="n"/>
      <c r="S1053" s="32">
        <f>IF($F1053="","",IF(IFERROR(VLOOKUP($F1053,'维度字典'!$I$2:$J$50,2,0),"求和")="手工录入","",IF(IFERROR(VLOOKUP($F1053,'维度字典'!$I$2:$J$50,2,0),"求和")="最新值",IFERROR(LOOKUP(9.99E+307,G1053:R1053),""),SUM(G1053:R1053))))</f>
        <v/>
      </c>
      <c r="T1053" s="33" t="n"/>
      <c r="U1053" s="33" t="n"/>
    </row>
    <row r="1054">
      <c r="A1054" s="26">
        <f>IF($B1054="","",ROW()-3)</f>
        <v/>
      </c>
      <c r="B1054" s="27" t="n"/>
      <c r="C1054" s="27" t="n"/>
      <c r="D1054" s="28" t="n"/>
      <c r="E1054" s="29" t="n"/>
      <c r="F1054" s="30" t="n"/>
      <c r="G1054" s="31" t="n"/>
      <c r="H1054" s="31" t="n"/>
      <c r="I1054" s="31" t="n"/>
      <c r="J1054" s="31" t="n"/>
      <c r="K1054" s="31" t="n"/>
      <c r="L1054" s="31" t="n"/>
      <c r="M1054" s="31" t="n"/>
      <c r="N1054" s="31" t="n"/>
      <c r="O1054" s="31" t="n"/>
      <c r="P1054" s="31" t="n"/>
      <c r="Q1054" s="31" t="n"/>
      <c r="R1054" s="31" t="n"/>
      <c r="S1054" s="32">
        <f>IF($F1054="","",IF(IFERROR(VLOOKUP($F1054,'维度字典'!$I$2:$J$50,2,0),"求和")="手工录入","",IF(IFERROR(VLOOKUP($F1054,'维度字典'!$I$2:$J$50,2,0),"求和")="最新值",IFERROR(LOOKUP(9.99E+307,G1054:R1054),""),SUM(G1054:R1054))))</f>
        <v/>
      </c>
      <c r="T1054" s="33" t="n"/>
      <c r="U1054" s="33" t="n"/>
    </row>
    <row r="1055">
      <c r="A1055" s="26">
        <f>IF($B1055="","",ROW()-3)</f>
        <v/>
      </c>
      <c r="B1055" s="27" t="n"/>
      <c r="C1055" s="27" t="n"/>
      <c r="D1055" s="28" t="n"/>
      <c r="E1055" s="29" t="n"/>
      <c r="F1055" s="30" t="n"/>
      <c r="G1055" s="31" t="n"/>
      <c r="H1055" s="31" t="n"/>
      <c r="I1055" s="31" t="n"/>
      <c r="J1055" s="31" t="n"/>
      <c r="K1055" s="31" t="n"/>
      <c r="L1055" s="31" t="n"/>
      <c r="M1055" s="31" t="n"/>
      <c r="N1055" s="31" t="n"/>
      <c r="O1055" s="31" t="n"/>
      <c r="P1055" s="31" t="n"/>
      <c r="Q1055" s="31" t="n"/>
      <c r="R1055" s="31" t="n"/>
      <c r="S1055" s="32">
        <f>IF($F1055="","",IF(IFERROR(VLOOKUP($F1055,'维度字典'!$I$2:$J$50,2,0),"求和")="手工录入","",IF(IFERROR(VLOOKUP($F1055,'维度字典'!$I$2:$J$50,2,0),"求和")="最新值",IFERROR(LOOKUP(9.99E+307,G1055:R1055),""),SUM(G1055:R1055))))</f>
        <v/>
      </c>
      <c r="T1055" s="33" t="n"/>
      <c r="U1055" s="33" t="n"/>
    </row>
    <row r="1056">
      <c r="A1056" s="26">
        <f>IF($B1056="","",ROW()-3)</f>
        <v/>
      </c>
      <c r="B1056" s="27" t="n"/>
      <c r="C1056" s="27" t="n"/>
      <c r="D1056" s="28" t="n"/>
      <c r="E1056" s="29" t="n"/>
      <c r="F1056" s="30" t="n"/>
      <c r="G1056" s="31" t="n"/>
      <c r="H1056" s="31" t="n"/>
      <c r="I1056" s="31" t="n"/>
      <c r="J1056" s="31" t="n"/>
      <c r="K1056" s="31" t="n"/>
      <c r="L1056" s="31" t="n"/>
      <c r="M1056" s="31" t="n"/>
      <c r="N1056" s="31" t="n"/>
      <c r="O1056" s="31" t="n"/>
      <c r="P1056" s="31" t="n"/>
      <c r="Q1056" s="31" t="n"/>
      <c r="R1056" s="31" t="n"/>
      <c r="S1056" s="32">
        <f>IF($F1056="","",IF(IFERROR(VLOOKUP($F1056,'维度字典'!$I$2:$J$50,2,0),"求和")="手工录入","",IF(IFERROR(VLOOKUP($F1056,'维度字典'!$I$2:$J$50,2,0),"求和")="最新值",IFERROR(LOOKUP(9.99E+307,G1056:R1056),""),SUM(G1056:R1056))))</f>
        <v/>
      </c>
      <c r="T1056" s="33" t="n"/>
      <c r="U1056" s="33" t="n"/>
    </row>
    <row r="1057">
      <c r="A1057" s="26">
        <f>IF($B1057="","",ROW()-3)</f>
        <v/>
      </c>
      <c r="B1057" s="27" t="n"/>
      <c r="C1057" s="27" t="n"/>
      <c r="D1057" s="28" t="n"/>
      <c r="E1057" s="29" t="n"/>
      <c r="F1057" s="30" t="n"/>
      <c r="G1057" s="31" t="n"/>
      <c r="H1057" s="31" t="n"/>
      <c r="I1057" s="31" t="n"/>
      <c r="J1057" s="31" t="n"/>
      <c r="K1057" s="31" t="n"/>
      <c r="L1057" s="31" t="n"/>
      <c r="M1057" s="31" t="n"/>
      <c r="N1057" s="31" t="n"/>
      <c r="O1057" s="31" t="n"/>
      <c r="P1057" s="31" t="n"/>
      <c r="Q1057" s="31" t="n"/>
      <c r="R1057" s="31" t="n"/>
      <c r="S1057" s="32">
        <f>IF($F1057="","",IF(IFERROR(VLOOKUP($F1057,'维度字典'!$I$2:$J$50,2,0),"求和")="手工录入","",IF(IFERROR(VLOOKUP($F1057,'维度字典'!$I$2:$J$50,2,0),"求和")="最新值",IFERROR(LOOKUP(9.99E+307,G1057:R1057),""),SUM(G1057:R1057))))</f>
        <v/>
      </c>
      <c r="T1057" s="33" t="n"/>
      <c r="U1057" s="33" t="n"/>
    </row>
    <row r="1058">
      <c r="A1058" s="26">
        <f>IF($B1058="","",ROW()-3)</f>
        <v/>
      </c>
      <c r="B1058" s="27" t="n"/>
      <c r="C1058" s="27" t="n"/>
      <c r="D1058" s="28" t="n"/>
      <c r="E1058" s="29" t="n"/>
      <c r="F1058" s="30" t="n"/>
      <c r="G1058" s="31" t="n"/>
      <c r="H1058" s="31" t="n"/>
      <c r="I1058" s="31" t="n"/>
      <c r="J1058" s="31" t="n"/>
      <c r="K1058" s="31" t="n"/>
      <c r="L1058" s="31" t="n"/>
      <c r="M1058" s="31" t="n"/>
      <c r="N1058" s="31" t="n"/>
      <c r="O1058" s="31" t="n"/>
      <c r="P1058" s="31" t="n"/>
      <c r="Q1058" s="31" t="n"/>
      <c r="R1058" s="31" t="n"/>
      <c r="S1058" s="32">
        <f>IF($F1058="","",IF(IFERROR(VLOOKUP($F1058,'维度字典'!$I$2:$J$50,2,0),"求和")="手工录入","",IF(IFERROR(VLOOKUP($F1058,'维度字典'!$I$2:$J$50,2,0),"求和")="最新值",IFERROR(LOOKUP(9.99E+307,G1058:R1058),""),SUM(G1058:R1058))))</f>
        <v/>
      </c>
      <c r="T1058" s="33" t="n"/>
      <c r="U1058" s="33" t="n"/>
    </row>
    <row r="1059">
      <c r="A1059" s="26">
        <f>IF($B1059="","",ROW()-3)</f>
        <v/>
      </c>
      <c r="B1059" s="27" t="n"/>
      <c r="C1059" s="27" t="n"/>
      <c r="D1059" s="28" t="n"/>
      <c r="E1059" s="29" t="n"/>
      <c r="F1059" s="30" t="n"/>
      <c r="G1059" s="31" t="n"/>
      <c r="H1059" s="31" t="n"/>
      <c r="I1059" s="31" t="n"/>
      <c r="J1059" s="31" t="n"/>
      <c r="K1059" s="31" t="n"/>
      <c r="L1059" s="31" t="n"/>
      <c r="M1059" s="31" t="n"/>
      <c r="N1059" s="31" t="n"/>
      <c r="O1059" s="31" t="n"/>
      <c r="P1059" s="31" t="n"/>
      <c r="Q1059" s="31" t="n"/>
      <c r="R1059" s="31" t="n"/>
      <c r="S1059" s="32">
        <f>IF($F1059="","",IF(IFERROR(VLOOKUP($F1059,'维度字典'!$I$2:$J$50,2,0),"求和")="手工录入","",IF(IFERROR(VLOOKUP($F1059,'维度字典'!$I$2:$J$50,2,0),"求和")="最新值",IFERROR(LOOKUP(9.99E+307,G1059:R1059),""),SUM(G1059:R1059))))</f>
        <v/>
      </c>
      <c r="T1059" s="33" t="n"/>
      <c r="U1059" s="33" t="n"/>
    </row>
    <row r="1060">
      <c r="A1060" s="26">
        <f>IF($B1060="","",ROW()-3)</f>
        <v/>
      </c>
      <c r="B1060" s="27" t="n"/>
      <c r="C1060" s="27" t="n"/>
      <c r="D1060" s="28" t="n"/>
      <c r="E1060" s="29" t="n"/>
      <c r="F1060" s="30" t="n"/>
      <c r="G1060" s="31" t="n"/>
      <c r="H1060" s="31" t="n"/>
      <c r="I1060" s="31" t="n"/>
      <c r="J1060" s="31" t="n"/>
      <c r="K1060" s="31" t="n"/>
      <c r="L1060" s="31" t="n"/>
      <c r="M1060" s="31" t="n"/>
      <c r="N1060" s="31" t="n"/>
      <c r="O1060" s="31" t="n"/>
      <c r="P1060" s="31" t="n"/>
      <c r="Q1060" s="31" t="n"/>
      <c r="R1060" s="31" t="n"/>
      <c r="S1060" s="32">
        <f>IF($F1060="","",IF(IFERROR(VLOOKUP($F1060,'维度字典'!$I$2:$J$50,2,0),"求和")="手工录入","",IF(IFERROR(VLOOKUP($F1060,'维度字典'!$I$2:$J$50,2,0),"求和")="最新值",IFERROR(LOOKUP(9.99E+307,G1060:R1060),""),SUM(G1060:R1060))))</f>
        <v/>
      </c>
      <c r="T1060" s="33" t="n"/>
      <c r="U1060" s="33" t="n"/>
    </row>
    <row r="1061">
      <c r="A1061" s="26">
        <f>IF($B1061="","",ROW()-3)</f>
        <v/>
      </c>
      <c r="B1061" s="27" t="n"/>
      <c r="C1061" s="27" t="n"/>
      <c r="D1061" s="28" t="n"/>
      <c r="E1061" s="29" t="n"/>
      <c r="F1061" s="30" t="n"/>
      <c r="G1061" s="31" t="n"/>
      <c r="H1061" s="31" t="n"/>
      <c r="I1061" s="31" t="n"/>
      <c r="J1061" s="31" t="n"/>
      <c r="K1061" s="31" t="n"/>
      <c r="L1061" s="31" t="n"/>
      <c r="M1061" s="31" t="n"/>
      <c r="N1061" s="31" t="n"/>
      <c r="O1061" s="31" t="n"/>
      <c r="P1061" s="31" t="n"/>
      <c r="Q1061" s="31" t="n"/>
      <c r="R1061" s="31" t="n"/>
      <c r="S1061" s="32">
        <f>IF($F1061="","",IF(IFERROR(VLOOKUP($F1061,'维度字典'!$I$2:$J$50,2,0),"求和")="手工录入","",IF(IFERROR(VLOOKUP($F1061,'维度字典'!$I$2:$J$50,2,0),"求和")="最新值",IFERROR(LOOKUP(9.99E+307,G1061:R1061),""),SUM(G1061:R1061))))</f>
        <v/>
      </c>
      <c r="T1061" s="33" t="n"/>
      <c r="U1061" s="33" t="n"/>
    </row>
    <row r="1062">
      <c r="A1062" s="26">
        <f>IF($B1062="","",ROW()-3)</f>
        <v/>
      </c>
      <c r="B1062" s="27" t="n"/>
      <c r="C1062" s="27" t="n"/>
      <c r="D1062" s="28" t="n"/>
      <c r="E1062" s="29" t="n"/>
      <c r="F1062" s="30" t="n"/>
      <c r="G1062" s="31" t="n"/>
      <c r="H1062" s="31" t="n"/>
      <c r="I1062" s="31" t="n"/>
      <c r="J1062" s="31" t="n"/>
      <c r="K1062" s="31" t="n"/>
      <c r="L1062" s="31" t="n"/>
      <c r="M1062" s="31" t="n"/>
      <c r="N1062" s="31" t="n"/>
      <c r="O1062" s="31" t="n"/>
      <c r="P1062" s="31" t="n"/>
      <c r="Q1062" s="31" t="n"/>
      <c r="R1062" s="31" t="n"/>
      <c r="S1062" s="32">
        <f>IF($F1062="","",IF(IFERROR(VLOOKUP($F1062,'维度字典'!$I$2:$J$50,2,0),"求和")="手工录入","",IF(IFERROR(VLOOKUP($F1062,'维度字典'!$I$2:$J$50,2,0),"求和")="最新值",IFERROR(LOOKUP(9.99E+307,G1062:R1062),""),SUM(G1062:R1062))))</f>
        <v/>
      </c>
      <c r="T1062" s="33" t="n"/>
      <c r="U1062" s="33" t="n"/>
    </row>
    <row r="1063">
      <c r="A1063" s="26">
        <f>IF($B1063="","",ROW()-3)</f>
        <v/>
      </c>
      <c r="B1063" s="27" t="n"/>
      <c r="C1063" s="27" t="n"/>
      <c r="D1063" s="28" t="n"/>
      <c r="E1063" s="29" t="n"/>
      <c r="F1063" s="30" t="n"/>
      <c r="G1063" s="31" t="n"/>
      <c r="H1063" s="31" t="n"/>
      <c r="I1063" s="31" t="n"/>
      <c r="J1063" s="31" t="n"/>
      <c r="K1063" s="31" t="n"/>
      <c r="L1063" s="31" t="n"/>
      <c r="M1063" s="31" t="n"/>
      <c r="N1063" s="31" t="n"/>
      <c r="O1063" s="31" t="n"/>
      <c r="P1063" s="31" t="n"/>
      <c r="Q1063" s="31" t="n"/>
      <c r="R1063" s="31" t="n"/>
      <c r="S1063" s="32">
        <f>IF($F1063="","",IF(IFERROR(VLOOKUP($F1063,'维度字典'!$I$2:$J$50,2,0),"求和")="手工录入","",IF(IFERROR(VLOOKUP($F1063,'维度字典'!$I$2:$J$50,2,0),"求和")="最新值",IFERROR(LOOKUP(9.99E+307,G1063:R1063),""),SUM(G1063:R1063))))</f>
        <v/>
      </c>
      <c r="T1063" s="33" t="n"/>
      <c r="U1063" s="33" t="n"/>
    </row>
    <row r="1064">
      <c r="A1064" s="26">
        <f>IF($B1064="","",ROW()-3)</f>
        <v/>
      </c>
      <c r="B1064" s="27" t="n"/>
      <c r="C1064" s="27" t="n"/>
      <c r="D1064" s="28" t="n"/>
      <c r="E1064" s="29" t="n"/>
      <c r="F1064" s="30" t="n"/>
      <c r="G1064" s="31" t="n"/>
      <c r="H1064" s="31" t="n"/>
      <c r="I1064" s="31" t="n"/>
      <c r="J1064" s="31" t="n"/>
      <c r="K1064" s="31" t="n"/>
      <c r="L1064" s="31" t="n"/>
      <c r="M1064" s="31" t="n"/>
      <c r="N1064" s="31" t="n"/>
      <c r="O1064" s="31" t="n"/>
      <c r="P1064" s="31" t="n"/>
      <c r="Q1064" s="31" t="n"/>
      <c r="R1064" s="31" t="n"/>
      <c r="S1064" s="32">
        <f>IF($F1064="","",IF(IFERROR(VLOOKUP($F1064,'维度字典'!$I$2:$J$50,2,0),"求和")="手工录入","",IF(IFERROR(VLOOKUP($F1064,'维度字典'!$I$2:$J$50,2,0),"求和")="最新值",IFERROR(LOOKUP(9.99E+307,G1064:R1064),""),SUM(G1064:R1064))))</f>
        <v/>
      </c>
      <c r="T1064" s="33" t="n"/>
      <c r="U1064" s="33" t="n"/>
    </row>
    <row r="1065">
      <c r="A1065" s="26">
        <f>IF($B1065="","",ROW()-3)</f>
        <v/>
      </c>
      <c r="B1065" s="27" t="n"/>
      <c r="C1065" s="27" t="n"/>
      <c r="D1065" s="28" t="n"/>
      <c r="E1065" s="29" t="n"/>
      <c r="F1065" s="30" t="n"/>
      <c r="G1065" s="31" t="n"/>
      <c r="H1065" s="31" t="n"/>
      <c r="I1065" s="31" t="n"/>
      <c r="J1065" s="31" t="n"/>
      <c r="K1065" s="31" t="n"/>
      <c r="L1065" s="31" t="n"/>
      <c r="M1065" s="31" t="n"/>
      <c r="N1065" s="31" t="n"/>
      <c r="O1065" s="31" t="n"/>
      <c r="P1065" s="31" t="n"/>
      <c r="Q1065" s="31" t="n"/>
      <c r="R1065" s="31" t="n"/>
      <c r="S1065" s="32">
        <f>IF($F1065="","",IF(IFERROR(VLOOKUP($F1065,'维度字典'!$I$2:$J$50,2,0),"求和")="手工录入","",IF(IFERROR(VLOOKUP($F1065,'维度字典'!$I$2:$J$50,2,0),"求和")="最新值",IFERROR(LOOKUP(9.99E+307,G1065:R1065),""),SUM(G1065:R1065))))</f>
        <v/>
      </c>
      <c r="T1065" s="33" t="n"/>
      <c r="U1065" s="33" t="n"/>
    </row>
    <row r="1066">
      <c r="A1066" s="26">
        <f>IF($B1066="","",ROW()-3)</f>
        <v/>
      </c>
      <c r="B1066" s="27" t="n"/>
      <c r="C1066" s="27" t="n"/>
      <c r="D1066" s="28" t="n"/>
      <c r="E1066" s="29" t="n"/>
      <c r="F1066" s="30" t="n"/>
      <c r="G1066" s="31" t="n"/>
      <c r="H1066" s="31" t="n"/>
      <c r="I1066" s="31" t="n"/>
      <c r="J1066" s="31" t="n"/>
      <c r="K1066" s="31" t="n"/>
      <c r="L1066" s="31" t="n"/>
      <c r="M1066" s="31" t="n"/>
      <c r="N1066" s="31" t="n"/>
      <c r="O1066" s="31" t="n"/>
      <c r="P1066" s="31" t="n"/>
      <c r="Q1066" s="31" t="n"/>
      <c r="R1066" s="31" t="n"/>
      <c r="S1066" s="32">
        <f>IF($F1066="","",IF(IFERROR(VLOOKUP($F1066,'维度字典'!$I$2:$J$50,2,0),"求和")="手工录入","",IF(IFERROR(VLOOKUP($F1066,'维度字典'!$I$2:$J$50,2,0),"求和")="最新值",IFERROR(LOOKUP(9.99E+307,G1066:R1066),""),SUM(G1066:R1066))))</f>
        <v/>
      </c>
      <c r="T1066" s="33" t="n"/>
      <c r="U1066" s="33" t="n"/>
    </row>
    <row r="1067">
      <c r="A1067" s="26">
        <f>IF($B1067="","",ROW()-3)</f>
        <v/>
      </c>
      <c r="B1067" s="27" t="n"/>
      <c r="C1067" s="27" t="n"/>
      <c r="D1067" s="28" t="n"/>
      <c r="E1067" s="29" t="n"/>
      <c r="F1067" s="30" t="n"/>
      <c r="G1067" s="31" t="n"/>
      <c r="H1067" s="31" t="n"/>
      <c r="I1067" s="31" t="n"/>
      <c r="J1067" s="31" t="n"/>
      <c r="K1067" s="31" t="n"/>
      <c r="L1067" s="31" t="n"/>
      <c r="M1067" s="31" t="n"/>
      <c r="N1067" s="31" t="n"/>
      <c r="O1067" s="31" t="n"/>
      <c r="P1067" s="31" t="n"/>
      <c r="Q1067" s="31" t="n"/>
      <c r="R1067" s="31" t="n"/>
      <c r="S1067" s="32">
        <f>IF($F1067="","",IF(IFERROR(VLOOKUP($F1067,'维度字典'!$I$2:$J$50,2,0),"求和")="手工录入","",IF(IFERROR(VLOOKUP($F1067,'维度字典'!$I$2:$J$50,2,0),"求和")="最新值",IFERROR(LOOKUP(9.99E+307,G1067:R1067),""),SUM(G1067:R1067))))</f>
        <v/>
      </c>
      <c r="T1067" s="33" t="n"/>
      <c r="U1067" s="33" t="n"/>
    </row>
    <row r="1068">
      <c r="A1068" s="26">
        <f>IF($B1068="","",ROW()-3)</f>
        <v/>
      </c>
      <c r="B1068" s="27" t="n"/>
      <c r="C1068" s="27" t="n"/>
      <c r="D1068" s="28" t="n"/>
      <c r="E1068" s="29" t="n"/>
      <c r="F1068" s="30" t="n"/>
      <c r="G1068" s="31" t="n"/>
      <c r="H1068" s="31" t="n"/>
      <c r="I1068" s="31" t="n"/>
      <c r="J1068" s="31" t="n"/>
      <c r="K1068" s="31" t="n"/>
      <c r="L1068" s="31" t="n"/>
      <c r="M1068" s="31" t="n"/>
      <c r="N1068" s="31" t="n"/>
      <c r="O1068" s="31" t="n"/>
      <c r="P1068" s="31" t="n"/>
      <c r="Q1068" s="31" t="n"/>
      <c r="R1068" s="31" t="n"/>
      <c r="S1068" s="32">
        <f>IF($F1068="","",IF(IFERROR(VLOOKUP($F1068,'维度字典'!$I$2:$J$50,2,0),"求和")="手工录入","",IF(IFERROR(VLOOKUP($F1068,'维度字典'!$I$2:$J$50,2,0),"求和")="最新值",IFERROR(LOOKUP(9.99E+307,G1068:R1068),""),SUM(G1068:R1068))))</f>
        <v/>
      </c>
      <c r="T1068" s="33" t="n"/>
      <c r="U1068" s="33" t="n"/>
    </row>
    <row r="1069">
      <c r="A1069" s="26">
        <f>IF($B1069="","",ROW()-3)</f>
        <v/>
      </c>
      <c r="B1069" s="27" t="n"/>
      <c r="C1069" s="27" t="n"/>
      <c r="D1069" s="28" t="n"/>
      <c r="E1069" s="29" t="n"/>
      <c r="F1069" s="30" t="n"/>
      <c r="G1069" s="31" t="n"/>
      <c r="H1069" s="31" t="n"/>
      <c r="I1069" s="31" t="n"/>
      <c r="J1069" s="31" t="n"/>
      <c r="K1069" s="31" t="n"/>
      <c r="L1069" s="31" t="n"/>
      <c r="M1069" s="31" t="n"/>
      <c r="N1069" s="31" t="n"/>
      <c r="O1069" s="31" t="n"/>
      <c r="P1069" s="31" t="n"/>
      <c r="Q1069" s="31" t="n"/>
      <c r="R1069" s="31" t="n"/>
      <c r="S1069" s="32">
        <f>IF($F1069="","",IF(IFERROR(VLOOKUP($F1069,'维度字典'!$I$2:$J$50,2,0),"求和")="手工录入","",IF(IFERROR(VLOOKUP($F1069,'维度字典'!$I$2:$J$50,2,0),"求和")="最新值",IFERROR(LOOKUP(9.99E+307,G1069:R1069),""),SUM(G1069:R1069))))</f>
        <v/>
      </c>
      <c r="T1069" s="33" t="n"/>
      <c r="U1069" s="33" t="n"/>
    </row>
    <row r="1070">
      <c r="A1070" s="26">
        <f>IF($B1070="","",ROW()-3)</f>
        <v/>
      </c>
      <c r="B1070" s="27" t="n"/>
      <c r="C1070" s="27" t="n"/>
      <c r="D1070" s="28" t="n"/>
      <c r="E1070" s="29" t="n"/>
      <c r="F1070" s="30" t="n"/>
      <c r="G1070" s="31" t="n"/>
      <c r="H1070" s="31" t="n"/>
      <c r="I1070" s="31" t="n"/>
      <c r="J1070" s="31" t="n"/>
      <c r="K1070" s="31" t="n"/>
      <c r="L1070" s="31" t="n"/>
      <c r="M1070" s="31" t="n"/>
      <c r="N1070" s="31" t="n"/>
      <c r="O1070" s="31" t="n"/>
      <c r="P1070" s="31" t="n"/>
      <c r="Q1070" s="31" t="n"/>
      <c r="R1070" s="31" t="n"/>
      <c r="S1070" s="32">
        <f>IF($F1070="","",IF(IFERROR(VLOOKUP($F1070,'维度字典'!$I$2:$J$50,2,0),"求和")="手工录入","",IF(IFERROR(VLOOKUP($F1070,'维度字典'!$I$2:$J$50,2,0),"求和")="最新值",IFERROR(LOOKUP(9.99E+307,G1070:R1070),""),SUM(G1070:R1070))))</f>
        <v/>
      </c>
      <c r="T1070" s="33" t="n"/>
      <c r="U1070" s="33" t="n"/>
    </row>
    <row r="1071">
      <c r="A1071" s="26">
        <f>IF($B1071="","",ROW()-3)</f>
        <v/>
      </c>
      <c r="B1071" s="27" t="n"/>
      <c r="C1071" s="27" t="n"/>
      <c r="D1071" s="28" t="n"/>
      <c r="E1071" s="29" t="n"/>
      <c r="F1071" s="30" t="n"/>
      <c r="G1071" s="31" t="n"/>
      <c r="H1071" s="31" t="n"/>
      <c r="I1071" s="31" t="n"/>
      <c r="J1071" s="31" t="n"/>
      <c r="K1071" s="31" t="n"/>
      <c r="L1071" s="31" t="n"/>
      <c r="M1071" s="31" t="n"/>
      <c r="N1071" s="31" t="n"/>
      <c r="O1071" s="31" t="n"/>
      <c r="P1071" s="31" t="n"/>
      <c r="Q1071" s="31" t="n"/>
      <c r="R1071" s="31" t="n"/>
      <c r="S1071" s="32">
        <f>IF($F1071="","",IF(IFERROR(VLOOKUP($F1071,'维度字典'!$I$2:$J$50,2,0),"求和")="手工录入","",IF(IFERROR(VLOOKUP($F1071,'维度字典'!$I$2:$J$50,2,0),"求和")="最新值",IFERROR(LOOKUP(9.99E+307,G1071:R1071),""),SUM(G1071:R1071))))</f>
        <v/>
      </c>
      <c r="T1071" s="33" t="n"/>
      <c r="U1071" s="33" t="n"/>
    </row>
    <row r="1072">
      <c r="A1072" s="26">
        <f>IF($B1072="","",ROW()-3)</f>
        <v/>
      </c>
      <c r="B1072" s="27" t="n"/>
      <c r="C1072" s="27" t="n"/>
      <c r="D1072" s="28" t="n"/>
      <c r="E1072" s="29" t="n"/>
      <c r="F1072" s="30" t="n"/>
      <c r="G1072" s="31" t="n"/>
      <c r="H1072" s="31" t="n"/>
      <c r="I1072" s="31" t="n"/>
      <c r="J1072" s="31" t="n"/>
      <c r="K1072" s="31" t="n"/>
      <c r="L1072" s="31" t="n"/>
      <c r="M1072" s="31" t="n"/>
      <c r="N1072" s="31" t="n"/>
      <c r="O1072" s="31" t="n"/>
      <c r="P1072" s="31" t="n"/>
      <c r="Q1072" s="31" t="n"/>
      <c r="R1072" s="31" t="n"/>
      <c r="S1072" s="32">
        <f>IF($F1072="","",IF(IFERROR(VLOOKUP($F1072,'维度字典'!$I$2:$J$50,2,0),"求和")="手工录入","",IF(IFERROR(VLOOKUP($F1072,'维度字典'!$I$2:$J$50,2,0),"求和")="最新值",IFERROR(LOOKUP(9.99E+307,G1072:R1072),""),SUM(G1072:R1072))))</f>
        <v/>
      </c>
      <c r="T1072" s="33" t="n"/>
      <c r="U1072" s="33" t="n"/>
    </row>
    <row r="1073">
      <c r="A1073" s="26">
        <f>IF($B1073="","",ROW()-3)</f>
        <v/>
      </c>
      <c r="B1073" s="27" t="n"/>
      <c r="C1073" s="27" t="n"/>
      <c r="D1073" s="28" t="n"/>
      <c r="E1073" s="29" t="n"/>
      <c r="F1073" s="30" t="n"/>
      <c r="G1073" s="31" t="n"/>
      <c r="H1073" s="31" t="n"/>
      <c r="I1073" s="31" t="n"/>
      <c r="J1073" s="31" t="n"/>
      <c r="K1073" s="31" t="n"/>
      <c r="L1073" s="31" t="n"/>
      <c r="M1073" s="31" t="n"/>
      <c r="N1073" s="31" t="n"/>
      <c r="O1073" s="31" t="n"/>
      <c r="P1073" s="31" t="n"/>
      <c r="Q1073" s="31" t="n"/>
      <c r="R1073" s="31" t="n"/>
      <c r="S1073" s="32">
        <f>IF($F1073="","",IF(IFERROR(VLOOKUP($F1073,'维度字典'!$I$2:$J$50,2,0),"求和")="手工录入","",IF(IFERROR(VLOOKUP($F1073,'维度字典'!$I$2:$J$50,2,0),"求和")="最新值",IFERROR(LOOKUP(9.99E+307,G1073:R1073),""),SUM(G1073:R1073))))</f>
        <v/>
      </c>
      <c r="T1073" s="33" t="n"/>
      <c r="U1073" s="33" t="n"/>
    </row>
    <row r="1074">
      <c r="A1074" s="26">
        <f>IF($B1074="","",ROW()-3)</f>
        <v/>
      </c>
      <c r="B1074" s="27" t="n"/>
      <c r="C1074" s="27" t="n"/>
      <c r="D1074" s="28" t="n"/>
      <c r="E1074" s="29" t="n"/>
      <c r="F1074" s="30" t="n"/>
      <c r="G1074" s="31" t="n"/>
      <c r="H1074" s="31" t="n"/>
      <c r="I1074" s="31" t="n"/>
      <c r="J1074" s="31" t="n"/>
      <c r="K1074" s="31" t="n"/>
      <c r="L1074" s="31" t="n"/>
      <c r="M1074" s="31" t="n"/>
      <c r="N1074" s="31" t="n"/>
      <c r="O1074" s="31" t="n"/>
      <c r="P1074" s="31" t="n"/>
      <c r="Q1074" s="31" t="n"/>
      <c r="R1074" s="31" t="n"/>
      <c r="S1074" s="32">
        <f>IF($F1074="","",IF(IFERROR(VLOOKUP($F1074,'维度字典'!$I$2:$J$50,2,0),"求和")="手工录入","",IF(IFERROR(VLOOKUP($F1074,'维度字典'!$I$2:$J$50,2,0),"求和")="最新值",IFERROR(LOOKUP(9.99E+307,G1074:R1074),""),SUM(G1074:R1074))))</f>
        <v/>
      </c>
      <c r="T1074" s="33" t="n"/>
      <c r="U1074" s="33" t="n"/>
    </row>
    <row r="1075">
      <c r="A1075" s="26">
        <f>IF($B1075="","",ROW()-3)</f>
        <v/>
      </c>
      <c r="B1075" s="27" t="n"/>
      <c r="C1075" s="27" t="n"/>
      <c r="D1075" s="28" t="n"/>
      <c r="E1075" s="29" t="n"/>
      <c r="F1075" s="30" t="n"/>
      <c r="G1075" s="31" t="n"/>
      <c r="H1075" s="31" t="n"/>
      <c r="I1075" s="31" t="n"/>
      <c r="J1075" s="31" t="n"/>
      <c r="K1075" s="31" t="n"/>
      <c r="L1075" s="31" t="n"/>
      <c r="M1075" s="31" t="n"/>
      <c r="N1075" s="31" t="n"/>
      <c r="O1075" s="31" t="n"/>
      <c r="P1075" s="31" t="n"/>
      <c r="Q1075" s="31" t="n"/>
      <c r="R1075" s="31" t="n"/>
      <c r="S1075" s="32">
        <f>IF($F1075="","",IF(IFERROR(VLOOKUP($F1075,'维度字典'!$I$2:$J$50,2,0),"求和")="手工录入","",IF(IFERROR(VLOOKUP($F1075,'维度字典'!$I$2:$J$50,2,0),"求和")="最新值",IFERROR(LOOKUP(9.99E+307,G1075:R1075),""),SUM(G1075:R1075))))</f>
        <v/>
      </c>
      <c r="T1075" s="33" t="n"/>
      <c r="U1075" s="33" t="n"/>
    </row>
    <row r="1076">
      <c r="A1076" s="26">
        <f>IF($B1076="","",ROW()-3)</f>
        <v/>
      </c>
      <c r="B1076" s="27" t="n"/>
      <c r="C1076" s="27" t="n"/>
      <c r="D1076" s="28" t="n"/>
      <c r="E1076" s="29" t="n"/>
      <c r="F1076" s="30" t="n"/>
      <c r="G1076" s="31" t="n"/>
      <c r="H1076" s="31" t="n"/>
      <c r="I1076" s="31" t="n"/>
      <c r="J1076" s="31" t="n"/>
      <c r="K1076" s="31" t="n"/>
      <c r="L1076" s="31" t="n"/>
      <c r="M1076" s="31" t="n"/>
      <c r="N1076" s="31" t="n"/>
      <c r="O1076" s="31" t="n"/>
      <c r="P1076" s="31" t="n"/>
      <c r="Q1076" s="31" t="n"/>
      <c r="R1076" s="31" t="n"/>
      <c r="S1076" s="32">
        <f>IF($F1076="","",IF(IFERROR(VLOOKUP($F1076,'维度字典'!$I$2:$J$50,2,0),"求和")="手工录入","",IF(IFERROR(VLOOKUP($F1076,'维度字典'!$I$2:$J$50,2,0),"求和")="最新值",IFERROR(LOOKUP(9.99E+307,G1076:R1076),""),SUM(G1076:R1076))))</f>
        <v/>
      </c>
      <c r="T1076" s="33" t="n"/>
      <c r="U1076" s="33" t="n"/>
    </row>
    <row r="1077">
      <c r="A1077" s="26">
        <f>IF($B1077="","",ROW()-3)</f>
        <v/>
      </c>
      <c r="B1077" s="27" t="n"/>
      <c r="C1077" s="27" t="n"/>
      <c r="D1077" s="28" t="n"/>
      <c r="E1077" s="29" t="n"/>
      <c r="F1077" s="30" t="n"/>
      <c r="G1077" s="31" t="n"/>
      <c r="H1077" s="31" t="n"/>
      <c r="I1077" s="31" t="n"/>
      <c r="J1077" s="31" t="n"/>
      <c r="K1077" s="31" t="n"/>
      <c r="L1077" s="31" t="n"/>
      <c r="M1077" s="31" t="n"/>
      <c r="N1077" s="31" t="n"/>
      <c r="O1077" s="31" t="n"/>
      <c r="P1077" s="31" t="n"/>
      <c r="Q1077" s="31" t="n"/>
      <c r="R1077" s="31" t="n"/>
      <c r="S1077" s="32">
        <f>IF($F1077="","",IF(IFERROR(VLOOKUP($F1077,'维度字典'!$I$2:$J$50,2,0),"求和")="手工录入","",IF(IFERROR(VLOOKUP($F1077,'维度字典'!$I$2:$J$50,2,0),"求和")="最新值",IFERROR(LOOKUP(9.99E+307,G1077:R1077),""),SUM(G1077:R1077))))</f>
        <v/>
      </c>
      <c r="T1077" s="33" t="n"/>
      <c r="U1077" s="33" t="n"/>
    </row>
    <row r="1078">
      <c r="A1078" s="26">
        <f>IF($B1078="","",ROW()-3)</f>
        <v/>
      </c>
      <c r="B1078" s="27" t="n"/>
      <c r="C1078" s="27" t="n"/>
      <c r="D1078" s="28" t="n"/>
      <c r="E1078" s="29" t="n"/>
      <c r="F1078" s="30" t="n"/>
      <c r="G1078" s="31" t="n"/>
      <c r="H1078" s="31" t="n"/>
      <c r="I1078" s="31" t="n"/>
      <c r="J1078" s="31" t="n"/>
      <c r="K1078" s="31" t="n"/>
      <c r="L1078" s="31" t="n"/>
      <c r="M1078" s="31" t="n"/>
      <c r="N1078" s="31" t="n"/>
      <c r="O1078" s="31" t="n"/>
      <c r="P1078" s="31" t="n"/>
      <c r="Q1078" s="31" t="n"/>
      <c r="R1078" s="31" t="n"/>
      <c r="S1078" s="32">
        <f>IF($F1078="","",IF(IFERROR(VLOOKUP($F1078,'维度字典'!$I$2:$J$50,2,0),"求和")="手工录入","",IF(IFERROR(VLOOKUP($F1078,'维度字典'!$I$2:$J$50,2,0),"求和")="最新值",IFERROR(LOOKUP(9.99E+307,G1078:R1078),""),SUM(G1078:R1078))))</f>
        <v/>
      </c>
      <c r="T1078" s="33" t="n"/>
      <c r="U1078" s="33" t="n"/>
    </row>
    <row r="1079">
      <c r="A1079" s="26">
        <f>IF($B1079="","",ROW()-3)</f>
        <v/>
      </c>
      <c r="B1079" s="27" t="n"/>
      <c r="C1079" s="27" t="n"/>
      <c r="D1079" s="28" t="n"/>
      <c r="E1079" s="29" t="n"/>
      <c r="F1079" s="30" t="n"/>
      <c r="G1079" s="31" t="n"/>
      <c r="H1079" s="31" t="n"/>
      <c r="I1079" s="31" t="n"/>
      <c r="J1079" s="31" t="n"/>
      <c r="K1079" s="31" t="n"/>
      <c r="L1079" s="31" t="n"/>
      <c r="M1079" s="31" t="n"/>
      <c r="N1079" s="31" t="n"/>
      <c r="O1079" s="31" t="n"/>
      <c r="P1079" s="31" t="n"/>
      <c r="Q1079" s="31" t="n"/>
      <c r="R1079" s="31" t="n"/>
      <c r="S1079" s="32">
        <f>IF($F1079="","",IF(IFERROR(VLOOKUP($F1079,'维度字典'!$I$2:$J$50,2,0),"求和")="手工录入","",IF(IFERROR(VLOOKUP($F1079,'维度字典'!$I$2:$J$50,2,0),"求和")="最新值",IFERROR(LOOKUP(9.99E+307,G1079:R1079),""),SUM(G1079:R1079))))</f>
        <v/>
      </c>
      <c r="T1079" s="33" t="n"/>
      <c r="U1079" s="33" t="n"/>
    </row>
    <row r="1080">
      <c r="A1080" s="26">
        <f>IF($B1080="","",ROW()-3)</f>
        <v/>
      </c>
      <c r="B1080" s="27" t="n"/>
      <c r="C1080" s="27" t="n"/>
      <c r="D1080" s="28" t="n"/>
      <c r="E1080" s="29" t="n"/>
      <c r="F1080" s="30" t="n"/>
      <c r="G1080" s="31" t="n"/>
      <c r="H1080" s="31" t="n"/>
      <c r="I1080" s="31" t="n"/>
      <c r="J1080" s="31" t="n"/>
      <c r="K1080" s="31" t="n"/>
      <c r="L1080" s="31" t="n"/>
      <c r="M1080" s="31" t="n"/>
      <c r="N1080" s="31" t="n"/>
      <c r="O1080" s="31" t="n"/>
      <c r="P1080" s="31" t="n"/>
      <c r="Q1080" s="31" t="n"/>
      <c r="R1080" s="31" t="n"/>
      <c r="S1080" s="32">
        <f>IF($F1080="","",IF(IFERROR(VLOOKUP($F1080,'维度字典'!$I$2:$J$50,2,0),"求和")="手工录入","",IF(IFERROR(VLOOKUP($F1080,'维度字典'!$I$2:$J$50,2,0),"求和")="最新值",IFERROR(LOOKUP(9.99E+307,G1080:R1080),""),SUM(G1080:R1080))))</f>
        <v/>
      </c>
      <c r="T1080" s="33" t="n"/>
      <c r="U1080" s="33" t="n"/>
    </row>
    <row r="1081">
      <c r="A1081" s="26">
        <f>IF($B1081="","",ROW()-3)</f>
        <v/>
      </c>
      <c r="B1081" s="27" t="n"/>
      <c r="C1081" s="27" t="n"/>
      <c r="D1081" s="28" t="n"/>
      <c r="E1081" s="29" t="n"/>
      <c r="F1081" s="30" t="n"/>
      <c r="G1081" s="31" t="n"/>
      <c r="H1081" s="31" t="n"/>
      <c r="I1081" s="31" t="n"/>
      <c r="J1081" s="31" t="n"/>
      <c r="K1081" s="31" t="n"/>
      <c r="L1081" s="31" t="n"/>
      <c r="M1081" s="31" t="n"/>
      <c r="N1081" s="31" t="n"/>
      <c r="O1081" s="31" t="n"/>
      <c r="P1081" s="31" t="n"/>
      <c r="Q1081" s="31" t="n"/>
      <c r="R1081" s="31" t="n"/>
      <c r="S1081" s="32">
        <f>IF($F1081="","",IF(IFERROR(VLOOKUP($F1081,'维度字典'!$I$2:$J$50,2,0),"求和")="手工录入","",IF(IFERROR(VLOOKUP($F1081,'维度字典'!$I$2:$J$50,2,0),"求和")="最新值",IFERROR(LOOKUP(9.99E+307,G1081:R1081),""),SUM(G1081:R1081))))</f>
        <v/>
      </c>
      <c r="T1081" s="33" t="n"/>
      <c r="U1081" s="33" t="n"/>
    </row>
    <row r="1082">
      <c r="A1082" s="26">
        <f>IF($B1082="","",ROW()-3)</f>
        <v/>
      </c>
      <c r="B1082" s="27" t="n"/>
      <c r="C1082" s="27" t="n"/>
      <c r="D1082" s="28" t="n"/>
      <c r="E1082" s="29" t="n"/>
      <c r="F1082" s="30" t="n"/>
      <c r="G1082" s="31" t="n"/>
      <c r="H1082" s="31" t="n"/>
      <c r="I1082" s="31" t="n"/>
      <c r="J1082" s="31" t="n"/>
      <c r="K1082" s="31" t="n"/>
      <c r="L1082" s="31" t="n"/>
      <c r="M1082" s="31" t="n"/>
      <c r="N1082" s="31" t="n"/>
      <c r="O1082" s="31" t="n"/>
      <c r="P1082" s="31" t="n"/>
      <c r="Q1082" s="31" t="n"/>
      <c r="R1082" s="31" t="n"/>
      <c r="S1082" s="32">
        <f>IF($F1082="","",IF(IFERROR(VLOOKUP($F1082,'维度字典'!$I$2:$J$50,2,0),"求和")="手工录入","",IF(IFERROR(VLOOKUP($F1082,'维度字典'!$I$2:$J$50,2,0),"求和")="最新值",IFERROR(LOOKUP(9.99E+307,G1082:R1082),""),SUM(G1082:R1082))))</f>
        <v/>
      </c>
      <c r="T1082" s="33" t="n"/>
      <c r="U1082" s="33" t="n"/>
    </row>
    <row r="1083">
      <c r="A1083" s="26">
        <f>IF($B1083="","",ROW()-3)</f>
        <v/>
      </c>
      <c r="B1083" s="27" t="n"/>
      <c r="C1083" s="27" t="n"/>
      <c r="D1083" s="28" t="n"/>
      <c r="E1083" s="29" t="n"/>
      <c r="F1083" s="30" t="n"/>
      <c r="G1083" s="31" t="n"/>
      <c r="H1083" s="31" t="n"/>
      <c r="I1083" s="31" t="n"/>
      <c r="J1083" s="31" t="n"/>
      <c r="K1083" s="31" t="n"/>
      <c r="L1083" s="31" t="n"/>
      <c r="M1083" s="31" t="n"/>
      <c r="N1083" s="31" t="n"/>
      <c r="O1083" s="31" t="n"/>
      <c r="P1083" s="31" t="n"/>
      <c r="Q1083" s="31" t="n"/>
      <c r="R1083" s="31" t="n"/>
      <c r="S1083" s="32">
        <f>IF($F1083="","",IF(IFERROR(VLOOKUP($F1083,'维度字典'!$I$2:$J$50,2,0),"求和")="手工录入","",IF(IFERROR(VLOOKUP($F1083,'维度字典'!$I$2:$J$50,2,0),"求和")="最新值",IFERROR(LOOKUP(9.99E+307,G1083:R1083),""),SUM(G1083:R1083))))</f>
        <v/>
      </c>
      <c r="T1083" s="33" t="n"/>
      <c r="U1083" s="33" t="n"/>
    </row>
    <row r="1084">
      <c r="A1084" s="26">
        <f>IF($B1084="","",ROW()-3)</f>
        <v/>
      </c>
      <c r="B1084" s="27" t="n"/>
      <c r="C1084" s="27" t="n"/>
      <c r="D1084" s="28" t="n"/>
      <c r="E1084" s="29" t="n"/>
      <c r="F1084" s="30" t="n"/>
      <c r="G1084" s="31" t="n"/>
      <c r="H1084" s="31" t="n"/>
      <c r="I1084" s="31" t="n"/>
      <c r="J1084" s="31" t="n"/>
      <c r="K1084" s="31" t="n"/>
      <c r="L1084" s="31" t="n"/>
      <c r="M1084" s="31" t="n"/>
      <c r="N1084" s="31" t="n"/>
      <c r="O1084" s="31" t="n"/>
      <c r="P1084" s="31" t="n"/>
      <c r="Q1084" s="31" t="n"/>
      <c r="R1084" s="31" t="n"/>
      <c r="S1084" s="32">
        <f>IF($F1084="","",IF(IFERROR(VLOOKUP($F1084,'维度字典'!$I$2:$J$50,2,0),"求和")="手工录入","",IF(IFERROR(VLOOKUP($F1084,'维度字典'!$I$2:$J$50,2,0),"求和")="最新值",IFERROR(LOOKUP(9.99E+307,G1084:R1084),""),SUM(G1084:R1084))))</f>
        <v/>
      </c>
      <c r="T1084" s="33" t="n"/>
      <c r="U1084" s="33" t="n"/>
    </row>
    <row r="1085">
      <c r="A1085" s="26">
        <f>IF($B1085="","",ROW()-3)</f>
        <v/>
      </c>
      <c r="B1085" s="27" t="n"/>
      <c r="C1085" s="27" t="n"/>
      <c r="D1085" s="28" t="n"/>
      <c r="E1085" s="29" t="n"/>
      <c r="F1085" s="30" t="n"/>
      <c r="G1085" s="31" t="n"/>
      <c r="H1085" s="31" t="n"/>
      <c r="I1085" s="31" t="n"/>
      <c r="J1085" s="31" t="n"/>
      <c r="K1085" s="31" t="n"/>
      <c r="L1085" s="31" t="n"/>
      <c r="M1085" s="31" t="n"/>
      <c r="N1085" s="31" t="n"/>
      <c r="O1085" s="31" t="n"/>
      <c r="P1085" s="31" t="n"/>
      <c r="Q1085" s="31" t="n"/>
      <c r="R1085" s="31" t="n"/>
      <c r="S1085" s="32">
        <f>IF($F1085="","",IF(IFERROR(VLOOKUP($F1085,'维度字典'!$I$2:$J$50,2,0),"求和")="手工录入","",IF(IFERROR(VLOOKUP($F1085,'维度字典'!$I$2:$J$50,2,0),"求和")="最新值",IFERROR(LOOKUP(9.99E+307,G1085:R1085),""),SUM(G1085:R1085))))</f>
        <v/>
      </c>
      <c r="T1085" s="33" t="n"/>
      <c r="U1085" s="33" t="n"/>
    </row>
    <row r="1086">
      <c r="A1086" s="26">
        <f>IF($B1086="","",ROW()-3)</f>
        <v/>
      </c>
      <c r="B1086" s="27" t="n"/>
      <c r="C1086" s="27" t="n"/>
      <c r="D1086" s="28" t="n"/>
      <c r="E1086" s="29" t="n"/>
      <c r="F1086" s="30" t="n"/>
      <c r="G1086" s="31" t="n"/>
      <c r="H1086" s="31" t="n"/>
      <c r="I1086" s="31" t="n"/>
      <c r="J1086" s="31" t="n"/>
      <c r="K1086" s="31" t="n"/>
      <c r="L1086" s="31" t="n"/>
      <c r="M1086" s="31" t="n"/>
      <c r="N1086" s="31" t="n"/>
      <c r="O1086" s="31" t="n"/>
      <c r="P1086" s="31" t="n"/>
      <c r="Q1086" s="31" t="n"/>
      <c r="R1086" s="31" t="n"/>
      <c r="S1086" s="32">
        <f>IF($F1086="","",IF(IFERROR(VLOOKUP($F1086,'维度字典'!$I$2:$J$50,2,0),"求和")="手工录入","",IF(IFERROR(VLOOKUP($F1086,'维度字典'!$I$2:$J$50,2,0),"求和")="最新值",IFERROR(LOOKUP(9.99E+307,G1086:R1086),""),SUM(G1086:R1086))))</f>
        <v/>
      </c>
      <c r="T1086" s="33" t="n"/>
      <c r="U1086" s="33" t="n"/>
    </row>
    <row r="1087">
      <c r="A1087" s="26">
        <f>IF($B1087="","",ROW()-3)</f>
        <v/>
      </c>
      <c r="B1087" s="27" t="n"/>
      <c r="C1087" s="27" t="n"/>
      <c r="D1087" s="28" t="n"/>
      <c r="E1087" s="29" t="n"/>
      <c r="F1087" s="30" t="n"/>
      <c r="G1087" s="31" t="n"/>
      <c r="H1087" s="31" t="n"/>
      <c r="I1087" s="31" t="n"/>
      <c r="J1087" s="31" t="n"/>
      <c r="K1087" s="31" t="n"/>
      <c r="L1087" s="31" t="n"/>
      <c r="M1087" s="31" t="n"/>
      <c r="N1087" s="31" t="n"/>
      <c r="O1087" s="31" t="n"/>
      <c r="P1087" s="31" t="n"/>
      <c r="Q1087" s="31" t="n"/>
      <c r="R1087" s="31" t="n"/>
      <c r="S1087" s="32">
        <f>IF($F1087="","",IF(IFERROR(VLOOKUP($F1087,'维度字典'!$I$2:$J$50,2,0),"求和")="手工录入","",IF(IFERROR(VLOOKUP($F1087,'维度字典'!$I$2:$J$50,2,0),"求和")="最新值",IFERROR(LOOKUP(9.99E+307,G1087:R1087),""),SUM(G1087:R1087))))</f>
        <v/>
      </c>
      <c r="T1087" s="33" t="n"/>
      <c r="U1087" s="33" t="n"/>
    </row>
    <row r="1088">
      <c r="A1088" s="26">
        <f>IF($B1088="","",ROW()-3)</f>
        <v/>
      </c>
      <c r="B1088" s="27" t="n"/>
      <c r="C1088" s="27" t="n"/>
      <c r="D1088" s="28" t="n"/>
      <c r="E1088" s="29" t="n"/>
      <c r="F1088" s="30" t="n"/>
      <c r="G1088" s="31" t="n"/>
      <c r="H1088" s="31" t="n"/>
      <c r="I1088" s="31" t="n"/>
      <c r="J1088" s="31" t="n"/>
      <c r="K1088" s="31" t="n"/>
      <c r="L1088" s="31" t="n"/>
      <c r="M1088" s="31" t="n"/>
      <c r="N1088" s="31" t="n"/>
      <c r="O1088" s="31" t="n"/>
      <c r="P1088" s="31" t="n"/>
      <c r="Q1088" s="31" t="n"/>
      <c r="R1088" s="31" t="n"/>
      <c r="S1088" s="32">
        <f>IF($F1088="","",IF(IFERROR(VLOOKUP($F1088,'维度字典'!$I$2:$J$50,2,0),"求和")="手工录入","",IF(IFERROR(VLOOKUP($F1088,'维度字典'!$I$2:$J$50,2,0),"求和")="最新值",IFERROR(LOOKUP(9.99E+307,G1088:R1088),""),SUM(G1088:R1088))))</f>
        <v/>
      </c>
      <c r="T1088" s="33" t="n"/>
      <c r="U1088" s="33" t="n"/>
    </row>
    <row r="1089">
      <c r="A1089" s="26">
        <f>IF($B1089="","",ROW()-3)</f>
        <v/>
      </c>
      <c r="B1089" s="27" t="n"/>
      <c r="C1089" s="27" t="n"/>
      <c r="D1089" s="28" t="n"/>
      <c r="E1089" s="29" t="n"/>
      <c r="F1089" s="30" t="n"/>
      <c r="G1089" s="31" t="n"/>
      <c r="H1089" s="31" t="n"/>
      <c r="I1089" s="31" t="n"/>
      <c r="J1089" s="31" t="n"/>
      <c r="K1089" s="31" t="n"/>
      <c r="L1089" s="31" t="n"/>
      <c r="M1089" s="31" t="n"/>
      <c r="N1089" s="31" t="n"/>
      <c r="O1089" s="31" t="n"/>
      <c r="P1089" s="31" t="n"/>
      <c r="Q1089" s="31" t="n"/>
      <c r="R1089" s="31" t="n"/>
      <c r="S1089" s="32">
        <f>IF($F1089="","",IF(IFERROR(VLOOKUP($F1089,'维度字典'!$I$2:$J$50,2,0),"求和")="手工录入","",IF(IFERROR(VLOOKUP($F1089,'维度字典'!$I$2:$J$50,2,0),"求和")="最新值",IFERROR(LOOKUP(9.99E+307,G1089:R1089),""),SUM(G1089:R1089))))</f>
        <v/>
      </c>
      <c r="T1089" s="33" t="n"/>
      <c r="U1089" s="33" t="n"/>
    </row>
    <row r="1090">
      <c r="A1090" s="26">
        <f>IF($B1090="","",ROW()-3)</f>
        <v/>
      </c>
      <c r="B1090" s="27" t="n"/>
      <c r="C1090" s="27" t="n"/>
      <c r="D1090" s="28" t="n"/>
      <c r="E1090" s="29" t="n"/>
      <c r="F1090" s="30" t="n"/>
      <c r="G1090" s="31" t="n"/>
      <c r="H1090" s="31" t="n"/>
      <c r="I1090" s="31" t="n"/>
      <c r="J1090" s="31" t="n"/>
      <c r="K1090" s="31" t="n"/>
      <c r="L1090" s="31" t="n"/>
      <c r="M1090" s="31" t="n"/>
      <c r="N1090" s="31" t="n"/>
      <c r="O1090" s="31" t="n"/>
      <c r="P1090" s="31" t="n"/>
      <c r="Q1090" s="31" t="n"/>
      <c r="R1090" s="31" t="n"/>
      <c r="S1090" s="32">
        <f>IF($F1090="","",IF(IFERROR(VLOOKUP($F1090,'维度字典'!$I$2:$J$50,2,0),"求和")="手工录入","",IF(IFERROR(VLOOKUP($F1090,'维度字典'!$I$2:$J$50,2,0),"求和")="最新值",IFERROR(LOOKUP(9.99E+307,G1090:R1090),""),SUM(G1090:R1090))))</f>
        <v/>
      </c>
      <c r="T1090" s="33" t="n"/>
      <c r="U1090" s="33" t="n"/>
    </row>
    <row r="1091">
      <c r="A1091" s="26">
        <f>IF($B1091="","",ROW()-3)</f>
        <v/>
      </c>
      <c r="B1091" s="27" t="n"/>
      <c r="C1091" s="27" t="n"/>
      <c r="D1091" s="28" t="n"/>
      <c r="E1091" s="29" t="n"/>
      <c r="F1091" s="30" t="n"/>
      <c r="G1091" s="31" t="n"/>
      <c r="H1091" s="31" t="n"/>
      <c r="I1091" s="31" t="n"/>
      <c r="J1091" s="31" t="n"/>
      <c r="K1091" s="31" t="n"/>
      <c r="L1091" s="31" t="n"/>
      <c r="M1091" s="31" t="n"/>
      <c r="N1091" s="31" t="n"/>
      <c r="O1091" s="31" t="n"/>
      <c r="P1091" s="31" t="n"/>
      <c r="Q1091" s="31" t="n"/>
      <c r="R1091" s="31" t="n"/>
      <c r="S1091" s="32">
        <f>IF($F1091="","",IF(IFERROR(VLOOKUP($F1091,'维度字典'!$I$2:$J$50,2,0),"求和")="手工录入","",IF(IFERROR(VLOOKUP($F1091,'维度字典'!$I$2:$J$50,2,0),"求和")="最新值",IFERROR(LOOKUP(9.99E+307,G1091:R1091),""),SUM(G1091:R1091))))</f>
        <v/>
      </c>
      <c r="T1091" s="33" t="n"/>
      <c r="U1091" s="33" t="n"/>
    </row>
    <row r="1092">
      <c r="A1092" s="26">
        <f>IF($B1092="","",ROW()-3)</f>
        <v/>
      </c>
      <c r="B1092" s="27" t="n"/>
      <c r="C1092" s="27" t="n"/>
      <c r="D1092" s="28" t="n"/>
      <c r="E1092" s="29" t="n"/>
      <c r="F1092" s="30" t="n"/>
      <c r="G1092" s="31" t="n"/>
      <c r="H1092" s="31" t="n"/>
      <c r="I1092" s="31" t="n"/>
      <c r="J1092" s="31" t="n"/>
      <c r="K1092" s="31" t="n"/>
      <c r="L1092" s="31" t="n"/>
      <c r="M1092" s="31" t="n"/>
      <c r="N1092" s="31" t="n"/>
      <c r="O1092" s="31" t="n"/>
      <c r="P1092" s="31" t="n"/>
      <c r="Q1092" s="31" t="n"/>
      <c r="R1092" s="31" t="n"/>
      <c r="S1092" s="32">
        <f>IF($F1092="","",IF(IFERROR(VLOOKUP($F1092,'维度字典'!$I$2:$J$50,2,0),"求和")="手工录入","",IF(IFERROR(VLOOKUP($F1092,'维度字典'!$I$2:$J$50,2,0),"求和")="最新值",IFERROR(LOOKUP(9.99E+307,G1092:R1092),""),SUM(G1092:R1092))))</f>
        <v/>
      </c>
      <c r="T1092" s="33" t="n"/>
      <c r="U1092" s="33" t="n"/>
    </row>
    <row r="1093">
      <c r="A1093" s="26">
        <f>IF($B1093="","",ROW()-3)</f>
        <v/>
      </c>
      <c r="B1093" s="27" t="n"/>
      <c r="C1093" s="27" t="n"/>
      <c r="D1093" s="28" t="n"/>
      <c r="E1093" s="29" t="n"/>
      <c r="F1093" s="30" t="n"/>
      <c r="G1093" s="31" t="n"/>
      <c r="H1093" s="31" t="n"/>
      <c r="I1093" s="31" t="n"/>
      <c r="J1093" s="31" t="n"/>
      <c r="K1093" s="31" t="n"/>
      <c r="L1093" s="31" t="n"/>
      <c r="M1093" s="31" t="n"/>
      <c r="N1093" s="31" t="n"/>
      <c r="O1093" s="31" t="n"/>
      <c r="P1093" s="31" t="n"/>
      <c r="Q1093" s="31" t="n"/>
      <c r="R1093" s="31" t="n"/>
      <c r="S1093" s="32">
        <f>IF($F1093="","",IF(IFERROR(VLOOKUP($F1093,'维度字典'!$I$2:$J$50,2,0),"求和")="手工录入","",IF(IFERROR(VLOOKUP($F1093,'维度字典'!$I$2:$J$50,2,0),"求和")="最新值",IFERROR(LOOKUP(9.99E+307,G1093:R1093),""),SUM(G1093:R1093))))</f>
        <v/>
      </c>
      <c r="T1093" s="33" t="n"/>
      <c r="U1093" s="33" t="n"/>
    </row>
    <row r="1094">
      <c r="A1094" s="26">
        <f>IF($B1094="","",ROW()-3)</f>
        <v/>
      </c>
      <c r="B1094" s="27" t="n"/>
      <c r="C1094" s="27" t="n"/>
      <c r="D1094" s="28" t="n"/>
      <c r="E1094" s="29" t="n"/>
      <c r="F1094" s="30" t="n"/>
      <c r="G1094" s="31" t="n"/>
      <c r="H1094" s="31" t="n"/>
      <c r="I1094" s="31" t="n"/>
      <c r="J1094" s="31" t="n"/>
      <c r="K1094" s="31" t="n"/>
      <c r="L1094" s="31" t="n"/>
      <c r="M1094" s="31" t="n"/>
      <c r="N1094" s="31" t="n"/>
      <c r="O1094" s="31" t="n"/>
      <c r="P1094" s="31" t="n"/>
      <c r="Q1094" s="31" t="n"/>
      <c r="R1094" s="31" t="n"/>
      <c r="S1094" s="32">
        <f>IF($F1094="","",IF(IFERROR(VLOOKUP($F1094,'维度字典'!$I$2:$J$50,2,0),"求和")="手工录入","",IF(IFERROR(VLOOKUP($F1094,'维度字典'!$I$2:$J$50,2,0),"求和")="最新值",IFERROR(LOOKUP(9.99E+307,G1094:R1094),""),SUM(G1094:R1094))))</f>
        <v/>
      </c>
      <c r="T1094" s="33" t="n"/>
      <c r="U1094" s="33" t="n"/>
    </row>
    <row r="1095">
      <c r="A1095" s="26">
        <f>IF($B1095="","",ROW()-3)</f>
        <v/>
      </c>
      <c r="B1095" s="27" t="n"/>
      <c r="C1095" s="27" t="n"/>
      <c r="D1095" s="28" t="n"/>
      <c r="E1095" s="29" t="n"/>
      <c r="F1095" s="30" t="n"/>
      <c r="G1095" s="31" t="n"/>
      <c r="H1095" s="31" t="n"/>
      <c r="I1095" s="31" t="n"/>
      <c r="J1095" s="31" t="n"/>
      <c r="K1095" s="31" t="n"/>
      <c r="L1095" s="31" t="n"/>
      <c r="M1095" s="31" t="n"/>
      <c r="N1095" s="31" t="n"/>
      <c r="O1095" s="31" t="n"/>
      <c r="P1095" s="31" t="n"/>
      <c r="Q1095" s="31" t="n"/>
      <c r="R1095" s="31" t="n"/>
      <c r="S1095" s="32">
        <f>IF($F1095="","",IF(IFERROR(VLOOKUP($F1095,'维度字典'!$I$2:$J$50,2,0),"求和")="手工录入","",IF(IFERROR(VLOOKUP($F1095,'维度字典'!$I$2:$J$50,2,0),"求和")="最新值",IFERROR(LOOKUP(9.99E+307,G1095:R1095),""),SUM(G1095:R1095))))</f>
        <v/>
      </c>
      <c r="T1095" s="33" t="n"/>
      <c r="U1095" s="33" t="n"/>
    </row>
    <row r="1096">
      <c r="A1096" s="26">
        <f>IF($B1096="","",ROW()-3)</f>
        <v/>
      </c>
      <c r="B1096" s="27" t="n"/>
      <c r="C1096" s="27" t="n"/>
      <c r="D1096" s="28" t="n"/>
      <c r="E1096" s="29" t="n"/>
      <c r="F1096" s="30" t="n"/>
      <c r="G1096" s="31" t="n"/>
      <c r="H1096" s="31" t="n"/>
      <c r="I1096" s="31" t="n"/>
      <c r="J1096" s="31" t="n"/>
      <c r="K1096" s="31" t="n"/>
      <c r="L1096" s="31" t="n"/>
      <c r="M1096" s="31" t="n"/>
      <c r="N1096" s="31" t="n"/>
      <c r="O1096" s="31" t="n"/>
      <c r="P1096" s="31" t="n"/>
      <c r="Q1096" s="31" t="n"/>
      <c r="R1096" s="31" t="n"/>
      <c r="S1096" s="32">
        <f>IF($F1096="","",IF(IFERROR(VLOOKUP($F1096,'维度字典'!$I$2:$J$50,2,0),"求和")="手工录入","",IF(IFERROR(VLOOKUP($F1096,'维度字典'!$I$2:$J$50,2,0),"求和")="最新值",IFERROR(LOOKUP(9.99E+307,G1096:R1096),""),SUM(G1096:R1096))))</f>
        <v/>
      </c>
      <c r="T1096" s="33" t="n"/>
      <c r="U1096" s="33" t="n"/>
    </row>
    <row r="1097">
      <c r="A1097" s="26">
        <f>IF($B1097="","",ROW()-3)</f>
        <v/>
      </c>
      <c r="B1097" s="27" t="n"/>
      <c r="C1097" s="27" t="n"/>
      <c r="D1097" s="28" t="n"/>
      <c r="E1097" s="29" t="n"/>
      <c r="F1097" s="30" t="n"/>
      <c r="G1097" s="31" t="n"/>
      <c r="H1097" s="31" t="n"/>
      <c r="I1097" s="31" t="n"/>
      <c r="J1097" s="31" t="n"/>
      <c r="K1097" s="31" t="n"/>
      <c r="L1097" s="31" t="n"/>
      <c r="M1097" s="31" t="n"/>
      <c r="N1097" s="31" t="n"/>
      <c r="O1097" s="31" t="n"/>
      <c r="P1097" s="31" t="n"/>
      <c r="Q1097" s="31" t="n"/>
      <c r="R1097" s="31" t="n"/>
      <c r="S1097" s="32">
        <f>IF($F1097="","",IF(IFERROR(VLOOKUP($F1097,'维度字典'!$I$2:$J$50,2,0),"求和")="手工录入","",IF(IFERROR(VLOOKUP($F1097,'维度字典'!$I$2:$J$50,2,0),"求和")="最新值",IFERROR(LOOKUP(9.99E+307,G1097:R1097),""),SUM(G1097:R1097))))</f>
        <v/>
      </c>
      <c r="T1097" s="33" t="n"/>
      <c r="U1097" s="33" t="n"/>
    </row>
    <row r="1098">
      <c r="A1098" s="26">
        <f>IF($B1098="","",ROW()-3)</f>
        <v/>
      </c>
      <c r="B1098" s="27" t="n"/>
      <c r="C1098" s="27" t="n"/>
      <c r="D1098" s="28" t="n"/>
      <c r="E1098" s="29" t="n"/>
      <c r="F1098" s="30" t="n"/>
      <c r="G1098" s="31" t="n"/>
      <c r="H1098" s="31" t="n"/>
      <c r="I1098" s="31" t="n"/>
      <c r="J1098" s="31" t="n"/>
      <c r="K1098" s="31" t="n"/>
      <c r="L1098" s="31" t="n"/>
      <c r="M1098" s="31" t="n"/>
      <c r="N1098" s="31" t="n"/>
      <c r="O1098" s="31" t="n"/>
      <c r="P1098" s="31" t="n"/>
      <c r="Q1098" s="31" t="n"/>
      <c r="R1098" s="31" t="n"/>
      <c r="S1098" s="32">
        <f>IF($F1098="","",IF(IFERROR(VLOOKUP($F1098,'维度字典'!$I$2:$J$50,2,0),"求和")="手工录入","",IF(IFERROR(VLOOKUP($F1098,'维度字典'!$I$2:$J$50,2,0),"求和")="最新值",IFERROR(LOOKUP(9.99E+307,G1098:R1098),""),SUM(G1098:R1098))))</f>
        <v/>
      </c>
      <c r="T1098" s="33" t="n"/>
      <c r="U1098" s="33" t="n"/>
    </row>
    <row r="1099">
      <c r="A1099" s="26">
        <f>IF($B1099="","",ROW()-3)</f>
        <v/>
      </c>
      <c r="B1099" s="27" t="n"/>
      <c r="C1099" s="27" t="n"/>
      <c r="D1099" s="28" t="n"/>
      <c r="E1099" s="29" t="n"/>
      <c r="F1099" s="30" t="n"/>
      <c r="G1099" s="31" t="n"/>
      <c r="H1099" s="31" t="n"/>
      <c r="I1099" s="31" t="n"/>
      <c r="J1099" s="31" t="n"/>
      <c r="K1099" s="31" t="n"/>
      <c r="L1099" s="31" t="n"/>
      <c r="M1099" s="31" t="n"/>
      <c r="N1099" s="31" t="n"/>
      <c r="O1099" s="31" t="n"/>
      <c r="P1099" s="31" t="n"/>
      <c r="Q1099" s="31" t="n"/>
      <c r="R1099" s="31" t="n"/>
      <c r="S1099" s="32">
        <f>IF($F1099="","",IF(IFERROR(VLOOKUP($F1099,'维度字典'!$I$2:$J$50,2,0),"求和")="手工录入","",IF(IFERROR(VLOOKUP($F1099,'维度字典'!$I$2:$J$50,2,0),"求和")="最新值",IFERROR(LOOKUP(9.99E+307,G1099:R1099),""),SUM(G1099:R1099))))</f>
        <v/>
      </c>
      <c r="T1099" s="33" t="n"/>
      <c r="U1099" s="33" t="n"/>
    </row>
    <row r="1100">
      <c r="A1100" s="26">
        <f>IF($B1100="","",ROW()-3)</f>
        <v/>
      </c>
      <c r="B1100" s="27" t="n"/>
      <c r="C1100" s="27" t="n"/>
      <c r="D1100" s="28" t="n"/>
      <c r="E1100" s="29" t="n"/>
      <c r="F1100" s="30" t="n"/>
      <c r="G1100" s="31" t="n"/>
      <c r="H1100" s="31" t="n"/>
      <c r="I1100" s="31" t="n"/>
      <c r="J1100" s="31" t="n"/>
      <c r="K1100" s="31" t="n"/>
      <c r="L1100" s="31" t="n"/>
      <c r="M1100" s="31" t="n"/>
      <c r="N1100" s="31" t="n"/>
      <c r="O1100" s="31" t="n"/>
      <c r="P1100" s="31" t="n"/>
      <c r="Q1100" s="31" t="n"/>
      <c r="R1100" s="31" t="n"/>
      <c r="S1100" s="32">
        <f>IF($F1100="","",IF(IFERROR(VLOOKUP($F1100,'维度字典'!$I$2:$J$50,2,0),"求和")="手工录入","",IF(IFERROR(VLOOKUP($F1100,'维度字典'!$I$2:$J$50,2,0),"求和")="最新值",IFERROR(LOOKUP(9.99E+307,G1100:R1100),""),SUM(G1100:R1100))))</f>
        <v/>
      </c>
      <c r="T1100" s="33" t="n"/>
      <c r="U1100" s="33" t="n"/>
    </row>
    <row r="1101">
      <c r="A1101" s="26">
        <f>IF($B1101="","",ROW()-3)</f>
        <v/>
      </c>
      <c r="B1101" s="27" t="n"/>
      <c r="C1101" s="27" t="n"/>
      <c r="D1101" s="28" t="n"/>
      <c r="E1101" s="29" t="n"/>
      <c r="F1101" s="30" t="n"/>
      <c r="G1101" s="31" t="n"/>
      <c r="H1101" s="31" t="n"/>
      <c r="I1101" s="31" t="n"/>
      <c r="J1101" s="31" t="n"/>
      <c r="K1101" s="31" t="n"/>
      <c r="L1101" s="31" t="n"/>
      <c r="M1101" s="31" t="n"/>
      <c r="N1101" s="31" t="n"/>
      <c r="O1101" s="31" t="n"/>
      <c r="P1101" s="31" t="n"/>
      <c r="Q1101" s="31" t="n"/>
      <c r="R1101" s="31" t="n"/>
      <c r="S1101" s="32">
        <f>IF($F1101="","",IF(IFERROR(VLOOKUP($F1101,'维度字典'!$I$2:$J$50,2,0),"求和")="手工录入","",IF(IFERROR(VLOOKUP($F1101,'维度字典'!$I$2:$J$50,2,0),"求和")="最新值",IFERROR(LOOKUP(9.99E+307,G1101:R1101),""),SUM(G1101:R1101))))</f>
        <v/>
      </c>
      <c r="T1101" s="33" t="n"/>
      <c r="U1101" s="33" t="n"/>
    </row>
    <row r="1102">
      <c r="A1102" s="26">
        <f>IF($B1102="","",ROW()-3)</f>
        <v/>
      </c>
      <c r="B1102" s="27" t="n"/>
      <c r="C1102" s="27" t="n"/>
      <c r="D1102" s="28" t="n"/>
      <c r="E1102" s="29" t="n"/>
      <c r="F1102" s="30" t="n"/>
      <c r="G1102" s="31" t="n"/>
      <c r="H1102" s="31" t="n"/>
      <c r="I1102" s="31" t="n"/>
      <c r="J1102" s="31" t="n"/>
      <c r="K1102" s="31" t="n"/>
      <c r="L1102" s="31" t="n"/>
      <c r="M1102" s="31" t="n"/>
      <c r="N1102" s="31" t="n"/>
      <c r="O1102" s="31" t="n"/>
      <c r="P1102" s="31" t="n"/>
      <c r="Q1102" s="31" t="n"/>
      <c r="R1102" s="31" t="n"/>
      <c r="S1102" s="32">
        <f>IF($F1102="","",IF(IFERROR(VLOOKUP($F1102,'维度字典'!$I$2:$J$50,2,0),"求和")="手工录入","",IF(IFERROR(VLOOKUP($F1102,'维度字典'!$I$2:$J$50,2,0),"求和")="最新值",IFERROR(LOOKUP(9.99E+307,G1102:R1102),""),SUM(G1102:R1102))))</f>
        <v/>
      </c>
      <c r="T1102" s="33" t="n"/>
      <c r="U1102" s="33" t="n"/>
    </row>
    <row r="1103">
      <c r="A1103" s="26">
        <f>IF($B1103="","",ROW()-3)</f>
        <v/>
      </c>
      <c r="B1103" s="27" t="n"/>
      <c r="C1103" s="27" t="n"/>
      <c r="D1103" s="28" t="n"/>
      <c r="E1103" s="29" t="n"/>
      <c r="F1103" s="30" t="n"/>
      <c r="G1103" s="31" t="n"/>
      <c r="H1103" s="31" t="n"/>
      <c r="I1103" s="31" t="n"/>
      <c r="J1103" s="31" t="n"/>
      <c r="K1103" s="31" t="n"/>
      <c r="L1103" s="31" t="n"/>
      <c r="M1103" s="31" t="n"/>
      <c r="N1103" s="31" t="n"/>
      <c r="O1103" s="31" t="n"/>
      <c r="P1103" s="31" t="n"/>
      <c r="Q1103" s="31" t="n"/>
      <c r="R1103" s="31" t="n"/>
      <c r="S1103" s="32">
        <f>IF($F1103="","",IF(IFERROR(VLOOKUP($F1103,'维度字典'!$I$2:$J$50,2,0),"求和")="手工录入","",IF(IFERROR(VLOOKUP($F1103,'维度字典'!$I$2:$J$50,2,0),"求和")="最新值",IFERROR(LOOKUP(9.99E+307,G1103:R1103),""),SUM(G1103:R1103))))</f>
        <v/>
      </c>
      <c r="T1103" s="33" t="n"/>
      <c r="U1103" s="33" t="n"/>
    </row>
    <row r="1104">
      <c r="A1104" s="26">
        <f>IF($B1104="","",ROW()-3)</f>
        <v/>
      </c>
      <c r="B1104" s="27" t="n"/>
      <c r="C1104" s="27" t="n"/>
      <c r="D1104" s="28" t="n"/>
      <c r="E1104" s="29" t="n"/>
      <c r="F1104" s="30" t="n"/>
      <c r="G1104" s="31" t="n"/>
      <c r="H1104" s="31" t="n"/>
      <c r="I1104" s="31" t="n"/>
      <c r="J1104" s="31" t="n"/>
      <c r="K1104" s="31" t="n"/>
      <c r="L1104" s="31" t="n"/>
      <c r="M1104" s="31" t="n"/>
      <c r="N1104" s="31" t="n"/>
      <c r="O1104" s="31" t="n"/>
      <c r="P1104" s="31" t="n"/>
      <c r="Q1104" s="31" t="n"/>
      <c r="R1104" s="31" t="n"/>
      <c r="S1104" s="32">
        <f>IF($F1104="","",IF(IFERROR(VLOOKUP($F1104,'维度字典'!$I$2:$J$50,2,0),"求和")="手工录入","",IF(IFERROR(VLOOKUP($F1104,'维度字典'!$I$2:$J$50,2,0),"求和")="最新值",IFERROR(LOOKUP(9.99E+307,G1104:R1104),""),SUM(G1104:R1104))))</f>
        <v/>
      </c>
      <c r="T1104" s="33" t="n"/>
      <c r="U1104" s="33" t="n"/>
    </row>
    <row r="1105">
      <c r="A1105" s="26">
        <f>IF($B1105="","",ROW()-3)</f>
        <v/>
      </c>
      <c r="B1105" s="27" t="n"/>
      <c r="C1105" s="27" t="n"/>
      <c r="D1105" s="28" t="n"/>
      <c r="E1105" s="29" t="n"/>
      <c r="F1105" s="30" t="n"/>
      <c r="G1105" s="31" t="n"/>
      <c r="H1105" s="31" t="n"/>
      <c r="I1105" s="31" t="n"/>
      <c r="J1105" s="31" t="n"/>
      <c r="K1105" s="31" t="n"/>
      <c r="L1105" s="31" t="n"/>
      <c r="M1105" s="31" t="n"/>
      <c r="N1105" s="31" t="n"/>
      <c r="O1105" s="31" t="n"/>
      <c r="P1105" s="31" t="n"/>
      <c r="Q1105" s="31" t="n"/>
      <c r="R1105" s="31" t="n"/>
      <c r="S1105" s="32">
        <f>IF($F1105="","",IF(IFERROR(VLOOKUP($F1105,'维度字典'!$I$2:$J$50,2,0),"求和")="手工录入","",IF(IFERROR(VLOOKUP($F1105,'维度字典'!$I$2:$J$50,2,0),"求和")="最新值",IFERROR(LOOKUP(9.99E+307,G1105:R1105),""),SUM(G1105:R1105))))</f>
        <v/>
      </c>
      <c r="T1105" s="33" t="n"/>
      <c r="U1105" s="33" t="n"/>
    </row>
    <row r="1106">
      <c r="A1106" s="26">
        <f>IF($B1106="","",ROW()-3)</f>
        <v/>
      </c>
      <c r="B1106" s="27" t="n"/>
      <c r="C1106" s="27" t="n"/>
      <c r="D1106" s="28" t="n"/>
      <c r="E1106" s="29" t="n"/>
      <c r="F1106" s="30" t="n"/>
      <c r="G1106" s="31" t="n"/>
      <c r="H1106" s="31" t="n"/>
      <c r="I1106" s="31" t="n"/>
      <c r="J1106" s="31" t="n"/>
      <c r="K1106" s="31" t="n"/>
      <c r="L1106" s="31" t="n"/>
      <c r="M1106" s="31" t="n"/>
      <c r="N1106" s="31" t="n"/>
      <c r="O1106" s="31" t="n"/>
      <c r="P1106" s="31" t="n"/>
      <c r="Q1106" s="31" t="n"/>
      <c r="R1106" s="31" t="n"/>
      <c r="S1106" s="32">
        <f>IF($F1106="","",IF(IFERROR(VLOOKUP($F1106,'维度字典'!$I$2:$J$50,2,0),"求和")="手工录入","",IF(IFERROR(VLOOKUP($F1106,'维度字典'!$I$2:$J$50,2,0),"求和")="最新值",IFERROR(LOOKUP(9.99E+307,G1106:R1106),""),SUM(G1106:R1106))))</f>
        <v/>
      </c>
      <c r="T1106" s="33" t="n"/>
      <c r="U1106" s="33" t="n"/>
    </row>
    <row r="1107">
      <c r="A1107" s="26">
        <f>IF($B1107="","",ROW()-3)</f>
        <v/>
      </c>
      <c r="B1107" s="27" t="n"/>
      <c r="C1107" s="27" t="n"/>
      <c r="D1107" s="28" t="n"/>
      <c r="E1107" s="29" t="n"/>
      <c r="F1107" s="30" t="n"/>
      <c r="G1107" s="31" t="n"/>
      <c r="H1107" s="31" t="n"/>
      <c r="I1107" s="31" t="n"/>
      <c r="J1107" s="31" t="n"/>
      <c r="K1107" s="31" t="n"/>
      <c r="L1107" s="31" t="n"/>
      <c r="M1107" s="31" t="n"/>
      <c r="N1107" s="31" t="n"/>
      <c r="O1107" s="31" t="n"/>
      <c r="P1107" s="31" t="n"/>
      <c r="Q1107" s="31" t="n"/>
      <c r="R1107" s="31" t="n"/>
      <c r="S1107" s="32">
        <f>IF($F1107="","",IF(IFERROR(VLOOKUP($F1107,'维度字典'!$I$2:$J$50,2,0),"求和")="手工录入","",IF(IFERROR(VLOOKUP($F1107,'维度字典'!$I$2:$J$50,2,0),"求和")="最新值",IFERROR(LOOKUP(9.99E+307,G1107:R1107),""),SUM(G1107:R1107))))</f>
        <v/>
      </c>
      <c r="T1107" s="33" t="n"/>
      <c r="U1107" s="33" t="n"/>
    </row>
    <row r="1108">
      <c r="A1108" s="26">
        <f>IF($B1108="","",ROW()-3)</f>
        <v/>
      </c>
      <c r="B1108" s="27" t="n"/>
      <c r="C1108" s="27" t="n"/>
      <c r="D1108" s="28" t="n"/>
      <c r="E1108" s="29" t="n"/>
      <c r="F1108" s="30" t="n"/>
      <c r="G1108" s="31" t="n"/>
      <c r="H1108" s="31" t="n"/>
      <c r="I1108" s="31" t="n"/>
      <c r="J1108" s="31" t="n"/>
      <c r="K1108" s="31" t="n"/>
      <c r="L1108" s="31" t="n"/>
      <c r="M1108" s="31" t="n"/>
      <c r="N1108" s="31" t="n"/>
      <c r="O1108" s="31" t="n"/>
      <c r="P1108" s="31" t="n"/>
      <c r="Q1108" s="31" t="n"/>
      <c r="R1108" s="31" t="n"/>
      <c r="S1108" s="32">
        <f>IF($F1108="","",IF(IFERROR(VLOOKUP($F1108,'维度字典'!$I$2:$J$50,2,0),"求和")="手工录入","",IF(IFERROR(VLOOKUP($F1108,'维度字典'!$I$2:$J$50,2,0),"求和")="最新值",IFERROR(LOOKUP(9.99E+307,G1108:R1108),""),SUM(G1108:R1108))))</f>
        <v/>
      </c>
      <c r="T1108" s="33" t="n"/>
      <c r="U1108" s="33" t="n"/>
    </row>
    <row r="1109">
      <c r="A1109" s="26">
        <f>IF($B1109="","",ROW()-3)</f>
        <v/>
      </c>
      <c r="B1109" s="27" t="n"/>
      <c r="C1109" s="27" t="n"/>
      <c r="D1109" s="28" t="n"/>
      <c r="E1109" s="29" t="n"/>
      <c r="F1109" s="30" t="n"/>
      <c r="G1109" s="31" t="n"/>
      <c r="H1109" s="31" t="n"/>
      <c r="I1109" s="31" t="n"/>
      <c r="J1109" s="31" t="n"/>
      <c r="K1109" s="31" t="n"/>
      <c r="L1109" s="31" t="n"/>
      <c r="M1109" s="31" t="n"/>
      <c r="N1109" s="31" t="n"/>
      <c r="O1109" s="31" t="n"/>
      <c r="P1109" s="31" t="n"/>
      <c r="Q1109" s="31" t="n"/>
      <c r="R1109" s="31" t="n"/>
      <c r="S1109" s="32">
        <f>IF($F1109="","",IF(IFERROR(VLOOKUP($F1109,'维度字典'!$I$2:$J$50,2,0),"求和")="手工录入","",IF(IFERROR(VLOOKUP($F1109,'维度字典'!$I$2:$J$50,2,0),"求和")="最新值",IFERROR(LOOKUP(9.99E+307,G1109:R1109),""),SUM(G1109:R1109))))</f>
        <v/>
      </c>
      <c r="T1109" s="33" t="n"/>
      <c r="U1109" s="33" t="n"/>
    </row>
    <row r="1110">
      <c r="A1110" s="26">
        <f>IF($B1110="","",ROW()-3)</f>
        <v/>
      </c>
      <c r="B1110" s="27" t="n"/>
      <c r="C1110" s="27" t="n"/>
      <c r="D1110" s="28" t="n"/>
      <c r="E1110" s="29" t="n"/>
      <c r="F1110" s="30" t="n"/>
      <c r="G1110" s="31" t="n"/>
      <c r="H1110" s="31" t="n"/>
      <c r="I1110" s="31" t="n"/>
      <c r="J1110" s="31" t="n"/>
      <c r="K1110" s="31" t="n"/>
      <c r="L1110" s="31" t="n"/>
      <c r="M1110" s="31" t="n"/>
      <c r="N1110" s="31" t="n"/>
      <c r="O1110" s="31" t="n"/>
      <c r="P1110" s="31" t="n"/>
      <c r="Q1110" s="31" t="n"/>
      <c r="R1110" s="31" t="n"/>
      <c r="S1110" s="32">
        <f>IF($F1110="","",IF(IFERROR(VLOOKUP($F1110,'维度字典'!$I$2:$J$50,2,0),"求和")="手工录入","",IF(IFERROR(VLOOKUP($F1110,'维度字典'!$I$2:$J$50,2,0),"求和")="最新值",IFERROR(LOOKUP(9.99E+307,G1110:R1110),""),SUM(G1110:R1110))))</f>
        <v/>
      </c>
      <c r="T1110" s="33" t="n"/>
      <c r="U1110" s="33" t="n"/>
    </row>
    <row r="1111">
      <c r="A1111" s="26">
        <f>IF($B1111="","",ROW()-3)</f>
        <v/>
      </c>
      <c r="B1111" s="27" t="n"/>
      <c r="C1111" s="27" t="n"/>
      <c r="D1111" s="28" t="n"/>
      <c r="E1111" s="29" t="n"/>
      <c r="F1111" s="30" t="n"/>
      <c r="G1111" s="31" t="n"/>
      <c r="H1111" s="31" t="n"/>
      <c r="I1111" s="31" t="n"/>
      <c r="J1111" s="31" t="n"/>
      <c r="K1111" s="31" t="n"/>
      <c r="L1111" s="31" t="n"/>
      <c r="M1111" s="31" t="n"/>
      <c r="N1111" s="31" t="n"/>
      <c r="O1111" s="31" t="n"/>
      <c r="P1111" s="31" t="n"/>
      <c r="Q1111" s="31" t="n"/>
      <c r="R1111" s="31" t="n"/>
      <c r="S1111" s="32">
        <f>IF($F1111="","",IF(IFERROR(VLOOKUP($F1111,'维度字典'!$I$2:$J$50,2,0),"求和")="手工录入","",IF(IFERROR(VLOOKUP($F1111,'维度字典'!$I$2:$J$50,2,0),"求和")="最新值",IFERROR(LOOKUP(9.99E+307,G1111:R1111),""),SUM(G1111:R1111))))</f>
        <v/>
      </c>
      <c r="T1111" s="33" t="n"/>
      <c r="U1111" s="33" t="n"/>
    </row>
    <row r="1112">
      <c r="A1112" s="26">
        <f>IF($B1112="","",ROW()-3)</f>
        <v/>
      </c>
      <c r="B1112" s="27" t="n"/>
      <c r="C1112" s="27" t="n"/>
      <c r="D1112" s="28" t="n"/>
      <c r="E1112" s="29" t="n"/>
      <c r="F1112" s="30" t="n"/>
      <c r="G1112" s="31" t="n"/>
      <c r="H1112" s="31" t="n"/>
      <c r="I1112" s="31" t="n"/>
      <c r="J1112" s="31" t="n"/>
      <c r="K1112" s="31" t="n"/>
      <c r="L1112" s="31" t="n"/>
      <c r="M1112" s="31" t="n"/>
      <c r="N1112" s="31" t="n"/>
      <c r="O1112" s="31" t="n"/>
      <c r="P1112" s="31" t="n"/>
      <c r="Q1112" s="31" t="n"/>
      <c r="R1112" s="31" t="n"/>
      <c r="S1112" s="32">
        <f>IF($F1112="","",IF(IFERROR(VLOOKUP($F1112,'维度字典'!$I$2:$J$50,2,0),"求和")="手工录入","",IF(IFERROR(VLOOKUP($F1112,'维度字典'!$I$2:$J$50,2,0),"求和")="最新值",IFERROR(LOOKUP(9.99E+307,G1112:R1112),""),SUM(G1112:R1112))))</f>
        <v/>
      </c>
      <c r="T1112" s="33" t="n"/>
      <c r="U1112" s="33" t="n"/>
    </row>
    <row r="1113">
      <c r="A1113" s="26">
        <f>IF($B1113="","",ROW()-3)</f>
        <v/>
      </c>
      <c r="B1113" s="27" t="n"/>
      <c r="C1113" s="27" t="n"/>
      <c r="D1113" s="28" t="n"/>
      <c r="E1113" s="29" t="n"/>
      <c r="F1113" s="30" t="n"/>
      <c r="G1113" s="31" t="n"/>
      <c r="H1113" s="31" t="n"/>
      <c r="I1113" s="31" t="n"/>
      <c r="J1113" s="31" t="n"/>
      <c r="K1113" s="31" t="n"/>
      <c r="L1113" s="31" t="n"/>
      <c r="M1113" s="31" t="n"/>
      <c r="N1113" s="31" t="n"/>
      <c r="O1113" s="31" t="n"/>
      <c r="P1113" s="31" t="n"/>
      <c r="Q1113" s="31" t="n"/>
      <c r="R1113" s="31" t="n"/>
      <c r="S1113" s="32">
        <f>IF($F1113="","",IF(IFERROR(VLOOKUP($F1113,'维度字典'!$I$2:$J$50,2,0),"求和")="手工录入","",IF(IFERROR(VLOOKUP($F1113,'维度字典'!$I$2:$J$50,2,0),"求和")="最新值",IFERROR(LOOKUP(9.99E+307,G1113:R1113),""),SUM(G1113:R1113))))</f>
        <v/>
      </c>
      <c r="T1113" s="33" t="n"/>
      <c r="U1113" s="33" t="n"/>
    </row>
    <row r="1114">
      <c r="A1114" s="26">
        <f>IF($B1114="","",ROW()-3)</f>
        <v/>
      </c>
      <c r="B1114" s="27" t="n"/>
      <c r="C1114" s="27" t="n"/>
      <c r="D1114" s="28" t="n"/>
      <c r="E1114" s="29" t="n"/>
      <c r="F1114" s="30" t="n"/>
      <c r="G1114" s="31" t="n"/>
      <c r="H1114" s="31" t="n"/>
      <c r="I1114" s="31" t="n"/>
      <c r="J1114" s="31" t="n"/>
      <c r="K1114" s="31" t="n"/>
      <c r="L1114" s="31" t="n"/>
      <c r="M1114" s="31" t="n"/>
      <c r="N1114" s="31" t="n"/>
      <c r="O1114" s="31" t="n"/>
      <c r="P1114" s="31" t="n"/>
      <c r="Q1114" s="31" t="n"/>
      <c r="R1114" s="31" t="n"/>
      <c r="S1114" s="32">
        <f>IF($F1114="","",IF(IFERROR(VLOOKUP($F1114,'维度字典'!$I$2:$J$50,2,0),"求和")="手工录入","",IF(IFERROR(VLOOKUP($F1114,'维度字典'!$I$2:$J$50,2,0),"求和")="最新值",IFERROR(LOOKUP(9.99E+307,G1114:R1114),""),SUM(G1114:R1114))))</f>
        <v/>
      </c>
      <c r="T1114" s="33" t="n"/>
      <c r="U1114" s="33" t="n"/>
    </row>
    <row r="1115">
      <c r="A1115" s="26">
        <f>IF($B1115="","",ROW()-3)</f>
        <v/>
      </c>
      <c r="B1115" s="27" t="n"/>
      <c r="C1115" s="27" t="n"/>
      <c r="D1115" s="28" t="n"/>
      <c r="E1115" s="29" t="n"/>
      <c r="F1115" s="30" t="n"/>
      <c r="G1115" s="31" t="n"/>
      <c r="H1115" s="31" t="n"/>
      <c r="I1115" s="31" t="n"/>
      <c r="J1115" s="31" t="n"/>
      <c r="K1115" s="31" t="n"/>
      <c r="L1115" s="31" t="n"/>
      <c r="M1115" s="31" t="n"/>
      <c r="N1115" s="31" t="n"/>
      <c r="O1115" s="31" t="n"/>
      <c r="P1115" s="31" t="n"/>
      <c r="Q1115" s="31" t="n"/>
      <c r="R1115" s="31" t="n"/>
      <c r="S1115" s="32">
        <f>IF($F1115="","",IF(IFERROR(VLOOKUP($F1115,'维度字典'!$I$2:$J$50,2,0),"求和")="手工录入","",IF(IFERROR(VLOOKUP($F1115,'维度字典'!$I$2:$J$50,2,0),"求和")="最新值",IFERROR(LOOKUP(9.99E+307,G1115:R1115),""),SUM(G1115:R1115))))</f>
        <v/>
      </c>
      <c r="T1115" s="33" t="n"/>
      <c r="U1115" s="33" t="n"/>
    </row>
    <row r="1116">
      <c r="A1116" s="26">
        <f>IF($B1116="","",ROW()-3)</f>
        <v/>
      </c>
      <c r="B1116" s="27" t="n"/>
      <c r="C1116" s="27" t="n"/>
      <c r="D1116" s="28" t="n"/>
      <c r="E1116" s="29" t="n"/>
      <c r="F1116" s="30" t="n"/>
      <c r="G1116" s="31" t="n"/>
      <c r="H1116" s="31" t="n"/>
      <c r="I1116" s="31" t="n"/>
      <c r="J1116" s="31" t="n"/>
      <c r="K1116" s="31" t="n"/>
      <c r="L1116" s="31" t="n"/>
      <c r="M1116" s="31" t="n"/>
      <c r="N1116" s="31" t="n"/>
      <c r="O1116" s="31" t="n"/>
      <c r="P1116" s="31" t="n"/>
      <c r="Q1116" s="31" t="n"/>
      <c r="R1116" s="31" t="n"/>
      <c r="S1116" s="32">
        <f>IF($F1116="","",IF(IFERROR(VLOOKUP($F1116,'维度字典'!$I$2:$J$50,2,0),"求和")="手工录入","",IF(IFERROR(VLOOKUP($F1116,'维度字典'!$I$2:$J$50,2,0),"求和")="最新值",IFERROR(LOOKUP(9.99E+307,G1116:R1116),""),SUM(G1116:R1116))))</f>
        <v/>
      </c>
      <c r="T1116" s="33" t="n"/>
      <c r="U1116" s="33" t="n"/>
    </row>
    <row r="1117">
      <c r="A1117" s="26">
        <f>IF($B1117="","",ROW()-3)</f>
        <v/>
      </c>
      <c r="B1117" s="27" t="n"/>
      <c r="C1117" s="27" t="n"/>
      <c r="D1117" s="28" t="n"/>
      <c r="E1117" s="29" t="n"/>
      <c r="F1117" s="30" t="n"/>
      <c r="G1117" s="31" t="n"/>
      <c r="H1117" s="31" t="n"/>
      <c r="I1117" s="31" t="n"/>
      <c r="J1117" s="31" t="n"/>
      <c r="K1117" s="31" t="n"/>
      <c r="L1117" s="31" t="n"/>
      <c r="M1117" s="31" t="n"/>
      <c r="N1117" s="31" t="n"/>
      <c r="O1117" s="31" t="n"/>
      <c r="P1117" s="31" t="n"/>
      <c r="Q1117" s="31" t="n"/>
      <c r="R1117" s="31" t="n"/>
      <c r="S1117" s="32">
        <f>IF($F1117="","",IF(IFERROR(VLOOKUP($F1117,'维度字典'!$I$2:$J$50,2,0),"求和")="手工录入","",IF(IFERROR(VLOOKUP($F1117,'维度字典'!$I$2:$J$50,2,0),"求和")="最新值",IFERROR(LOOKUP(9.99E+307,G1117:R1117),""),SUM(G1117:R1117))))</f>
        <v/>
      </c>
      <c r="T1117" s="33" t="n"/>
      <c r="U1117" s="33" t="n"/>
    </row>
    <row r="1118">
      <c r="A1118" s="26">
        <f>IF($B1118="","",ROW()-3)</f>
        <v/>
      </c>
      <c r="B1118" s="27" t="n"/>
      <c r="C1118" s="27" t="n"/>
      <c r="D1118" s="28" t="n"/>
      <c r="E1118" s="29" t="n"/>
      <c r="F1118" s="30" t="n"/>
      <c r="G1118" s="31" t="n"/>
      <c r="H1118" s="31" t="n"/>
      <c r="I1118" s="31" t="n"/>
      <c r="J1118" s="31" t="n"/>
      <c r="K1118" s="31" t="n"/>
      <c r="L1118" s="31" t="n"/>
      <c r="M1118" s="31" t="n"/>
      <c r="N1118" s="31" t="n"/>
      <c r="O1118" s="31" t="n"/>
      <c r="P1118" s="31" t="n"/>
      <c r="Q1118" s="31" t="n"/>
      <c r="R1118" s="31" t="n"/>
      <c r="S1118" s="32">
        <f>IF($F1118="","",IF(IFERROR(VLOOKUP($F1118,'维度字典'!$I$2:$J$50,2,0),"求和")="手工录入","",IF(IFERROR(VLOOKUP($F1118,'维度字典'!$I$2:$J$50,2,0),"求和")="最新值",IFERROR(LOOKUP(9.99E+307,G1118:R1118),""),SUM(G1118:R1118))))</f>
        <v/>
      </c>
      <c r="T1118" s="33" t="n"/>
      <c r="U1118" s="33" t="n"/>
    </row>
    <row r="1119">
      <c r="A1119" s="26">
        <f>IF($B1119="","",ROW()-3)</f>
        <v/>
      </c>
      <c r="B1119" s="27" t="n"/>
      <c r="C1119" s="27" t="n"/>
      <c r="D1119" s="28" t="n"/>
      <c r="E1119" s="29" t="n"/>
      <c r="F1119" s="30" t="n"/>
      <c r="G1119" s="31" t="n"/>
      <c r="H1119" s="31" t="n"/>
      <c r="I1119" s="31" t="n"/>
      <c r="J1119" s="31" t="n"/>
      <c r="K1119" s="31" t="n"/>
      <c r="L1119" s="31" t="n"/>
      <c r="M1119" s="31" t="n"/>
      <c r="N1119" s="31" t="n"/>
      <c r="O1119" s="31" t="n"/>
      <c r="P1119" s="31" t="n"/>
      <c r="Q1119" s="31" t="n"/>
      <c r="R1119" s="31" t="n"/>
      <c r="S1119" s="32">
        <f>IF($F1119="","",IF(IFERROR(VLOOKUP($F1119,'维度字典'!$I$2:$J$50,2,0),"求和")="手工录入","",IF(IFERROR(VLOOKUP($F1119,'维度字典'!$I$2:$J$50,2,0),"求和")="最新值",IFERROR(LOOKUP(9.99E+307,G1119:R1119),""),SUM(G1119:R1119))))</f>
        <v/>
      </c>
      <c r="T1119" s="33" t="n"/>
      <c r="U1119" s="33" t="n"/>
    </row>
    <row r="1120">
      <c r="A1120" s="26">
        <f>IF($B1120="","",ROW()-3)</f>
        <v/>
      </c>
      <c r="B1120" s="27" t="n"/>
      <c r="C1120" s="27" t="n"/>
      <c r="D1120" s="28" t="n"/>
      <c r="E1120" s="29" t="n"/>
      <c r="F1120" s="30" t="n"/>
      <c r="G1120" s="31" t="n"/>
      <c r="H1120" s="31" t="n"/>
      <c r="I1120" s="31" t="n"/>
      <c r="J1120" s="31" t="n"/>
      <c r="K1120" s="31" t="n"/>
      <c r="L1120" s="31" t="n"/>
      <c r="M1120" s="31" t="n"/>
      <c r="N1120" s="31" t="n"/>
      <c r="O1120" s="31" t="n"/>
      <c r="P1120" s="31" t="n"/>
      <c r="Q1120" s="31" t="n"/>
      <c r="R1120" s="31" t="n"/>
      <c r="S1120" s="32">
        <f>IF($F1120="","",IF(IFERROR(VLOOKUP($F1120,'维度字典'!$I$2:$J$50,2,0),"求和")="手工录入","",IF(IFERROR(VLOOKUP($F1120,'维度字典'!$I$2:$J$50,2,0),"求和")="最新值",IFERROR(LOOKUP(9.99E+307,G1120:R1120),""),SUM(G1120:R1120))))</f>
        <v/>
      </c>
      <c r="T1120" s="33" t="n"/>
      <c r="U1120" s="33" t="n"/>
    </row>
    <row r="1121">
      <c r="A1121" s="26">
        <f>IF($B1121="","",ROW()-3)</f>
        <v/>
      </c>
      <c r="B1121" s="27" t="n"/>
      <c r="C1121" s="27" t="n"/>
      <c r="D1121" s="28" t="n"/>
      <c r="E1121" s="29" t="n"/>
      <c r="F1121" s="30" t="n"/>
      <c r="G1121" s="31" t="n"/>
      <c r="H1121" s="31" t="n"/>
      <c r="I1121" s="31" t="n"/>
      <c r="J1121" s="31" t="n"/>
      <c r="K1121" s="31" t="n"/>
      <c r="L1121" s="31" t="n"/>
      <c r="M1121" s="31" t="n"/>
      <c r="N1121" s="31" t="n"/>
      <c r="O1121" s="31" t="n"/>
      <c r="P1121" s="31" t="n"/>
      <c r="Q1121" s="31" t="n"/>
      <c r="R1121" s="31" t="n"/>
      <c r="S1121" s="32">
        <f>IF($F1121="","",IF(IFERROR(VLOOKUP($F1121,'维度字典'!$I$2:$J$50,2,0),"求和")="手工录入","",IF(IFERROR(VLOOKUP($F1121,'维度字典'!$I$2:$J$50,2,0),"求和")="最新值",IFERROR(LOOKUP(9.99E+307,G1121:R1121),""),SUM(G1121:R1121))))</f>
        <v/>
      </c>
      <c r="T1121" s="33" t="n"/>
      <c r="U1121" s="33" t="n"/>
    </row>
    <row r="1122">
      <c r="A1122" s="26">
        <f>IF($B1122="","",ROW()-3)</f>
        <v/>
      </c>
      <c r="B1122" s="27" t="n"/>
      <c r="C1122" s="27" t="n"/>
      <c r="D1122" s="28" t="n"/>
      <c r="E1122" s="29" t="n"/>
      <c r="F1122" s="30" t="n"/>
      <c r="G1122" s="31" t="n"/>
      <c r="H1122" s="31" t="n"/>
      <c r="I1122" s="31" t="n"/>
      <c r="J1122" s="31" t="n"/>
      <c r="K1122" s="31" t="n"/>
      <c r="L1122" s="31" t="n"/>
      <c r="M1122" s="31" t="n"/>
      <c r="N1122" s="31" t="n"/>
      <c r="O1122" s="31" t="n"/>
      <c r="P1122" s="31" t="n"/>
      <c r="Q1122" s="31" t="n"/>
      <c r="R1122" s="31" t="n"/>
      <c r="S1122" s="32">
        <f>IF($F1122="","",IF(IFERROR(VLOOKUP($F1122,'维度字典'!$I$2:$J$50,2,0),"求和")="手工录入","",IF(IFERROR(VLOOKUP($F1122,'维度字典'!$I$2:$J$50,2,0),"求和")="最新值",IFERROR(LOOKUP(9.99E+307,G1122:R1122),""),SUM(G1122:R1122))))</f>
        <v/>
      </c>
      <c r="T1122" s="33" t="n"/>
      <c r="U1122" s="33" t="n"/>
    </row>
    <row r="1123">
      <c r="A1123" s="26">
        <f>IF($B1123="","",ROW()-3)</f>
        <v/>
      </c>
      <c r="B1123" s="27" t="n"/>
      <c r="C1123" s="27" t="n"/>
      <c r="D1123" s="28" t="n"/>
      <c r="E1123" s="29" t="n"/>
      <c r="F1123" s="30" t="n"/>
      <c r="G1123" s="31" t="n"/>
      <c r="H1123" s="31" t="n"/>
      <c r="I1123" s="31" t="n"/>
      <c r="J1123" s="31" t="n"/>
      <c r="K1123" s="31" t="n"/>
      <c r="L1123" s="31" t="n"/>
      <c r="M1123" s="31" t="n"/>
      <c r="N1123" s="31" t="n"/>
      <c r="O1123" s="31" t="n"/>
      <c r="P1123" s="31" t="n"/>
      <c r="Q1123" s="31" t="n"/>
      <c r="R1123" s="31" t="n"/>
      <c r="S1123" s="32">
        <f>IF($F1123="","",IF(IFERROR(VLOOKUP($F1123,'维度字典'!$I$2:$J$50,2,0),"求和")="手工录入","",IF(IFERROR(VLOOKUP($F1123,'维度字典'!$I$2:$J$50,2,0),"求和")="最新值",IFERROR(LOOKUP(9.99E+307,G1123:R1123),""),SUM(G1123:R1123))))</f>
        <v/>
      </c>
      <c r="T1123" s="33" t="n"/>
      <c r="U1123" s="33" t="n"/>
    </row>
    <row r="1124">
      <c r="A1124" s="26">
        <f>IF($B1124="","",ROW()-3)</f>
        <v/>
      </c>
      <c r="B1124" s="27" t="n"/>
      <c r="C1124" s="27" t="n"/>
      <c r="D1124" s="28" t="n"/>
      <c r="E1124" s="29" t="n"/>
      <c r="F1124" s="30" t="n"/>
      <c r="G1124" s="31" t="n"/>
      <c r="H1124" s="31" t="n"/>
      <c r="I1124" s="31" t="n"/>
      <c r="J1124" s="31" t="n"/>
      <c r="K1124" s="31" t="n"/>
      <c r="L1124" s="31" t="n"/>
      <c r="M1124" s="31" t="n"/>
      <c r="N1124" s="31" t="n"/>
      <c r="O1124" s="31" t="n"/>
      <c r="P1124" s="31" t="n"/>
      <c r="Q1124" s="31" t="n"/>
      <c r="R1124" s="31" t="n"/>
      <c r="S1124" s="32">
        <f>IF($F1124="","",IF(IFERROR(VLOOKUP($F1124,'维度字典'!$I$2:$J$50,2,0),"求和")="手工录入","",IF(IFERROR(VLOOKUP($F1124,'维度字典'!$I$2:$J$50,2,0),"求和")="最新值",IFERROR(LOOKUP(9.99E+307,G1124:R1124),""),SUM(G1124:R1124))))</f>
        <v/>
      </c>
      <c r="T1124" s="33" t="n"/>
      <c r="U1124" s="33" t="n"/>
    </row>
    <row r="1125">
      <c r="A1125" s="26">
        <f>IF($B1125="","",ROW()-3)</f>
        <v/>
      </c>
      <c r="B1125" s="27" t="n"/>
      <c r="C1125" s="27" t="n"/>
      <c r="D1125" s="28" t="n"/>
      <c r="E1125" s="29" t="n"/>
      <c r="F1125" s="30" t="n"/>
      <c r="G1125" s="31" t="n"/>
      <c r="H1125" s="31" t="n"/>
      <c r="I1125" s="31" t="n"/>
      <c r="J1125" s="31" t="n"/>
      <c r="K1125" s="31" t="n"/>
      <c r="L1125" s="31" t="n"/>
      <c r="M1125" s="31" t="n"/>
      <c r="N1125" s="31" t="n"/>
      <c r="O1125" s="31" t="n"/>
      <c r="P1125" s="31" t="n"/>
      <c r="Q1125" s="31" t="n"/>
      <c r="R1125" s="31" t="n"/>
      <c r="S1125" s="32">
        <f>IF($F1125="","",IF(IFERROR(VLOOKUP($F1125,'维度字典'!$I$2:$J$50,2,0),"求和")="手工录入","",IF(IFERROR(VLOOKUP($F1125,'维度字典'!$I$2:$J$50,2,0),"求和")="最新值",IFERROR(LOOKUP(9.99E+307,G1125:R1125),""),SUM(G1125:R1125))))</f>
        <v/>
      </c>
      <c r="T1125" s="33" t="n"/>
      <c r="U1125" s="33" t="n"/>
    </row>
    <row r="1126">
      <c r="A1126" s="26">
        <f>IF($B1126="","",ROW()-3)</f>
        <v/>
      </c>
      <c r="B1126" s="27" t="n"/>
      <c r="C1126" s="27" t="n"/>
      <c r="D1126" s="28" t="n"/>
      <c r="E1126" s="29" t="n"/>
      <c r="F1126" s="30" t="n"/>
      <c r="G1126" s="31" t="n"/>
      <c r="H1126" s="31" t="n"/>
      <c r="I1126" s="31" t="n"/>
      <c r="J1126" s="31" t="n"/>
      <c r="K1126" s="31" t="n"/>
      <c r="L1126" s="31" t="n"/>
      <c r="M1126" s="31" t="n"/>
      <c r="N1126" s="31" t="n"/>
      <c r="O1126" s="31" t="n"/>
      <c r="P1126" s="31" t="n"/>
      <c r="Q1126" s="31" t="n"/>
      <c r="R1126" s="31" t="n"/>
      <c r="S1126" s="32">
        <f>IF($F1126="","",IF(IFERROR(VLOOKUP($F1126,'维度字典'!$I$2:$J$50,2,0),"求和")="手工录入","",IF(IFERROR(VLOOKUP($F1126,'维度字典'!$I$2:$J$50,2,0),"求和")="最新值",IFERROR(LOOKUP(9.99E+307,G1126:R1126),""),SUM(G1126:R1126))))</f>
        <v/>
      </c>
      <c r="T1126" s="33" t="n"/>
      <c r="U1126" s="33" t="n"/>
    </row>
    <row r="1127">
      <c r="A1127" s="26">
        <f>IF($B1127="","",ROW()-3)</f>
        <v/>
      </c>
      <c r="B1127" s="27" t="n"/>
      <c r="C1127" s="27" t="n"/>
      <c r="D1127" s="28" t="n"/>
      <c r="E1127" s="29" t="n"/>
      <c r="F1127" s="30" t="n"/>
      <c r="G1127" s="31" t="n"/>
      <c r="H1127" s="31" t="n"/>
      <c r="I1127" s="31" t="n"/>
      <c r="J1127" s="31" t="n"/>
      <c r="K1127" s="31" t="n"/>
      <c r="L1127" s="31" t="n"/>
      <c r="M1127" s="31" t="n"/>
      <c r="N1127" s="31" t="n"/>
      <c r="O1127" s="31" t="n"/>
      <c r="P1127" s="31" t="n"/>
      <c r="Q1127" s="31" t="n"/>
      <c r="R1127" s="31" t="n"/>
      <c r="S1127" s="32">
        <f>IF($F1127="","",IF(IFERROR(VLOOKUP($F1127,'维度字典'!$I$2:$J$50,2,0),"求和")="手工录入","",IF(IFERROR(VLOOKUP($F1127,'维度字典'!$I$2:$J$50,2,0),"求和")="最新值",IFERROR(LOOKUP(9.99E+307,G1127:R1127),""),SUM(G1127:R1127))))</f>
        <v/>
      </c>
      <c r="T1127" s="33" t="n"/>
      <c r="U1127" s="33" t="n"/>
    </row>
    <row r="1128">
      <c r="A1128" s="26">
        <f>IF($B1128="","",ROW()-3)</f>
        <v/>
      </c>
      <c r="B1128" s="27" t="n"/>
      <c r="C1128" s="27" t="n"/>
      <c r="D1128" s="28" t="n"/>
      <c r="E1128" s="29" t="n"/>
      <c r="F1128" s="30" t="n"/>
      <c r="G1128" s="31" t="n"/>
      <c r="H1128" s="31" t="n"/>
      <c r="I1128" s="31" t="n"/>
      <c r="J1128" s="31" t="n"/>
      <c r="K1128" s="31" t="n"/>
      <c r="L1128" s="31" t="n"/>
      <c r="M1128" s="31" t="n"/>
      <c r="N1128" s="31" t="n"/>
      <c r="O1128" s="31" t="n"/>
      <c r="P1128" s="31" t="n"/>
      <c r="Q1128" s="31" t="n"/>
      <c r="R1128" s="31" t="n"/>
      <c r="S1128" s="32">
        <f>IF($F1128="","",IF(IFERROR(VLOOKUP($F1128,'维度字典'!$I$2:$J$50,2,0),"求和")="手工录入","",IF(IFERROR(VLOOKUP($F1128,'维度字典'!$I$2:$J$50,2,0),"求和")="最新值",IFERROR(LOOKUP(9.99E+307,G1128:R1128),""),SUM(G1128:R1128))))</f>
        <v/>
      </c>
      <c r="T1128" s="33" t="n"/>
      <c r="U1128" s="33" t="n"/>
    </row>
    <row r="1129">
      <c r="A1129" s="26">
        <f>IF($B1129="","",ROW()-3)</f>
        <v/>
      </c>
      <c r="B1129" s="27" t="n"/>
      <c r="C1129" s="27" t="n"/>
      <c r="D1129" s="28" t="n"/>
      <c r="E1129" s="29" t="n"/>
      <c r="F1129" s="30" t="n"/>
      <c r="G1129" s="31" t="n"/>
      <c r="H1129" s="31" t="n"/>
      <c r="I1129" s="31" t="n"/>
      <c r="J1129" s="31" t="n"/>
      <c r="K1129" s="31" t="n"/>
      <c r="L1129" s="31" t="n"/>
      <c r="M1129" s="31" t="n"/>
      <c r="N1129" s="31" t="n"/>
      <c r="O1129" s="31" t="n"/>
      <c r="P1129" s="31" t="n"/>
      <c r="Q1129" s="31" t="n"/>
      <c r="R1129" s="31" t="n"/>
      <c r="S1129" s="32">
        <f>IF($F1129="","",IF(IFERROR(VLOOKUP($F1129,'维度字典'!$I$2:$J$50,2,0),"求和")="手工录入","",IF(IFERROR(VLOOKUP($F1129,'维度字典'!$I$2:$J$50,2,0),"求和")="最新值",IFERROR(LOOKUP(9.99E+307,G1129:R1129),""),SUM(G1129:R1129))))</f>
        <v/>
      </c>
      <c r="T1129" s="33" t="n"/>
      <c r="U1129" s="33" t="n"/>
    </row>
    <row r="1130">
      <c r="A1130" s="26">
        <f>IF($B1130="","",ROW()-3)</f>
        <v/>
      </c>
      <c r="B1130" s="27" t="n"/>
      <c r="C1130" s="27" t="n"/>
      <c r="D1130" s="28" t="n"/>
      <c r="E1130" s="29" t="n"/>
      <c r="F1130" s="30" t="n"/>
      <c r="G1130" s="31" t="n"/>
      <c r="H1130" s="31" t="n"/>
      <c r="I1130" s="31" t="n"/>
      <c r="J1130" s="31" t="n"/>
      <c r="K1130" s="31" t="n"/>
      <c r="L1130" s="31" t="n"/>
      <c r="M1130" s="31" t="n"/>
      <c r="N1130" s="31" t="n"/>
      <c r="O1130" s="31" t="n"/>
      <c r="P1130" s="31" t="n"/>
      <c r="Q1130" s="31" t="n"/>
      <c r="R1130" s="31" t="n"/>
      <c r="S1130" s="32">
        <f>IF($F1130="","",IF(IFERROR(VLOOKUP($F1130,'维度字典'!$I$2:$J$50,2,0),"求和")="手工录入","",IF(IFERROR(VLOOKUP($F1130,'维度字典'!$I$2:$J$50,2,0),"求和")="最新值",IFERROR(LOOKUP(9.99E+307,G1130:R1130),""),SUM(G1130:R1130))))</f>
        <v/>
      </c>
      <c r="T1130" s="33" t="n"/>
      <c r="U1130" s="33" t="n"/>
    </row>
    <row r="1131">
      <c r="A1131" s="26">
        <f>IF($B1131="","",ROW()-3)</f>
        <v/>
      </c>
      <c r="B1131" s="27" t="n"/>
      <c r="C1131" s="27" t="n"/>
      <c r="D1131" s="28" t="n"/>
      <c r="E1131" s="29" t="n"/>
      <c r="F1131" s="30" t="n"/>
      <c r="G1131" s="31" t="n"/>
      <c r="H1131" s="31" t="n"/>
      <c r="I1131" s="31" t="n"/>
      <c r="J1131" s="31" t="n"/>
      <c r="K1131" s="31" t="n"/>
      <c r="L1131" s="31" t="n"/>
      <c r="M1131" s="31" t="n"/>
      <c r="N1131" s="31" t="n"/>
      <c r="O1131" s="31" t="n"/>
      <c r="P1131" s="31" t="n"/>
      <c r="Q1131" s="31" t="n"/>
      <c r="R1131" s="31" t="n"/>
      <c r="S1131" s="32">
        <f>IF($F1131="","",IF(IFERROR(VLOOKUP($F1131,'维度字典'!$I$2:$J$50,2,0),"求和")="手工录入","",IF(IFERROR(VLOOKUP($F1131,'维度字典'!$I$2:$J$50,2,0),"求和")="最新值",IFERROR(LOOKUP(9.99E+307,G1131:R1131),""),SUM(G1131:R1131))))</f>
        <v/>
      </c>
      <c r="T1131" s="33" t="n"/>
      <c r="U1131" s="33" t="n"/>
    </row>
    <row r="1132">
      <c r="A1132" s="26">
        <f>IF($B1132="","",ROW()-3)</f>
        <v/>
      </c>
      <c r="B1132" s="27" t="n"/>
      <c r="C1132" s="27" t="n"/>
      <c r="D1132" s="28" t="n"/>
      <c r="E1132" s="29" t="n"/>
      <c r="F1132" s="30" t="n"/>
      <c r="G1132" s="31" t="n"/>
      <c r="H1132" s="31" t="n"/>
      <c r="I1132" s="31" t="n"/>
      <c r="J1132" s="31" t="n"/>
      <c r="K1132" s="31" t="n"/>
      <c r="L1132" s="31" t="n"/>
      <c r="M1132" s="31" t="n"/>
      <c r="N1132" s="31" t="n"/>
      <c r="O1132" s="31" t="n"/>
      <c r="P1132" s="31" t="n"/>
      <c r="Q1132" s="31" t="n"/>
      <c r="R1132" s="31" t="n"/>
      <c r="S1132" s="32">
        <f>IF($F1132="","",IF(IFERROR(VLOOKUP($F1132,'维度字典'!$I$2:$J$50,2,0),"求和")="手工录入","",IF(IFERROR(VLOOKUP($F1132,'维度字典'!$I$2:$J$50,2,0),"求和")="最新值",IFERROR(LOOKUP(9.99E+307,G1132:R1132),""),SUM(G1132:R1132))))</f>
        <v/>
      </c>
      <c r="T1132" s="33" t="n"/>
      <c r="U1132" s="33" t="n"/>
    </row>
    <row r="1133">
      <c r="A1133" s="26">
        <f>IF($B1133="","",ROW()-3)</f>
        <v/>
      </c>
      <c r="B1133" s="27" t="n"/>
      <c r="C1133" s="27" t="n"/>
      <c r="D1133" s="28" t="n"/>
      <c r="E1133" s="29" t="n"/>
      <c r="F1133" s="30" t="n"/>
      <c r="G1133" s="31" t="n"/>
      <c r="H1133" s="31" t="n"/>
      <c r="I1133" s="31" t="n"/>
      <c r="J1133" s="31" t="n"/>
      <c r="K1133" s="31" t="n"/>
      <c r="L1133" s="31" t="n"/>
      <c r="M1133" s="31" t="n"/>
      <c r="N1133" s="31" t="n"/>
      <c r="O1133" s="31" t="n"/>
      <c r="P1133" s="31" t="n"/>
      <c r="Q1133" s="31" t="n"/>
      <c r="R1133" s="31" t="n"/>
      <c r="S1133" s="32">
        <f>IF($F1133="","",IF(IFERROR(VLOOKUP($F1133,'维度字典'!$I$2:$J$50,2,0),"求和")="手工录入","",IF(IFERROR(VLOOKUP($F1133,'维度字典'!$I$2:$J$50,2,0),"求和")="最新值",IFERROR(LOOKUP(9.99E+307,G1133:R1133),""),SUM(G1133:R1133))))</f>
        <v/>
      </c>
      <c r="T1133" s="33" t="n"/>
      <c r="U1133" s="33" t="n"/>
    </row>
    <row r="1134">
      <c r="A1134" s="26">
        <f>IF($B1134="","",ROW()-3)</f>
        <v/>
      </c>
      <c r="B1134" s="27" t="n"/>
      <c r="C1134" s="27" t="n"/>
      <c r="D1134" s="28" t="n"/>
      <c r="E1134" s="29" t="n"/>
      <c r="F1134" s="30" t="n"/>
      <c r="G1134" s="31" t="n"/>
      <c r="H1134" s="31" t="n"/>
      <c r="I1134" s="31" t="n"/>
      <c r="J1134" s="31" t="n"/>
      <c r="K1134" s="31" t="n"/>
      <c r="L1134" s="31" t="n"/>
      <c r="M1134" s="31" t="n"/>
      <c r="N1134" s="31" t="n"/>
      <c r="O1134" s="31" t="n"/>
      <c r="P1134" s="31" t="n"/>
      <c r="Q1134" s="31" t="n"/>
      <c r="R1134" s="31" t="n"/>
      <c r="S1134" s="32">
        <f>IF($F1134="","",IF(IFERROR(VLOOKUP($F1134,'维度字典'!$I$2:$J$50,2,0),"求和")="手工录入","",IF(IFERROR(VLOOKUP($F1134,'维度字典'!$I$2:$J$50,2,0),"求和")="最新值",IFERROR(LOOKUP(9.99E+307,G1134:R1134),""),SUM(G1134:R1134))))</f>
        <v/>
      </c>
      <c r="T1134" s="33" t="n"/>
      <c r="U1134" s="33" t="n"/>
    </row>
    <row r="1135">
      <c r="A1135" s="26">
        <f>IF($B1135="","",ROW()-3)</f>
        <v/>
      </c>
      <c r="B1135" s="27" t="n"/>
      <c r="C1135" s="27" t="n"/>
      <c r="D1135" s="28" t="n"/>
      <c r="E1135" s="29" t="n"/>
      <c r="F1135" s="30" t="n"/>
      <c r="G1135" s="31" t="n"/>
      <c r="H1135" s="31" t="n"/>
      <c r="I1135" s="31" t="n"/>
      <c r="J1135" s="31" t="n"/>
      <c r="K1135" s="31" t="n"/>
      <c r="L1135" s="31" t="n"/>
      <c r="M1135" s="31" t="n"/>
      <c r="N1135" s="31" t="n"/>
      <c r="O1135" s="31" t="n"/>
      <c r="P1135" s="31" t="n"/>
      <c r="Q1135" s="31" t="n"/>
      <c r="R1135" s="31" t="n"/>
      <c r="S1135" s="32">
        <f>IF($F1135="","",IF(IFERROR(VLOOKUP($F1135,'维度字典'!$I$2:$J$50,2,0),"求和")="手工录入","",IF(IFERROR(VLOOKUP($F1135,'维度字典'!$I$2:$J$50,2,0),"求和")="最新值",IFERROR(LOOKUP(9.99E+307,G1135:R1135),""),SUM(G1135:R1135))))</f>
        <v/>
      </c>
      <c r="T1135" s="33" t="n"/>
      <c r="U1135" s="33" t="n"/>
    </row>
    <row r="1136">
      <c r="A1136" s="26">
        <f>IF($B1136="","",ROW()-3)</f>
        <v/>
      </c>
      <c r="B1136" s="27" t="n"/>
      <c r="C1136" s="27" t="n"/>
      <c r="D1136" s="28" t="n"/>
      <c r="E1136" s="29" t="n"/>
      <c r="F1136" s="30" t="n"/>
      <c r="G1136" s="31" t="n"/>
      <c r="H1136" s="31" t="n"/>
      <c r="I1136" s="31" t="n"/>
      <c r="J1136" s="31" t="n"/>
      <c r="K1136" s="31" t="n"/>
      <c r="L1136" s="31" t="n"/>
      <c r="M1136" s="31" t="n"/>
      <c r="N1136" s="31" t="n"/>
      <c r="O1136" s="31" t="n"/>
      <c r="P1136" s="31" t="n"/>
      <c r="Q1136" s="31" t="n"/>
      <c r="R1136" s="31" t="n"/>
      <c r="S1136" s="32">
        <f>IF($F1136="","",IF(IFERROR(VLOOKUP($F1136,'维度字典'!$I$2:$J$50,2,0),"求和")="手工录入","",IF(IFERROR(VLOOKUP($F1136,'维度字典'!$I$2:$J$50,2,0),"求和")="最新值",IFERROR(LOOKUP(9.99E+307,G1136:R1136),""),SUM(G1136:R1136))))</f>
        <v/>
      </c>
      <c r="T1136" s="33" t="n"/>
      <c r="U1136" s="33" t="n"/>
    </row>
    <row r="1137">
      <c r="A1137" s="26">
        <f>IF($B1137="","",ROW()-3)</f>
        <v/>
      </c>
      <c r="B1137" s="27" t="n"/>
      <c r="C1137" s="27" t="n"/>
      <c r="D1137" s="28" t="n"/>
      <c r="E1137" s="29" t="n"/>
      <c r="F1137" s="30" t="n"/>
      <c r="G1137" s="31" t="n"/>
      <c r="H1137" s="31" t="n"/>
      <c r="I1137" s="31" t="n"/>
      <c r="J1137" s="31" t="n"/>
      <c r="K1137" s="31" t="n"/>
      <c r="L1137" s="31" t="n"/>
      <c r="M1137" s="31" t="n"/>
      <c r="N1137" s="31" t="n"/>
      <c r="O1137" s="31" t="n"/>
      <c r="P1137" s="31" t="n"/>
      <c r="Q1137" s="31" t="n"/>
      <c r="R1137" s="31" t="n"/>
      <c r="S1137" s="32">
        <f>IF($F1137="","",IF(IFERROR(VLOOKUP($F1137,'维度字典'!$I$2:$J$50,2,0),"求和")="手工录入","",IF(IFERROR(VLOOKUP($F1137,'维度字典'!$I$2:$J$50,2,0),"求和")="最新值",IFERROR(LOOKUP(9.99E+307,G1137:R1137),""),SUM(G1137:R1137))))</f>
        <v/>
      </c>
      <c r="T1137" s="33" t="n"/>
      <c r="U1137" s="33" t="n"/>
    </row>
    <row r="1138">
      <c r="A1138" s="26">
        <f>IF($B1138="","",ROW()-3)</f>
        <v/>
      </c>
      <c r="B1138" s="27" t="n"/>
      <c r="C1138" s="27" t="n"/>
      <c r="D1138" s="28" t="n"/>
      <c r="E1138" s="29" t="n"/>
      <c r="F1138" s="30" t="n"/>
      <c r="G1138" s="31" t="n"/>
      <c r="H1138" s="31" t="n"/>
      <c r="I1138" s="31" t="n"/>
      <c r="J1138" s="31" t="n"/>
      <c r="K1138" s="31" t="n"/>
      <c r="L1138" s="31" t="n"/>
      <c r="M1138" s="31" t="n"/>
      <c r="N1138" s="31" t="n"/>
      <c r="O1138" s="31" t="n"/>
      <c r="P1138" s="31" t="n"/>
      <c r="Q1138" s="31" t="n"/>
      <c r="R1138" s="31" t="n"/>
      <c r="S1138" s="32">
        <f>IF($F1138="","",IF(IFERROR(VLOOKUP($F1138,'维度字典'!$I$2:$J$50,2,0),"求和")="手工录入","",IF(IFERROR(VLOOKUP($F1138,'维度字典'!$I$2:$J$50,2,0),"求和")="最新值",IFERROR(LOOKUP(9.99E+307,G1138:R1138),""),SUM(G1138:R1138))))</f>
        <v/>
      </c>
      <c r="T1138" s="33" t="n"/>
      <c r="U1138" s="33" t="n"/>
    </row>
    <row r="1139">
      <c r="A1139" s="26">
        <f>IF($B1139="","",ROW()-3)</f>
        <v/>
      </c>
      <c r="B1139" s="27" t="n"/>
      <c r="C1139" s="27" t="n"/>
      <c r="D1139" s="28" t="n"/>
      <c r="E1139" s="29" t="n"/>
      <c r="F1139" s="30" t="n"/>
      <c r="G1139" s="31" t="n"/>
      <c r="H1139" s="31" t="n"/>
      <c r="I1139" s="31" t="n"/>
      <c r="J1139" s="31" t="n"/>
      <c r="K1139" s="31" t="n"/>
      <c r="L1139" s="31" t="n"/>
      <c r="M1139" s="31" t="n"/>
      <c r="N1139" s="31" t="n"/>
      <c r="O1139" s="31" t="n"/>
      <c r="P1139" s="31" t="n"/>
      <c r="Q1139" s="31" t="n"/>
      <c r="R1139" s="31" t="n"/>
      <c r="S1139" s="32">
        <f>IF($F1139="","",IF(IFERROR(VLOOKUP($F1139,'维度字典'!$I$2:$J$50,2,0),"求和")="手工录入","",IF(IFERROR(VLOOKUP($F1139,'维度字典'!$I$2:$J$50,2,0),"求和")="最新值",IFERROR(LOOKUP(9.99E+307,G1139:R1139),""),SUM(G1139:R1139))))</f>
        <v/>
      </c>
      <c r="T1139" s="33" t="n"/>
      <c r="U1139" s="33" t="n"/>
    </row>
    <row r="1140">
      <c r="A1140" s="26">
        <f>IF($B1140="","",ROW()-3)</f>
        <v/>
      </c>
      <c r="B1140" s="27" t="n"/>
      <c r="C1140" s="27" t="n"/>
      <c r="D1140" s="28" t="n"/>
      <c r="E1140" s="29" t="n"/>
      <c r="F1140" s="30" t="n"/>
      <c r="G1140" s="31" t="n"/>
      <c r="H1140" s="31" t="n"/>
      <c r="I1140" s="31" t="n"/>
      <c r="J1140" s="31" t="n"/>
      <c r="K1140" s="31" t="n"/>
      <c r="L1140" s="31" t="n"/>
      <c r="M1140" s="31" t="n"/>
      <c r="N1140" s="31" t="n"/>
      <c r="O1140" s="31" t="n"/>
      <c r="P1140" s="31" t="n"/>
      <c r="Q1140" s="31" t="n"/>
      <c r="R1140" s="31" t="n"/>
      <c r="S1140" s="32">
        <f>IF($F1140="","",IF(IFERROR(VLOOKUP($F1140,'维度字典'!$I$2:$J$50,2,0),"求和")="手工录入","",IF(IFERROR(VLOOKUP($F1140,'维度字典'!$I$2:$J$50,2,0),"求和")="最新值",IFERROR(LOOKUP(9.99E+307,G1140:R1140),""),SUM(G1140:R1140))))</f>
        <v/>
      </c>
      <c r="T1140" s="33" t="n"/>
      <c r="U1140" s="33" t="n"/>
    </row>
    <row r="1141">
      <c r="A1141" s="26">
        <f>IF($B1141="","",ROW()-3)</f>
        <v/>
      </c>
      <c r="B1141" s="27" t="n"/>
      <c r="C1141" s="27" t="n"/>
      <c r="D1141" s="28" t="n"/>
      <c r="E1141" s="29" t="n"/>
      <c r="F1141" s="30" t="n"/>
      <c r="G1141" s="31" t="n"/>
      <c r="H1141" s="31" t="n"/>
      <c r="I1141" s="31" t="n"/>
      <c r="J1141" s="31" t="n"/>
      <c r="K1141" s="31" t="n"/>
      <c r="L1141" s="31" t="n"/>
      <c r="M1141" s="31" t="n"/>
      <c r="N1141" s="31" t="n"/>
      <c r="O1141" s="31" t="n"/>
      <c r="P1141" s="31" t="n"/>
      <c r="Q1141" s="31" t="n"/>
      <c r="R1141" s="31" t="n"/>
      <c r="S1141" s="32">
        <f>IF($F1141="","",IF(IFERROR(VLOOKUP($F1141,'维度字典'!$I$2:$J$50,2,0),"求和")="手工录入","",IF(IFERROR(VLOOKUP($F1141,'维度字典'!$I$2:$J$50,2,0),"求和")="最新值",IFERROR(LOOKUP(9.99E+307,G1141:R1141),""),SUM(G1141:R1141))))</f>
        <v/>
      </c>
      <c r="T1141" s="33" t="n"/>
      <c r="U1141" s="33" t="n"/>
    </row>
    <row r="1142">
      <c r="A1142" s="26">
        <f>IF($B1142="","",ROW()-3)</f>
        <v/>
      </c>
      <c r="B1142" s="27" t="n"/>
      <c r="C1142" s="27" t="n"/>
      <c r="D1142" s="28" t="n"/>
      <c r="E1142" s="29" t="n"/>
      <c r="F1142" s="30" t="n"/>
      <c r="G1142" s="31" t="n"/>
      <c r="H1142" s="31" t="n"/>
      <c r="I1142" s="31" t="n"/>
      <c r="J1142" s="31" t="n"/>
      <c r="K1142" s="31" t="n"/>
      <c r="L1142" s="31" t="n"/>
      <c r="M1142" s="31" t="n"/>
      <c r="N1142" s="31" t="n"/>
      <c r="O1142" s="31" t="n"/>
      <c r="P1142" s="31" t="n"/>
      <c r="Q1142" s="31" t="n"/>
      <c r="R1142" s="31" t="n"/>
      <c r="S1142" s="32">
        <f>IF($F1142="","",IF(IFERROR(VLOOKUP($F1142,'维度字典'!$I$2:$J$50,2,0),"求和")="手工录入","",IF(IFERROR(VLOOKUP($F1142,'维度字典'!$I$2:$J$50,2,0),"求和")="最新值",IFERROR(LOOKUP(9.99E+307,G1142:R1142),""),SUM(G1142:R1142))))</f>
        <v/>
      </c>
      <c r="T1142" s="33" t="n"/>
      <c r="U1142" s="33" t="n"/>
    </row>
    <row r="1143">
      <c r="A1143" s="26">
        <f>IF($B1143="","",ROW()-3)</f>
        <v/>
      </c>
      <c r="B1143" s="27" t="n"/>
      <c r="C1143" s="27" t="n"/>
      <c r="D1143" s="28" t="n"/>
      <c r="E1143" s="29" t="n"/>
      <c r="F1143" s="30" t="n"/>
      <c r="G1143" s="31" t="n"/>
      <c r="H1143" s="31" t="n"/>
      <c r="I1143" s="31" t="n"/>
      <c r="J1143" s="31" t="n"/>
      <c r="K1143" s="31" t="n"/>
      <c r="L1143" s="31" t="n"/>
      <c r="M1143" s="31" t="n"/>
      <c r="N1143" s="31" t="n"/>
      <c r="O1143" s="31" t="n"/>
      <c r="P1143" s="31" t="n"/>
      <c r="Q1143" s="31" t="n"/>
      <c r="R1143" s="31" t="n"/>
      <c r="S1143" s="32">
        <f>IF($F1143="","",IF(IFERROR(VLOOKUP($F1143,'维度字典'!$I$2:$J$50,2,0),"求和")="手工录入","",IF(IFERROR(VLOOKUP($F1143,'维度字典'!$I$2:$J$50,2,0),"求和")="最新值",IFERROR(LOOKUP(9.99E+307,G1143:R1143),""),SUM(G1143:R1143))))</f>
        <v/>
      </c>
      <c r="T1143" s="33" t="n"/>
      <c r="U1143" s="33" t="n"/>
    </row>
    <row r="1144">
      <c r="A1144" s="26">
        <f>IF($B1144="","",ROW()-3)</f>
        <v/>
      </c>
      <c r="B1144" s="27" t="n"/>
      <c r="C1144" s="27" t="n"/>
      <c r="D1144" s="28" t="n"/>
      <c r="E1144" s="29" t="n"/>
      <c r="F1144" s="30" t="n"/>
      <c r="G1144" s="31" t="n"/>
      <c r="H1144" s="31" t="n"/>
      <c r="I1144" s="31" t="n"/>
      <c r="J1144" s="31" t="n"/>
      <c r="K1144" s="31" t="n"/>
      <c r="L1144" s="31" t="n"/>
      <c r="M1144" s="31" t="n"/>
      <c r="N1144" s="31" t="n"/>
      <c r="O1144" s="31" t="n"/>
      <c r="P1144" s="31" t="n"/>
      <c r="Q1144" s="31" t="n"/>
      <c r="R1144" s="31" t="n"/>
      <c r="S1144" s="32">
        <f>IF($F1144="","",IF(IFERROR(VLOOKUP($F1144,'维度字典'!$I$2:$J$50,2,0),"求和")="手工录入","",IF(IFERROR(VLOOKUP($F1144,'维度字典'!$I$2:$J$50,2,0),"求和")="最新值",IFERROR(LOOKUP(9.99E+307,G1144:R1144),""),SUM(G1144:R1144))))</f>
        <v/>
      </c>
      <c r="T1144" s="33" t="n"/>
      <c r="U1144" s="33" t="n"/>
    </row>
    <row r="1145">
      <c r="A1145" s="26">
        <f>IF($B1145="","",ROW()-3)</f>
        <v/>
      </c>
      <c r="B1145" s="27" t="n"/>
      <c r="C1145" s="27" t="n"/>
      <c r="D1145" s="28" t="n"/>
      <c r="E1145" s="29" t="n"/>
      <c r="F1145" s="30" t="n"/>
      <c r="G1145" s="31" t="n"/>
      <c r="H1145" s="31" t="n"/>
      <c r="I1145" s="31" t="n"/>
      <c r="J1145" s="31" t="n"/>
      <c r="K1145" s="31" t="n"/>
      <c r="L1145" s="31" t="n"/>
      <c r="M1145" s="31" t="n"/>
      <c r="N1145" s="31" t="n"/>
      <c r="O1145" s="31" t="n"/>
      <c r="P1145" s="31" t="n"/>
      <c r="Q1145" s="31" t="n"/>
      <c r="R1145" s="31" t="n"/>
      <c r="S1145" s="32">
        <f>IF($F1145="","",IF(IFERROR(VLOOKUP($F1145,'维度字典'!$I$2:$J$50,2,0),"求和")="手工录入","",IF(IFERROR(VLOOKUP($F1145,'维度字典'!$I$2:$J$50,2,0),"求和")="最新值",IFERROR(LOOKUP(9.99E+307,G1145:R1145),""),SUM(G1145:R1145))))</f>
        <v/>
      </c>
      <c r="T1145" s="33" t="n"/>
      <c r="U1145" s="33" t="n"/>
    </row>
    <row r="1146">
      <c r="A1146" s="26">
        <f>IF($B1146="","",ROW()-3)</f>
        <v/>
      </c>
      <c r="B1146" s="27" t="n"/>
      <c r="C1146" s="27" t="n"/>
      <c r="D1146" s="28" t="n"/>
      <c r="E1146" s="29" t="n"/>
      <c r="F1146" s="30" t="n"/>
      <c r="G1146" s="31" t="n"/>
      <c r="H1146" s="31" t="n"/>
      <c r="I1146" s="31" t="n"/>
      <c r="J1146" s="31" t="n"/>
      <c r="K1146" s="31" t="n"/>
      <c r="L1146" s="31" t="n"/>
      <c r="M1146" s="31" t="n"/>
      <c r="N1146" s="31" t="n"/>
      <c r="O1146" s="31" t="n"/>
      <c r="P1146" s="31" t="n"/>
      <c r="Q1146" s="31" t="n"/>
      <c r="R1146" s="31" t="n"/>
      <c r="S1146" s="32">
        <f>IF($F1146="","",IF(IFERROR(VLOOKUP($F1146,'维度字典'!$I$2:$J$50,2,0),"求和")="手工录入","",IF(IFERROR(VLOOKUP($F1146,'维度字典'!$I$2:$J$50,2,0),"求和")="最新值",IFERROR(LOOKUP(9.99E+307,G1146:R1146),""),SUM(G1146:R1146))))</f>
        <v/>
      </c>
      <c r="T1146" s="33" t="n"/>
      <c r="U1146" s="33" t="n"/>
    </row>
    <row r="1147">
      <c r="A1147" s="26">
        <f>IF($B1147="","",ROW()-3)</f>
        <v/>
      </c>
      <c r="B1147" s="27" t="n"/>
      <c r="C1147" s="27" t="n"/>
      <c r="D1147" s="28" t="n"/>
      <c r="E1147" s="29" t="n"/>
      <c r="F1147" s="30" t="n"/>
      <c r="G1147" s="31" t="n"/>
      <c r="H1147" s="31" t="n"/>
      <c r="I1147" s="31" t="n"/>
      <c r="J1147" s="31" t="n"/>
      <c r="K1147" s="31" t="n"/>
      <c r="L1147" s="31" t="n"/>
      <c r="M1147" s="31" t="n"/>
      <c r="N1147" s="31" t="n"/>
      <c r="O1147" s="31" t="n"/>
      <c r="P1147" s="31" t="n"/>
      <c r="Q1147" s="31" t="n"/>
      <c r="R1147" s="31" t="n"/>
      <c r="S1147" s="32">
        <f>IF($F1147="","",IF(IFERROR(VLOOKUP($F1147,'维度字典'!$I$2:$J$50,2,0),"求和")="手工录入","",IF(IFERROR(VLOOKUP($F1147,'维度字典'!$I$2:$J$50,2,0),"求和")="最新值",IFERROR(LOOKUP(9.99E+307,G1147:R1147),""),SUM(G1147:R1147))))</f>
        <v/>
      </c>
      <c r="T1147" s="33" t="n"/>
      <c r="U1147" s="33" t="n"/>
    </row>
    <row r="1148">
      <c r="A1148" s="26">
        <f>IF($B1148="","",ROW()-3)</f>
        <v/>
      </c>
      <c r="B1148" s="27" t="n"/>
      <c r="C1148" s="27" t="n"/>
      <c r="D1148" s="28" t="n"/>
      <c r="E1148" s="29" t="n"/>
      <c r="F1148" s="30" t="n"/>
      <c r="G1148" s="31" t="n"/>
      <c r="H1148" s="31" t="n"/>
      <c r="I1148" s="31" t="n"/>
      <c r="J1148" s="31" t="n"/>
      <c r="K1148" s="31" t="n"/>
      <c r="L1148" s="31" t="n"/>
      <c r="M1148" s="31" t="n"/>
      <c r="N1148" s="31" t="n"/>
      <c r="O1148" s="31" t="n"/>
      <c r="P1148" s="31" t="n"/>
      <c r="Q1148" s="31" t="n"/>
      <c r="R1148" s="31" t="n"/>
      <c r="S1148" s="32">
        <f>IF($F1148="","",IF(IFERROR(VLOOKUP($F1148,'维度字典'!$I$2:$J$50,2,0),"求和")="手工录入","",IF(IFERROR(VLOOKUP($F1148,'维度字典'!$I$2:$J$50,2,0),"求和")="最新值",IFERROR(LOOKUP(9.99E+307,G1148:R1148),""),SUM(G1148:R1148))))</f>
        <v/>
      </c>
      <c r="T1148" s="33" t="n"/>
      <c r="U1148" s="33" t="n"/>
    </row>
    <row r="1149">
      <c r="A1149" s="26">
        <f>IF($B1149="","",ROW()-3)</f>
        <v/>
      </c>
      <c r="B1149" s="27" t="n"/>
      <c r="C1149" s="27" t="n"/>
      <c r="D1149" s="28" t="n"/>
      <c r="E1149" s="29" t="n"/>
      <c r="F1149" s="30" t="n"/>
      <c r="G1149" s="31" t="n"/>
      <c r="H1149" s="31" t="n"/>
      <c r="I1149" s="31" t="n"/>
      <c r="J1149" s="31" t="n"/>
      <c r="K1149" s="31" t="n"/>
      <c r="L1149" s="31" t="n"/>
      <c r="M1149" s="31" t="n"/>
      <c r="N1149" s="31" t="n"/>
      <c r="O1149" s="31" t="n"/>
      <c r="P1149" s="31" t="n"/>
      <c r="Q1149" s="31" t="n"/>
      <c r="R1149" s="31" t="n"/>
      <c r="S1149" s="32">
        <f>IF($F1149="","",IF(IFERROR(VLOOKUP($F1149,'维度字典'!$I$2:$J$50,2,0),"求和")="手工录入","",IF(IFERROR(VLOOKUP($F1149,'维度字典'!$I$2:$J$50,2,0),"求和")="最新值",IFERROR(LOOKUP(9.99E+307,G1149:R1149),""),SUM(G1149:R1149))))</f>
        <v/>
      </c>
      <c r="T1149" s="33" t="n"/>
      <c r="U1149" s="33" t="n"/>
    </row>
    <row r="1150">
      <c r="A1150" s="26">
        <f>IF($B1150="","",ROW()-3)</f>
        <v/>
      </c>
      <c r="B1150" s="27" t="n"/>
      <c r="C1150" s="27" t="n"/>
      <c r="D1150" s="28" t="n"/>
      <c r="E1150" s="29" t="n"/>
      <c r="F1150" s="30" t="n"/>
      <c r="G1150" s="31" t="n"/>
      <c r="H1150" s="31" t="n"/>
      <c r="I1150" s="31" t="n"/>
      <c r="J1150" s="31" t="n"/>
      <c r="K1150" s="31" t="n"/>
      <c r="L1150" s="31" t="n"/>
      <c r="M1150" s="31" t="n"/>
      <c r="N1150" s="31" t="n"/>
      <c r="O1150" s="31" t="n"/>
      <c r="P1150" s="31" t="n"/>
      <c r="Q1150" s="31" t="n"/>
      <c r="R1150" s="31" t="n"/>
      <c r="S1150" s="32">
        <f>IF($F1150="","",IF(IFERROR(VLOOKUP($F1150,'维度字典'!$I$2:$J$50,2,0),"求和")="手工录入","",IF(IFERROR(VLOOKUP($F1150,'维度字典'!$I$2:$J$50,2,0),"求和")="最新值",IFERROR(LOOKUP(9.99E+307,G1150:R1150),""),SUM(G1150:R1150))))</f>
        <v/>
      </c>
      <c r="T1150" s="33" t="n"/>
      <c r="U1150" s="33" t="n"/>
    </row>
    <row r="1151">
      <c r="A1151" s="26">
        <f>IF($B1151="","",ROW()-3)</f>
        <v/>
      </c>
      <c r="B1151" s="27" t="n"/>
      <c r="C1151" s="27" t="n"/>
      <c r="D1151" s="28" t="n"/>
      <c r="E1151" s="29" t="n"/>
      <c r="F1151" s="30" t="n"/>
      <c r="G1151" s="31" t="n"/>
      <c r="H1151" s="31" t="n"/>
      <c r="I1151" s="31" t="n"/>
      <c r="J1151" s="31" t="n"/>
      <c r="K1151" s="31" t="n"/>
      <c r="L1151" s="31" t="n"/>
      <c r="M1151" s="31" t="n"/>
      <c r="N1151" s="31" t="n"/>
      <c r="O1151" s="31" t="n"/>
      <c r="P1151" s="31" t="n"/>
      <c r="Q1151" s="31" t="n"/>
      <c r="R1151" s="31" t="n"/>
      <c r="S1151" s="32">
        <f>IF($F1151="","",IF(IFERROR(VLOOKUP($F1151,'维度字典'!$I$2:$J$50,2,0),"求和")="手工录入","",IF(IFERROR(VLOOKUP($F1151,'维度字典'!$I$2:$J$50,2,0),"求和")="最新值",IFERROR(LOOKUP(9.99E+307,G1151:R1151),""),SUM(G1151:R1151))))</f>
        <v/>
      </c>
      <c r="T1151" s="33" t="n"/>
      <c r="U1151" s="33" t="n"/>
    </row>
    <row r="1152">
      <c r="A1152" s="26">
        <f>IF($B1152="","",ROW()-3)</f>
        <v/>
      </c>
      <c r="B1152" s="27" t="n"/>
      <c r="C1152" s="27" t="n"/>
      <c r="D1152" s="28" t="n"/>
      <c r="E1152" s="29" t="n"/>
      <c r="F1152" s="30" t="n"/>
      <c r="G1152" s="31" t="n"/>
      <c r="H1152" s="31" t="n"/>
      <c r="I1152" s="31" t="n"/>
      <c r="J1152" s="31" t="n"/>
      <c r="K1152" s="31" t="n"/>
      <c r="L1152" s="31" t="n"/>
      <c r="M1152" s="31" t="n"/>
      <c r="N1152" s="31" t="n"/>
      <c r="O1152" s="31" t="n"/>
      <c r="P1152" s="31" t="n"/>
      <c r="Q1152" s="31" t="n"/>
      <c r="R1152" s="31" t="n"/>
      <c r="S1152" s="32">
        <f>IF($F1152="","",IF(IFERROR(VLOOKUP($F1152,'维度字典'!$I$2:$J$50,2,0),"求和")="手工录入","",IF(IFERROR(VLOOKUP($F1152,'维度字典'!$I$2:$J$50,2,0),"求和")="最新值",IFERROR(LOOKUP(9.99E+307,G1152:R1152),""),SUM(G1152:R1152))))</f>
        <v/>
      </c>
      <c r="T1152" s="33" t="n"/>
      <c r="U1152" s="33" t="n"/>
    </row>
    <row r="1153">
      <c r="A1153" s="26">
        <f>IF($B1153="","",ROW()-3)</f>
        <v/>
      </c>
      <c r="B1153" s="27" t="n"/>
      <c r="C1153" s="27" t="n"/>
      <c r="D1153" s="28" t="n"/>
      <c r="E1153" s="29" t="n"/>
      <c r="F1153" s="30" t="n"/>
      <c r="G1153" s="31" t="n"/>
      <c r="H1153" s="31" t="n"/>
      <c r="I1153" s="31" t="n"/>
      <c r="J1153" s="31" t="n"/>
      <c r="K1153" s="31" t="n"/>
      <c r="L1153" s="31" t="n"/>
      <c r="M1153" s="31" t="n"/>
      <c r="N1153" s="31" t="n"/>
      <c r="O1153" s="31" t="n"/>
      <c r="P1153" s="31" t="n"/>
      <c r="Q1153" s="31" t="n"/>
      <c r="R1153" s="31" t="n"/>
      <c r="S1153" s="32">
        <f>IF($F1153="","",IF(IFERROR(VLOOKUP($F1153,'维度字典'!$I$2:$J$50,2,0),"求和")="手工录入","",IF(IFERROR(VLOOKUP($F1153,'维度字典'!$I$2:$J$50,2,0),"求和")="最新值",IFERROR(LOOKUP(9.99E+307,G1153:R1153),""),SUM(G1153:R1153))))</f>
        <v/>
      </c>
      <c r="T1153" s="33" t="n"/>
      <c r="U1153" s="33" t="n"/>
    </row>
    <row r="1154">
      <c r="A1154" s="26">
        <f>IF($B1154="","",ROW()-3)</f>
        <v/>
      </c>
      <c r="B1154" s="27" t="n"/>
      <c r="C1154" s="27" t="n"/>
      <c r="D1154" s="28" t="n"/>
      <c r="E1154" s="29" t="n"/>
      <c r="F1154" s="30" t="n"/>
      <c r="G1154" s="31" t="n"/>
      <c r="H1154" s="31" t="n"/>
      <c r="I1154" s="31" t="n"/>
      <c r="J1154" s="31" t="n"/>
      <c r="K1154" s="31" t="n"/>
      <c r="L1154" s="31" t="n"/>
      <c r="M1154" s="31" t="n"/>
      <c r="N1154" s="31" t="n"/>
      <c r="O1154" s="31" t="n"/>
      <c r="P1154" s="31" t="n"/>
      <c r="Q1154" s="31" t="n"/>
      <c r="R1154" s="31" t="n"/>
      <c r="S1154" s="32">
        <f>IF($F1154="","",IF(IFERROR(VLOOKUP($F1154,'维度字典'!$I$2:$J$50,2,0),"求和")="手工录入","",IF(IFERROR(VLOOKUP($F1154,'维度字典'!$I$2:$J$50,2,0),"求和")="最新值",IFERROR(LOOKUP(9.99E+307,G1154:R1154),""),SUM(G1154:R1154))))</f>
        <v/>
      </c>
      <c r="T1154" s="33" t="n"/>
      <c r="U1154" s="33" t="n"/>
    </row>
    <row r="1155">
      <c r="A1155" s="26">
        <f>IF($B1155="","",ROW()-3)</f>
        <v/>
      </c>
      <c r="B1155" s="27" t="n"/>
      <c r="C1155" s="27" t="n"/>
      <c r="D1155" s="28" t="n"/>
      <c r="E1155" s="29" t="n"/>
      <c r="F1155" s="30" t="n"/>
      <c r="G1155" s="31" t="n"/>
      <c r="H1155" s="31" t="n"/>
      <c r="I1155" s="31" t="n"/>
      <c r="J1155" s="31" t="n"/>
      <c r="K1155" s="31" t="n"/>
      <c r="L1155" s="31" t="n"/>
      <c r="M1155" s="31" t="n"/>
      <c r="N1155" s="31" t="n"/>
      <c r="O1155" s="31" t="n"/>
      <c r="P1155" s="31" t="n"/>
      <c r="Q1155" s="31" t="n"/>
      <c r="R1155" s="31" t="n"/>
      <c r="S1155" s="32">
        <f>IF($F1155="","",IF(IFERROR(VLOOKUP($F1155,'维度字典'!$I$2:$J$50,2,0),"求和")="手工录入","",IF(IFERROR(VLOOKUP($F1155,'维度字典'!$I$2:$J$50,2,0),"求和")="最新值",IFERROR(LOOKUP(9.99E+307,G1155:R1155),""),SUM(G1155:R1155))))</f>
        <v/>
      </c>
      <c r="T1155" s="33" t="n"/>
      <c r="U1155" s="33" t="n"/>
    </row>
    <row r="1156">
      <c r="A1156" s="26">
        <f>IF($B1156="","",ROW()-3)</f>
        <v/>
      </c>
      <c r="B1156" s="27" t="n"/>
      <c r="C1156" s="27" t="n"/>
      <c r="D1156" s="28" t="n"/>
      <c r="E1156" s="29" t="n"/>
      <c r="F1156" s="30" t="n"/>
      <c r="G1156" s="31" t="n"/>
      <c r="H1156" s="31" t="n"/>
      <c r="I1156" s="31" t="n"/>
      <c r="J1156" s="31" t="n"/>
      <c r="K1156" s="31" t="n"/>
      <c r="L1156" s="31" t="n"/>
      <c r="M1156" s="31" t="n"/>
      <c r="N1156" s="31" t="n"/>
      <c r="O1156" s="31" t="n"/>
      <c r="P1156" s="31" t="n"/>
      <c r="Q1156" s="31" t="n"/>
      <c r="R1156" s="31" t="n"/>
      <c r="S1156" s="32">
        <f>IF($F1156="","",IF(IFERROR(VLOOKUP($F1156,'维度字典'!$I$2:$J$50,2,0),"求和")="手工录入","",IF(IFERROR(VLOOKUP($F1156,'维度字典'!$I$2:$J$50,2,0),"求和")="最新值",IFERROR(LOOKUP(9.99E+307,G1156:R1156),""),SUM(G1156:R1156))))</f>
        <v/>
      </c>
      <c r="T1156" s="33" t="n"/>
      <c r="U1156" s="33" t="n"/>
    </row>
    <row r="1157">
      <c r="A1157" s="26">
        <f>IF($B1157="","",ROW()-3)</f>
        <v/>
      </c>
      <c r="B1157" s="27" t="n"/>
      <c r="C1157" s="27" t="n"/>
      <c r="D1157" s="28" t="n"/>
      <c r="E1157" s="29" t="n"/>
      <c r="F1157" s="30" t="n"/>
      <c r="G1157" s="31" t="n"/>
      <c r="H1157" s="31" t="n"/>
      <c r="I1157" s="31" t="n"/>
      <c r="J1157" s="31" t="n"/>
      <c r="K1157" s="31" t="n"/>
      <c r="L1157" s="31" t="n"/>
      <c r="M1157" s="31" t="n"/>
      <c r="N1157" s="31" t="n"/>
      <c r="O1157" s="31" t="n"/>
      <c r="P1157" s="31" t="n"/>
      <c r="Q1157" s="31" t="n"/>
      <c r="R1157" s="31" t="n"/>
      <c r="S1157" s="32">
        <f>IF($F1157="","",IF(IFERROR(VLOOKUP($F1157,'维度字典'!$I$2:$J$50,2,0),"求和")="手工录入","",IF(IFERROR(VLOOKUP($F1157,'维度字典'!$I$2:$J$50,2,0),"求和")="最新值",IFERROR(LOOKUP(9.99E+307,G1157:R1157),""),SUM(G1157:R1157))))</f>
        <v/>
      </c>
      <c r="T1157" s="33" t="n"/>
      <c r="U1157" s="33" t="n"/>
    </row>
    <row r="1158">
      <c r="A1158" s="26">
        <f>IF($B1158="","",ROW()-3)</f>
        <v/>
      </c>
      <c r="B1158" s="27" t="n"/>
      <c r="C1158" s="27" t="n"/>
      <c r="D1158" s="28" t="n"/>
      <c r="E1158" s="29" t="n"/>
      <c r="F1158" s="30" t="n"/>
      <c r="G1158" s="31" t="n"/>
      <c r="H1158" s="31" t="n"/>
      <c r="I1158" s="31" t="n"/>
      <c r="J1158" s="31" t="n"/>
      <c r="K1158" s="31" t="n"/>
      <c r="L1158" s="31" t="n"/>
      <c r="M1158" s="31" t="n"/>
      <c r="N1158" s="31" t="n"/>
      <c r="O1158" s="31" t="n"/>
      <c r="P1158" s="31" t="n"/>
      <c r="Q1158" s="31" t="n"/>
      <c r="R1158" s="31" t="n"/>
      <c r="S1158" s="32">
        <f>IF($F1158="","",IF(IFERROR(VLOOKUP($F1158,'维度字典'!$I$2:$J$50,2,0),"求和")="手工录入","",IF(IFERROR(VLOOKUP($F1158,'维度字典'!$I$2:$J$50,2,0),"求和")="最新值",IFERROR(LOOKUP(9.99E+307,G1158:R1158),""),SUM(G1158:R1158))))</f>
        <v/>
      </c>
      <c r="T1158" s="33" t="n"/>
      <c r="U1158" s="33" t="n"/>
    </row>
    <row r="1159">
      <c r="A1159" s="26">
        <f>IF($B1159="","",ROW()-3)</f>
        <v/>
      </c>
      <c r="B1159" s="27" t="n"/>
      <c r="C1159" s="27" t="n"/>
      <c r="D1159" s="28" t="n"/>
      <c r="E1159" s="29" t="n"/>
      <c r="F1159" s="30" t="n"/>
      <c r="G1159" s="31" t="n"/>
      <c r="H1159" s="31" t="n"/>
      <c r="I1159" s="31" t="n"/>
      <c r="J1159" s="31" t="n"/>
      <c r="K1159" s="31" t="n"/>
      <c r="L1159" s="31" t="n"/>
      <c r="M1159" s="31" t="n"/>
      <c r="N1159" s="31" t="n"/>
      <c r="O1159" s="31" t="n"/>
      <c r="P1159" s="31" t="n"/>
      <c r="Q1159" s="31" t="n"/>
      <c r="R1159" s="31" t="n"/>
      <c r="S1159" s="32">
        <f>IF($F1159="","",IF(IFERROR(VLOOKUP($F1159,'维度字典'!$I$2:$J$50,2,0),"求和")="手工录入","",IF(IFERROR(VLOOKUP($F1159,'维度字典'!$I$2:$J$50,2,0),"求和")="最新值",IFERROR(LOOKUP(9.99E+307,G1159:R1159),""),SUM(G1159:R1159))))</f>
        <v/>
      </c>
      <c r="T1159" s="33" t="n"/>
      <c r="U1159" s="33" t="n"/>
    </row>
    <row r="1160">
      <c r="A1160" s="26">
        <f>IF($B1160="","",ROW()-3)</f>
        <v/>
      </c>
      <c r="B1160" s="27" t="n"/>
      <c r="C1160" s="27" t="n"/>
      <c r="D1160" s="28" t="n"/>
      <c r="E1160" s="29" t="n"/>
      <c r="F1160" s="30" t="n"/>
      <c r="G1160" s="31" t="n"/>
      <c r="H1160" s="31" t="n"/>
      <c r="I1160" s="31" t="n"/>
      <c r="J1160" s="31" t="n"/>
      <c r="K1160" s="31" t="n"/>
      <c r="L1160" s="31" t="n"/>
      <c r="M1160" s="31" t="n"/>
      <c r="N1160" s="31" t="n"/>
      <c r="O1160" s="31" t="n"/>
      <c r="P1160" s="31" t="n"/>
      <c r="Q1160" s="31" t="n"/>
      <c r="R1160" s="31" t="n"/>
      <c r="S1160" s="32">
        <f>IF($F1160="","",IF(IFERROR(VLOOKUP($F1160,'维度字典'!$I$2:$J$50,2,0),"求和")="手工录入","",IF(IFERROR(VLOOKUP($F1160,'维度字典'!$I$2:$J$50,2,0),"求和")="最新值",IFERROR(LOOKUP(9.99E+307,G1160:R1160),""),SUM(G1160:R1160))))</f>
        <v/>
      </c>
      <c r="T1160" s="33" t="n"/>
      <c r="U1160" s="33" t="n"/>
    </row>
    <row r="1161">
      <c r="A1161" s="26">
        <f>IF($B1161="","",ROW()-3)</f>
        <v/>
      </c>
      <c r="B1161" s="27" t="n"/>
      <c r="C1161" s="27" t="n"/>
      <c r="D1161" s="28" t="n"/>
      <c r="E1161" s="29" t="n"/>
      <c r="F1161" s="30" t="n"/>
      <c r="G1161" s="31" t="n"/>
      <c r="H1161" s="31" t="n"/>
      <c r="I1161" s="31" t="n"/>
      <c r="J1161" s="31" t="n"/>
      <c r="K1161" s="31" t="n"/>
      <c r="L1161" s="31" t="n"/>
      <c r="M1161" s="31" t="n"/>
      <c r="N1161" s="31" t="n"/>
      <c r="O1161" s="31" t="n"/>
      <c r="P1161" s="31" t="n"/>
      <c r="Q1161" s="31" t="n"/>
      <c r="R1161" s="31" t="n"/>
      <c r="S1161" s="32">
        <f>IF($F1161="","",IF(IFERROR(VLOOKUP($F1161,'维度字典'!$I$2:$J$50,2,0),"求和")="手工录入","",IF(IFERROR(VLOOKUP($F1161,'维度字典'!$I$2:$J$50,2,0),"求和")="最新值",IFERROR(LOOKUP(9.99E+307,G1161:R1161),""),SUM(G1161:R1161))))</f>
        <v/>
      </c>
      <c r="T1161" s="33" t="n"/>
      <c r="U1161" s="33" t="n"/>
    </row>
    <row r="1162">
      <c r="A1162" s="26">
        <f>IF($B1162="","",ROW()-3)</f>
        <v/>
      </c>
      <c r="B1162" s="27" t="n"/>
      <c r="C1162" s="27" t="n"/>
      <c r="D1162" s="28" t="n"/>
      <c r="E1162" s="29" t="n"/>
      <c r="F1162" s="30" t="n"/>
      <c r="G1162" s="31" t="n"/>
      <c r="H1162" s="31" t="n"/>
      <c r="I1162" s="31" t="n"/>
      <c r="J1162" s="31" t="n"/>
      <c r="K1162" s="31" t="n"/>
      <c r="L1162" s="31" t="n"/>
      <c r="M1162" s="31" t="n"/>
      <c r="N1162" s="31" t="n"/>
      <c r="O1162" s="31" t="n"/>
      <c r="P1162" s="31" t="n"/>
      <c r="Q1162" s="31" t="n"/>
      <c r="R1162" s="31" t="n"/>
      <c r="S1162" s="32">
        <f>IF($F1162="","",IF(IFERROR(VLOOKUP($F1162,'维度字典'!$I$2:$J$50,2,0),"求和")="手工录入","",IF(IFERROR(VLOOKUP($F1162,'维度字典'!$I$2:$J$50,2,0),"求和")="最新值",IFERROR(LOOKUP(9.99E+307,G1162:R1162),""),SUM(G1162:R1162))))</f>
        <v/>
      </c>
      <c r="T1162" s="33" t="n"/>
      <c r="U1162" s="33" t="n"/>
    </row>
    <row r="1163">
      <c r="A1163" s="26">
        <f>IF($B1163="","",ROW()-3)</f>
        <v/>
      </c>
      <c r="B1163" s="27" t="n"/>
      <c r="C1163" s="27" t="n"/>
      <c r="D1163" s="28" t="n"/>
      <c r="E1163" s="29" t="n"/>
      <c r="F1163" s="30" t="n"/>
      <c r="G1163" s="31" t="n"/>
      <c r="H1163" s="31" t="n"/>
      <c r="I1163" s="31" t="n"/>
      <c r="J1163" s="31" t="n"/>
      <c r="K1163" s="31" t="n"/>
      <c r="L1163" s="31" t="n"/>
      <c r="M1163" s="31" t="n"/>
      <c r="N1163" s="31" t="n"/>
      <c r="O1163" s="31" t="n"/>
      <c r="P1163" s="31" t="n"/>
      <c r="Q1163" s="31" t="n"/>
      <c r="R1163" s="31" t="n"/>
      <c r="S1163" s="32">
        <f>IF($F1163="","",IF(IFERROR(VLOOKUP($F1163,'维度字典'!$I$2:$J$50,2,0),"求和")="手工录入","",IF(IFERROR(VLOOKUP($F1163,'维度字典'!$I$2:$J$50,2,0),"求和")="最新值",IFERROR(LOOKUP(9.99E+307,G1163:R1163),""),SUM(G1163:R1163))))</f>
        <v/>
      </c>
      <c r="T1163" s="33" t="n"/>
      <c r="U1163" s="33" t="n"/>
    </row>
    <row r="1164">
      <c r="A1164" s="26">
        <f>IF($B1164="","",ROW()-3)</f>
        <v/>
      </c>
      <c r="B1164" s="27" t="n"/>
      <c r="C1164" s="27" t="n"/>
      <c r="D1164" s="28" t="n"/>
      <c r="E1164" s="29" t="n"/>
      <c r="F1164" s="30" t="n"/>
      <c r="G1164" s="31" t="n"/>
      <c r="H1164" s="31" t="n"/>
      <c r="I1164" s="31" t="n"/>
      <c r="J1164" s="31" t="n"/>
      <c r="K1164" s="31" t="n"/>
      <c r="L1164" s="31" t="n"/>
      <c r="M1164" s="31" t="n"/>
      <c r="N1164" s="31" t="n"/>
      <c r="O1164" s="31" t="n"/>
      <c r="P1164" s="31" t="n"/>
      <c r="Q1164" s="31" t="n"/>
      <c r="R1164" s="31" t="n"/>
      <c r="S1164" s="32">
        <f>IF($F1164="","",IF(IFERROR(VLOOKUP($F1164,'维度字典'!$I$2:$J$50,2,0),"求和")="手工录入","",IF(IFERROR(VLOOKUP($F1164,'维度字典'!$I$2:$J$50,2,0),"求和")="最新值",IFERROR(LOOKUP(9.99E+307,G1164:R1164),""),SUM(G1164:R1164))))</f>
        <v/>
      </c>
      <c r="T1164" s="33" t="n"/>
      <c r="U1164" s="33" t="n"/>
    </row>
    <row r="1165">
      <c r="A1165" s="26">
        <f>IF($B1165="","",ROW()-3)</f>
        <v/>
      </c>
      <c r="B1165" s="27" t="n"/>
      <c r="C1165" s="27" t="n"/>
      <c r="D1165" s="28" t="n"/>
      <c r="E1165" s="29" t="n"/>
      <c r="F1165" s="30" t="n"/>
      <c r="G1165" s="31" t="n"/>
      <c r="H1165" s="31" t="n"/>
      <c r="I1165" s="31" t="n"/>
      <c r="J1165" s="31" t="n"/>
      <c r="K1165" s="31" t="n"/>
      <c r="L1165" s="31" t="n"/>
      <c r="M1165" s="31" t="n"/>
      <c r="N1165" s="31" t="n"/>
      <c r="O1165" s="31" t="n"/>
      <c r="P1165" s="31" t="n"/>
      <c r="Q1165" s="31" t="n"/>
      <c r="R1165" s="31" t="n"/>
      <c r="S1165" s="32">
        <f>IF($F1165="","",IF(IFERROR(VLOOKUP($F1165,'维度字典'!$I$2:$J$50,2,0),"求和")="手工录入","",IF(IFERROR(VLOOKUP($F1165,'维度字典'!$I$2:$J$50,2,0),"求和")="最新值",IFERROR(LOOKUP(9.99E+307,G1165:R1165),""),SUM(G1165:R1165))))</f>
        <v/>
      </c>
      <c r="T1165" s="33" t="n"/>
      <c r="U1165" s="33" t="n"/>
    </row>
    <row r="1166">
      <c r="A1166" s="26">
        <f>IF($B1166="","",ROW()-3)</f>
        <v/>
      </c>
      <c r="B1166" s="27" t="n"/>
      <c r="C1166" s="27" t="n"/>
      <c r="D1166" s="28" t="n"/>
      <c r="E1166" s="29" t="n"/>
      <c r="F1166" s="30" t="n"/>
      <c r="G1166" s="31" t="n"/>
      <c r="H1166" s="31" t="n"/>
      <c r="I1166" s="31" t="n"/>
      <c r="J1166" s="31" t="n"/>
      <c r="K1166" s="31" t="n"/>
      <c r="L1166" s="31" t="n"/>
      <c r="M1166" s="31" t="n"/>
      <c r="N1166" s="31" t="n"/>
      <c r="O1166" s="31" t="n"/>
      <c r="P1166" s="31" t="n"/>
      <c r="Q1166" s="31" t="n"/>
      <c r="R1166" s="31" t="n"/>
      <c r="S1166" s="32">
        <f>IF($F1166="","",IF(IFERROR(VLOOKUP($F1166,'维度字典'!$I$2:$J$50,2,0),"求和")="手工录入","",IF(IFERROR(VLOOKUP($F1166,'维度字典'!$I$2:$J$50,2,0),"求和")="最新值",IFERROR(LOOKUP(9.99E+307,G1166:R1166),""),SUM(G1166:R1166))))</f>
        <v/>
      </c>
      <c r="T1166" s="33" t="n"/>
      <c r="U1166" s="33" t="n"/>
    </row>
    <row r="1167">
      <c r="A1167" s="26">
        <f>IF($B1167="","",ROW()-3)</f>
        <v/>
      </c>
      <c r="B1167" s="27" t="n"/>
      <c r="C1167" s="27" t="n"/>
      <c r="D1167" s="28" t="n"/>
      <c r="E1167" s="29" t="n"/>
      <c r="F1167" s="30" t="n"/>
      <c r="G1167" s="31" t="n"/>
      <c r="H1167" s="31" t="n"/>
      <c r="I1167" s="31" t="n"/>
      <c r="J1167" s="31" t="n"/>
      <c r="K1167" s="31" t="n"/>
      <c r="L1167" s="31" t="n"/>
      <c r="M1167" s="31" t="n"/>
      <c r="N1167" s="31" t="n"/>
      <c r="O1167" s="31" t="n"/>
      <c r="P1167" s="31" t="n"/>
      <c r="Q1167" s="31" t="n"/>
      <c r="R1167" s="31" t="n"/>
      <c r="S1167" s="32">
        <f>IF($F1167="","",IF(IFERROR(VLOOKUP($F1167,'维度字典'!$I$2:$J$50,2,0),"求和")="手工录入","",IF(IFERROR(VLOOKUP($F1167,'维度字典'!$I$2:$J$50,2,0),"求和")="最新值",IFERROR(LOOKUP(9.99E+307,G1167:R1167),""),SUM(G1167:R1167))))</f>
        <v/>
      </c>
      <c r="T1167" s="33" t="n"/>
      <c r="U1167" s="33" t="n"/>
    </row>
    <row r="1168">
      <c r="A1168" s="26">
        <f>IF($B1168="","",ROW()-3)</f>
        <v/>
      </c>
      <c r="B1168" s="27" t="n"/>
      <c r="C1168" s="27" t="n"/>
      <c r="D1168" s="28" t="n"/>
      <c r="E1168" s="29" t="n"/>
      <c r="F1168" s="30" t="n"/>
      <c r="G1168" s="31" t="n"/>
      <c r="H1168" s="31" t="n"/>
      <c r="I1168" s="31" t="n"/>
      <c r="J1168" s="31" t="n"/>
      <c r="K1168" s="31" t="n"/>
      <c r="L1168" s="31" t="n"/>
      <c r="M1168" s="31" t="n"/>
      <c r="N1168" s="31" t="n"/>
      <c r="O1168" s="31" t="n"/>
      <c r="P1168" s="31" t="n"/>
      <c r="Q1168" s="31" t="n"/>
      <c r="R1168" s="31" t="n"/>
      <c r="S1168" s="32">
        <f>IF($F1168="","",IF(IFERROR(VLOOKUP($F1168,'维度字典'!$I$2:$J$50,2,0),"求和")="手工录入","",IF(IFERROR(VLOOKUP($F1168,'维度字典'!$I$2:$J$50,2,0),"求和")="最新值",IFERROR(LOOKUP(9.99E+307,G1168:R1168),""),SUM(G1168:R1168))))</f>
        <v/>
      </c>
      <c r="T1168" s="33" t="n"/>
      <c r="U1168" s="33" t="n"/>
    </row>
    <row r="1169">
      <c r="A1169" s="26">
        <f>IF($B1169="","",ROW()-3)</f>
        <v/>
      </c>
      <c r="B1169" s="27" t="n"/>
      <c r="C1169" s="27" t="n"/>
      <c r="D1169" s="28" t="n"/>
      <c r="E1169" s="29" t="n"/>
      <c r="F1169" s="30" t="n"/>
      <c r="G1169" s="31" t="n"/>
      <c r="H1169" s="31" t="n"/>
      <c r="I1169" s="31" t="n"/>
      <c r="J1169" s="31" t="n"/>
      <c r="K1169" s="31" t="n"/>
      <c r="L1169" s="31" t="n"/>
      <c r="M1169" s="31" t="n"/>
      <c r="N1169" s="31" t="n"/>
      <c r="O1169" s="31" t="n"/>
      <c r="P1169" s="31" t="n"/>
      <c r="Q1169" s="31" t="n"/>
      <c r="R1169" s="31" t="n"/>
      <c r="S1169" s="32">
        <f>IF($F1169="","",IF(IFERROR(VLOOKUP($F1169,'维度字典'!$I$2:$J$50,2,0),"求和")="手工录入","",IF(IFERROR(VLOOKUP($F1169,'维度字典'!$I$2:$J$50,2,0),"求和")="最新值",IFERROR(LOOKUP(9.99E+307,G1169:R1169),""),SUM(G1169:R1169))))</f>
        <v/>
      </c>
      <c r="T1169" s="33" t="n"/>
      <c r="U1169" s="33" t="n"/>
    </row>
    <row r="1170">
      <c r="A1170" s="26">
        <f>IF($B1170="","",ROW()-3)</f>
        <v/>
      </c>
      <c r="B1170" s="27" t="n"/>
      <c r="C1170" s="27" t="n"/>
      <c r="D1170" s="28" t="n"/>
      <c r="E1170" s="29" t="n"/>
      <c r="F1170" s="30" t="n"/>
      <c r="G1170" s="31" t="n"/>
      <c r="H1170" s="31" t="n"/>
      <c r="I1170" s="31" t="n"/>
      <c r="J1170" s="31" t="n"/>
      <c r="K1170" s="31" t="n"/>
      <c r="L1170" s="31" t="n"/>
      <c r="M1170" s="31" t="n"/>
      <c r="N1170" s="31" t="n"/>
      <c r="O1170" s="31" t="n"/>
      <c r="P1170" s="31" t="n"/>
      <c r="Q1170" s="31" t="n"/>
      <c r="R1170" s="31" t="n"/>
      <c r="S1170" s="32">
        <f>IF($F1170="","",IF(IFERROR(VLOOKUP($F1170,'维度字典'!$I$2:$J$50,2,0),"求和")="手工录入","",IF(IFERROR(VLOOKUP($F1170,'维度字典'!$I$2:$J$50,2,0),"求和")="最新值",IFERROR(LOOKUP(9.99E+307,G1170:R1170),""),SUM(G1170:R1170))))</f>
        <v/>
      </c>
      <c r="T1170" s="33" t="n"/>
      <c r="U1170" s="33" t="n"/>
    </row>
    <row r="1171">
      <c r="A1171" s="26">
        <f>IF($B1171="","",ROW()-3)</f>
        <v/>
      </c>
      <c r="B1171" s="27" t="n"/>
      <c r="C1171" s="27" t="n"/>
      <c r="D1171" s="28" t="n"/>
      <c r="E1171" s="29" t="n"/>
      <c r="F1171" s="30" t="n"/>
      <c r="G1171" s="31" t="n"/>
      <c r="H1171" s="31" t="n"/>
      <c r="I1171" s="31" t="n"/>
      <c r="J1171" s="31" t="n"/>
      <c r="K1171" s="31" t="n"/>
      <c r="L1171" s="31" t="n"/>
      <c r="M1171" s="31" t="n"/>
      <c r="N1171" s="31" t="n"/>
      <c r="O1171" s="31" t="n"/>
      <c r="P1171" s="31" t="n"/>
      <c r="Q1171" s="31" t="n"/>
      <c r="R1171" s="31" t="n"/>
      <c r="S1171" s="32">
        <f>IF($F1171="","",IF(IFERROR(VLOOKUP($F1171,'维度字典'!$I$2:$J$50,2,0),"求和")="手工录入","",IF(IFERROR(VLOOKUP($F1171,'维度字典'!$I$2:$J$50,2,0),"求和")="最新值",IFERROR(LOOKUP(9.99E+307,G1171:R1171),""),SUM(G1171:R1171))))</f>
        <v/>
      </c>
      <c r="T1171" s="33" t="n"/>
      <c r="U1171" s="33" t="n"/>
    </row>
    <row r="1172">
      <c r="A1172" s="26">
        <f>IF($B1172="","",ROW()-3)</f>
        <v/>
      </c>
      <c r="B1172" s="27" t="n"/>
      <c r="C1172" s="27" t="n"/>
      <c r="D1172" s="28" t="n"/>
      <c r="E1172" s="29" t="n"/>
      <c r="F1172" s="30" t="n"/>
      <c r="G1172" s="31" t="n"/>
      <c r="H1172" s="31" t="n"/>
      <c r="I1172" s="31" t="n"/>
      <c r="J1172" s="31" t="n"/>
      <c r="K1172" s="31" t="n"/>
      <c r="L1172" s="31" t="n"/>
      <c r="M1172" s="31" t="n"/>
      <c r="N1172" s="31" t="n"/>
      <c r="O1172" s="31" t="n"/>
      <c r="P1172" s="31" t="n"/>
      <c r="Q1172" s="31" t="n"/>
      <c r="R1172" s="31" t="n"/>
      <c r="S1172" s="32">
        <f>IF($F1172="","",IF(IFERROR(VLOOKUP($F1172,'维度字典'!$I$2:$J$50,2,0),"求和")="手工录入","",IF(IFERROR(VLOOKUP($F1172,'维度字典'!$I$2:$J$50,2,0),"求和")="最新值",IFERROR(LOOKUP(9.99E+307,G1172:R1172),""),SUM(G1172:R1172))))</f>
        <v/>
      </c>
      <c r="T1172" s="33" t="n"/>
      <c r="U1172" s="33" t="n"/>
    </row>
    <row r="1173">
      <c r="A1173" s="26">
        <f>IF($B1173="","",ROW()-3)</f>
        <v/>
      </c>
      <c r="B1173" s="27" t="n"/>
      <c r="C1173" s="27" t="n"/>
      <c r="D1173" s="28" t="n"/>
      <c r="E1173" s="29" t="n"/>
      <c r="F1173" s="30" t="n"/>
      <c r="G1173" s="31" t="n"/>
      <c r="H1173" s="31" t="n"/>
      <c r="I1173" s="31" t="n"/>
      <c r="J1173" s="31" t="n"/>
      <c r="K1173" s="31" t="n"/>
      <c r="L1173" s="31" t="n"/>
      <c r="M1173" s="31" t="n"/>
      <c r="N1173" s="31" t="n"/>
      <c r="O1173" s="31" t="n"/>
      <c r="P1173" s="31" t="n"/>
      <c r="Q1173" s="31" t="n"/>
      <c r="R1173" s="31" t="n"/>
      <c r="S1173" s="32">
        <f>IF($F1173="","",IF(IFERROR(VLOOKUP($F1173,'维度字典'!$I$2:$J$50,2,0),"求和")="手工录入","",IF(IFERROR(VLOOKUP($F1173,'维度字典'!$I$2:$J$50,2,0),"求和")="最新值",IFERROR(LOOKUP(9.99E+307,G1173:R1173),""),SUM(G1173:R1173))))</f>
        <v/>
      </c>
      <c r="T1173" s="33" t="n"/>
      <c r="U1173" s="33" t="n"/>
    </row>
    <row r="1174">
      <c r="A1174" s="26">
        <f>IF($B1174="","",ROW()-3)</f>
        <v/>
      </c>
      <c r="B1174" s="27" t="n"/>
      <c r="C1174" s="27" t="n"/>
      <c r="D1174" s="28" t="n"/>
      <c r="E1174" s="29" t="n"/>
      <c r="F1174" s="30" t="n"/>
      <c r="G1174" s="31" t="n"/>
      <c r="H1174" s="31" t="n"/>
      <c r="I1174" s="31" t="n"/>
      <c r="J1174" s="31" t="n"/>
      <c r="K1174" s="31" t="n"/>
      <c r="L1174" s="31" t="n"/>
      <c r="M1174" s="31" t="n"/>
      <c r="N1174" s="31" t="n"/>
      <c r="O1174" s="31" t="n"/>
      <c r="P1174" s="31" t="n"/>
      <c r="Q1174" s="31" t="n"/>
      <c r="R1174" s="31" t="n"/>
      <c r="S1174" s="32">
        <f>IF($F1174="","",IF(IFERROR(VLOOKUP($F1174,'维度字典'!$I$2:$J$50,2,0),"求和")="手工录入","",IF(IFERROR(VLOOKUP($F1174,'维度字典'!$I$2:$J$50,2,0),"求和")="最新值",IFERROR(LOOKUP(9.99E+307,G1174:R1174),""),SUM(G1174:R1174))))</f>
        <v/>
      </c>
      <c r="T1174" s="33" t="n"/>
      <c r="U1174" s="33" t="n"/>
    </row>
    <row r="1175">
      <c r="A1175" s="26">
        <f>IF($B1175="","",ROW()-3)</f>
        <v/>
      </c>
      <c r="B1175" s="27" t="n"/>
      <c r="C1175" s="27" t="n"/>
      <c r="D1175" s="28" t="n"/>
      <c r="E1175" s="29" t="n"/>
      <c r="F1175" s="30" t="n"/>
      <c r="G1175" s="31" t="n"/>
      <c r="H1175" s="31" t="n"/>
      <c r="I1175" s="31" t="n"/>
      <c r="J1175" s="31" t="n"/>
      <c r="K1175" s="31" t="n"/>
      <c r="L1175" s="31" t="n"/>
      <c r="M1175" s="31" t="n"/>
      <c r="N1175" s="31" t="n"/>
      <c r="O1175" s="31" t="n"/>
      <c r="P1175" s="31" t="n"/>
      <c r="Q1175" s="31" t="n"/>
      <c r="R1175" s="31" t="n"/>
      <c r="S1175" s="32">
        <f>IF($F1175="","",IF(IFERROR(VLOOKUP($F1175,'维度字典'!$I$2:$J$50,2,0),"求和")="手工录入","",IF(IFERROR(VLOOKUP($F1175,'维度字典'!$I$2:$J$50,2,0),"求和")="最新值",IFERROR(LOOKUP(9.99E+307,G1175:R1175),""),SUM(G1175:R1175))))</f>
        <v/>
      </c>
      <c r="T1175" s="33" t="n"/>
      <c r="U1175" s="33" t="n"/>
    </row>
    <row r="1176">
      <c r="A1176" s="26">
        <f>IF($B1176="","",ROW()-3)</f>
        <v/>
      </c>
      <c r="B1176" s="27" t="n"/>
      <c r="C1176" s="27" t="n"/>
      <c r="D1176" s="28" t="n"/>
      <c r="E1176" s="29" t="n"/>
      <c r="F1176" s="30" t="n"/>
      <c r="G1176" s="31" t="n"/>
      <c r="H1176" s="31" t="n"/>
      <c r="I1176" s="31" t="n"/>
      <c r="J1176" s="31" t="n"/>
      <c r="K1176" s="31" t="n"/>
      <c r="L1176" s="31" t="n"/>
      <c r="M1176" s="31" t="n"/>
      <c r="N1176" s="31" t="n"/>
      <c r="O1176" s="31" t="n"/>
      <c r="P1176" s="31" t="n"/>
      <c r="Q1176" s="31" t="n"/>
      <c r="R1176" s="31" t="n"/>
      <c r="S1176" s="32">
        <f>IF($F1176="","",IF(IFERROR(VLOOKUP($F1176,'维度字典'!$I$2:$J$50,2,0),"求和")="手工录入","",IF(IFERROR(VLOOKUP($F1176,'维度字典'!$I$2:$J$50,2,0),"求和")="最新值",IFERROR(LOOKUP(9.99E+307,G1176:R1176),""),SUM(G1176:R1176))))</f>
        <v/>
      </c>
      <c r="T1176" s="33" t="n"/>
      <c r="U1176" s="33" t="n"/>
    </row>
    <row r="1177">
      <c r="A1177" s="26">
        <f>IF($B1177="","",ROW()-3)</f>
        <v/>
      </c>
      <c r="B1177" s="27" t="n"/>
      <c r="C1177" s="27" t="n"/>
      <c r="D1177" s="28" t="n"/>
      <c r="E1177" s="29" t="n"/>
      <c r="F1177" s="30" t="n"/>
      <c r="G1177" s="31" t="n"/>
      <c r="H1177" s="31" t="n"/>
      <c r="I1177" s="31" t="n"/>
      <c r="J1177" s="31" t="n"/>
      <c r="K1177" s="31" t="n"/>
      <c r="L1177" s="31" t="n"/>
      <c r="M1177" s="31" t="n"/>
      <c r="N1177" s="31" t="n"/>
      <c r="O1177" s="31" t="n"/>
      <c r="P1177" s="31" t="n"/>
      <c r="Q1177" s="31" t="n"/>
      <c r="R1177" s="31" t="n"/>
      <c r="S1177" s="32">
        <f>IF($F1177="","",IF(IFERROR(VLOOKUP($F1177,'维度字典'!$I$2:$J$50,2,0),"求和")="手工录入","",IF(IFERROR(VLOOKUP($F1177,'维度字典'!$I$2:$J$50,2,0),"求和")="最新值",IFERROR(LOOKUP(9.99E+307,G1177:R1177),""),SUM(G1177:R1177))))</f>
        <v/>
      </c>
      <c r="T1177" s="33" t="n"/>
      <c r="U1177" s="33" t="n"/>
    </row>
    <row r="1178">
      <c r="A1178" s="26">
        <f>IF($B1178="","",ROW()-3)</f>
        <v/>
      </c>
      <c r="B1178" s="27" t="n"/>
      <c r="C1178" s="27" t="n"/>
      <c r="D1178" s="28" t="n"/>
      <c r="E1178" s="29" t="n"/>
      <c r="F1178" s="30" t="n"/>
      <c r="G1178" s="31" t="n"/>
      <c r="H1178" s="31" t="n"/>
      <c r="I1178" s="31" t="n"/>
      <c r="J1178" s="31" t="n"/>
      <c r="K1178" s="31" t="n"/>
      <c r="L1178" s="31" t="n"/>
      <c r="M1178" s="31" t="n"/>
      <c r="N1178" s="31" t="n"/>
      <c r="O1178" s="31" t="n"/>
      <c r="P1178" s="31" t="n"/>
      <c r="Q1178" s="31" t="n"/>
      <c r="R1178" s="31" t="n"/>
      <c r="S1178" s="32">
        <f>IF($F1178="","",IF(IFERROR(VLOOKUP($F1178,'维度字典'!$I$2:$J$50,2,0),"求和")="手工录入","",IF(IFERROR(VLOOKUP($F1178,'维度字典'!$I$2:$J$50,2,0),"求和")="最新值",IFERROR(LOOKUP(9.99E+307,G1178:R1178),""),SUM(G1178:R1178))))</f>
        <v/>
      </c>
      <c r="T1178" s="33" t="n"/>
      <c r="U1178" s="33" t="n"/>
    </row>
    <row r="1179">
      <c r="A1179" s="26">
        <f>IF($B1179="","",ROW()-3)</f>
        <v/>
      </c>
      <c r="B1179" s="27" t="n"/>
      <c r="C1179" s="27" t="n"/>
      <c r="D1179" s="28" t="n"/>
      <c r="E1179" s="29" t="n"/>
      <c r="F1179" s="30" t="n"/>
      <c r="G1179" s="31" t="n"/>
      <c r="H1179" s="31" t="n"/>
      <c r="I1179" s="31" t="n"/>
      <c r="J1179" s="31" t="n"/>
      <c r="K1179" s="31" t="n"/>
      <c r="L1179" s="31" t="n"/>
      <c r="M1179" s="31" t="n"/>
      <c r="N1179" s="31" t="n"/>
      <c r="O1179" s="31" t="n"/>
      <c r="P1179" s="31" t="n"/>
      <c r="Q1179" s="31" t="n"/>
      <c r="R1179" s="31" t="n"/>
      <c r="S1179" s="32">
        <f>IF($F1179="","",IF(IFERROR(VLOOKUP($F1179,'维度字典'!$I$2:$J$50,2,0),"求和")="手工录入","",IF(IFERROR(VLOOKUP($F1179,'维度字典'!$I$2:$J$50,2,0),"求和")="最新值",IFERROR(LOOKUP(9.99E+307,G1179:R1179),""),SUM(G1179:R1179))))</f>
        <v/>
      </c>
      <c r="T1179" s="33" t="n"/>
      <c r="U1179" s="33" t="n"/>
    </row>
    <row r="1180">
      <c r="A1180" s="26">
        <f>IF($B1180="","",ROW()-3)</f>
        <v/>
      </c>
      <c r="B1180" s="27" t="n"/>
      <c r="C1180" s="27" t="n"/>
      <c r="D1180" s="28" t="n"/>
      <c r="E1180" s="29" t="n"/>
      <c r="F1180" s="30" t="n"/>
      <c r="G1180" s="31" t="n"/>
      <c r="H1180" s="31" t="n"/>
      <c r="I1180" s="31" t="n"/>
      <c r="J1180" s="31" t="n"/>
      <c r="K1180" s="31" t="n"/>
      <c r="L1180" s="31" t="n"/>
      <c r="M1180" s="31" t="n"/>
      <c r="N1180" s="31" t="n"/>
      <c r="O1180" s="31" t="n"/>
      <c r="P1180" s="31" t="n"/>
      <c r="Q1180" s="31" t="n"/>
      <c r="R1180" s="31" t="n"/>
      <c r="S1180" s="32">
        <f>IF($F1180="","",IF(IFERROR(VLOOKUP($F1180,'维度字典'!$I$2:$J$50,2,0),"求和")="手工录入","",IF(IFERROR(VLOOKUP($F1180,'维度字典'!$I$2:$J$50,2,0),"求和")="最新值",IFERROR(LOOKUP(9.99E+307,G1180:R1180),""),SUM(G1180:R1180))))</f>
        <v/>
      </c>
      <c r="T1180" s="33" t="n"/>
      <c r="U1180" s="33" t="n"/>
    </row>
    <row r="1181">
      <c r="A1181" s="26">
        <f>IF($B1181="","",ROW()-3)</f>
        <v/>
      </c>
      <c r="B1181" s="27" t="n"/>
      <c r="C1181" s="27" t="n"/>
      <c r="D1181" s="28" t="n"/>
      <c r="E1181" s="29" t="n"/>
      <c r="F1181" s="30" t="n"/>
      <c r="G1181" s="31" t="n"/>
      <c r="H1181" s="31" t="n"/>
      <c r="I1181" s="31" t="n"/>
      <c r="J1181" s="31" t="n"/>
      <c r="K1181" s="31" t="n"/>
      <c r="L1181" s="31" t="n"/>
      <c r="M1181" s="31" t="n"/>
      <c r="N1181" s="31" t="n"/>
      <c r="O1181" s="31" t="n"/>
      <c r="P1181" s="31" t="n"/>
      <c r="Q1181" s="31" t="n"/>
      <c r="R1181" s="31" t="n"/>
      <c r="S1181" s="32">
        <f>IF($F1181="","",IF(IFERROR(VLOOKUP($F1181,'维度字典'!$I$2:$J$50,2,0),"求和")="手工录入","",IF(IFERROR(VLOOKUP($F1181,'维度字典'!$I$2:$J$50,2,0),"求和")="最新值",IFERROR(LOOKUP(9.99E+307,G1181:R1181),""),SUM(G1181:R1181))))</f>
        <v/>
      </c>
      <c r="T1181" s="33" t="n"/>
      <c r="U1181" s="33" t="n"/>
    </row>
    <row r="1182">
      <c r="A1182" s="26">
        <f>IF($B1182="","",ROW()-3)</f>
        <v/>
      </c>
      <c r="B1182" s="27" t="n"/>
      <c r="C1182" s="27" t="n"/>
      <c r="D1182" s="28" t="n"/>
      <c r="E1182" s="29" t="n"/>
      <c r="F1182" s="30" t="n"/>
      <c r="G1182" s="31" t="n"/>
      <c r="H1182" s="31" t="n"/>
      <c r="I1182" s="31" t="n"/>
      <c r="J1182" s="31" t="n"/>
      <c r="K1182" s="31" t="n"/>
      <c r="L1182" s="31" t="n"/>
      <c r="M1182" s="31" t="n"/>
      <c r="N1182" s="31" t="n"/>
      <c r="O1182" s="31" t="n"/>
      <c r="P1182" s="31" t="n"/>
      <c r="Q1182" s="31" t="n"/>
      <c r="R1182" s="31" t="n"/>
      <c r="S1182" s="32">
        <f>IF($F1182="","",IF(IFERROR(VLOOKUP($F1182,'维度字典'!$I$2:$J$50,2,0),"求和")="手工录入","",IF(IFERROR(VLOOKUP($F1182,'维度字典'!$I$2:$J$50,2,0),"求和")="最新值",IFERROR(LOOKUP(9.99E+307,G1182:R1182),""),SUM(G1182:R1182))))</f>
        <v/>
      </c>
      <c r="T1182" s="33" t="n"/>
      <c r="U1182" s="33" t="n"/>
    </row>
    <row r="1183">
      <c r="A1183" s="26">
        <f>IF($B1183="","",ROW()-3)</f>
        <v/>
      </c>
      <c r="B1183" s="27" t="n"/>
      <c r="C1183" s="27" t="n"/>
      <c r="D1183" s="28" t="n"/>
      <c r="E1183" s="29" t="n"/>
      <c r="F1183" s="30" t="n"/>
      <c r="G1183" s="31" t="n"/>
      <c r="H1183" s="31" t="n"/>
      <c r="I1183" s="31" t="n"/>
      <c r="J1183" s="31" t="n"/>
      <c r="K1183" s="31" t="n"/>
      <c r="L1183" s="31" t="n"/>
      <c r="M1183" s="31" t="n"/>
      <c r="N1183" s="31" t="n"/>
      <c r="O1183" s="31" t="n"/>
      <c r="P1183" s="31" t="n"/>
      <c r="Q1183" s="31" t="n"/>
      <c r="R1183" s="31" t="n"/>
      <c r="S1183" s="32">
        <f>IF($F1183="","",IF(IFERROR(VLOOKUP($F1183,'维度字典'!$I$2:$J$50,2,0),"求和")="手工录入","",IF(IFERROR(VLOOKUP($F1183,'维度字典'!$I$2:$J$50,2,0),"求和")="最新值",IFERROR(LOOKUP(9.99E+307,G1183:R1183),""),SUM(G1183:R1183))))</f>
        <v/>
      </c>
      <c r="T1183" s="33" t="n"/>
      <c r="U1183" s="33" t="n"/>
    </row>
    <row r="1184">
      <c r="A1184" s="26">
        <f>IF($B1184="","",ROW()-3)</f>
        <v/>
      </c>
      <c r="B1184" s="27" t="n"/>
      <c r="C1184" s="27" t="n"/>
      <c r="D1184" s="28" t="n"/>
      <c r="E1184" s="29" t="n"/>
      <c r="F1184" s="30" t="n"/>
      <c r="G1184" s="31" t="n"/>
      <c r="H1184" s="31" t="n"/>
      <c r="I1184" s="31" t="n"/>
      <c r="J1184" s="31" t="n"/>
      <c r="K1184" s="31" t="n"/>
      <c r="L1184" s="31" t="n"/>
      <c r="M1184" s="31" t="n"/>
      <c r="N1184" s="31" t="n"/>
      <c r="O1184" s="31" t="n"/>
      <c r="P1184" s="31" t="n"/>
      <c r="Q1184" s="31" t="n"/>
      <c r="R1184" s="31" t="n"/>
      <c r="S1184" s="32">
        <f>IF($F1184="","",IF(IFERROR(VLOOKUP($F1184,'维度字典'!$I$2:$J$50,2,0),"求和")="手工录入","",IF(IFERROR(VLOOKUP($F1184,'维度字典'!$I$2:$J$50,2,0),"求和")="最新值",IFERROR(LOOKUP(9.99E+307,G1184:R1184),""),SUM(G1184:R1184))))</f>
        <v/>
      </c>
      <c r="T1184" s="33" t="n"/>
      <c r="U1184" s="33" t="n"/>
    </row>
    <row r="1185">
      <c r="A1185" s="26">
        <f>IF($B1185="","",ROW()-3)</f>
        <v/>
      </c>
      <c r="B1185" s="27" t="n"/>
      <c r="C1185" s="27" t="n"/>
      <c r="D1185" s="28" t="n"/>
      <c r="E1185" s="29" t="n"/>
      <c r="F1185" s="30" t="n"/>
      <c r="G1185" s="31" t="n"/>
      <c r="H1185" s="31" t="n"/>
      <c r="I1185" s="31" t="n"/>
      <c r="J1185" s="31" t="n"/>
      <c r="K1185" s="31" t="n"/>
      <c r="L1185" s="31" t="n"/>
      <c r="M1185" s="31" t="n"/>
      <c r="N1185" s="31" t="n"/>
      <c r="O1185" s="31" t="n"/>
      <c r="P1185" s="31" t="n"/>
      <c r="Q1185" s="31" t="n"/>
      <c r="R1185" s="31" t="n"/>
      <c r="S1185" s="32">
        <f>IF($F1185="","",IF(IFERROR(VLOOKUP($F1185,'维度字典'!$I$2:$J$50,2,0),"求和")="手工录入","",IF(IFERROR(VLOOKUP($F1185,'维度字典'!$I$2:$J$50,2,0),"求和")="最新值",IFERROR(LOOKUP(9.99E+307,G1185:R1185),""),SUM(G1185:R1185))))</f>
        <v/>
      </c>
      <c r="T1185" s="33" t="n"/>
      <c r="U1185" s="33" t="n"/>
    </row>
    <row r="1186">
      <c r="A1186" s="26">
        <f>IF($B1186="","",ROW()-3)</f>
        <v/>
      </c>
      <c r="B1186" s="27" t="n"/>
      <c r="C1186" s="27" t="n"/>
      <c r="D1186" s="28" t="n"/>
      <c r="E1186" s="29" t="n"/>
      <c r="F1186" s="30" t="n"/>
      <c r="G1186" s="31" t="n"/>
      <c r="H1186" s="31" t="n"/>
      <c r="I1186" s="31" t="n"/>
      <c r="J1186" s="31" t="n"/>
      <c r="K1186" s="31" t="n"/>
      <c r="L1186" s="31" t="n"/>
      <c r="M1186" s="31" t="n"/>
      <c r="N1186" s="31" t="n"/>
      <c r="O1186" s="31" t="n"/>
      <c r="P1186" s="31" t="n"/>
      <c r="Q1186" s="31" t="n"/>
      <c r="R1186" s="31" t="n"/>
      <c r="S1186" s="32">
        <f>IF($F1186="","",IF(IFERROR(VLOOKUP($F1186,'维度字典'!$I$2:$J$50,2,0),"求和")="手工录入","",IF(IFERROR(VLOOKUP($F1186,'维度字典'!$I$2:$J$50,2,0),"求和")="最新值",IFERROR(LOOKUP(9.99E+307,G1186:R1186),""),SUM(G1186:R1186))))</f>
        <v/>
      </c>
      <c r="T1186" s="33" t="n"/>
      <c r="U1186" s="33" t="n"/>
    </row>
    <row r="1187">
      <c r="A1187" s="26">
        <f>IF($B1187="","",ROW()-3)</f>
        <v/>
      </c>
      <c r="B1187" s="27" t="n"/>
      <c r="C1187" s="27" t="n"/>
      <c r="D1187" s="28" t="n"/>
      <c r="E1187" s="29" t="n"/>
      <c r="F1187" s="30" t="n"/>
      <c r="G1187" s="31" t="n"/>
      <c r="H1187" s="31" t="n"/>
      <c r="I1187" s="31" t="n"/>
      <c r="J1187" s="31" t="n"/>
      <c r="K1187" s="31" t="n"/>
      <c r="L1187" s="31" t="n"/>
      <c r="M1187" s="31" t="n"/>
      <c r="N1187" s="31" t="n"/>
      <c r="O1187" s="31" t="n"/>
      <c r="P1187" s="31" t="n"/>
      <c r="Q1187" s="31" t="n"/>
      <c r="R1187" s="31" t="n"/>
      <c r="S1187" s="32">
        <f>IF($F1187="","",IF(IFERROR(VLOOKUP($F1187,'维度字典'!$I$2:$J$50,2,0),"求和")="手工录入","",IF(IFERROR(VLOOKUP($F1187,'维度字典'!$I$2:$J$50,2,0),"求和")="最新值",IFERROR(LOOKUP(9.99E+307,G1187:R1187),""),SUM(G1187:R1187))))</f>
        <v/>
      </c>
      <c r="T1187" s="33" t="n"/>
      <c r="U1187" s="33" t="n"/>
    </row>
    <row r="1188">
      <c r="A1188" s="26">
        <f>IF($B1188="","",ROW()-3)</f>
        <v/>
      </c>
      <c r="B1188" s="27" t="n"/>
      <c r="C1188" s="27" t="n"/>
      <c r="D1188" s="28" t="n"/>
      <c r="E1188" s="29" t="n"/>
      <c r="F1188" s="30" t="n"/>
      <c r="G1188" s="31" t="n"/>
      <c r="H1188" s="31" t="n"/>
      <c r="I1188" s="31" t="n"/>
      <c r="J1188" s="31" t="n"/>
      <c r="K1188" s="31" t="n"/>
      <c r="L1188" s="31" t="n"/>
      <c r="M1188" s="31" t="n"/>
      <c r="N1188" s="31" t="n"/>
      <c r="O1188" s="31" t="n"/>
      <c r="P1188" s="31" t="n"/>
      <c r="Q1188" s="31" t="n"/>
      <c r="R1188" s="31" t="n"/>
      <c r="S1188" s="32">
        <f>IF($F1188="","",IF(IFERROR(VLOOKUP($F1188,'维度字典'!$I$2:$J$50,2,0),"求和")="手工录入","",IF(IFERROR(VLOOKUP($F1188,'维度字典'!$I$2:$J$50,2,0),"求和")="最新值",IFERROR(LOOKUP(9.99E+307,G1188:R1188),""),SUM(G1188:R1188))))</f>
        <v/>
      </c>
      <c r="T1188" s="33" t="n"/>
      <c r="U1188" s="33" t="n"/>
    </row>
    <row r="1189">
      <c r="A1189" s="26">
        <f>IF($B1189="","",ROW()-3)</f>
        <v/>
      </c>
      <c r="B1189" s="27" t="n"/>
      <c r="C1189" s="27" t="n"/>
      <c r="D1189" s="28" t="n"/>
      <c r="E1189" s="29" t="n"/>
      <c r="F1189" s="30" t="n"/>
      <c r="G1189" s="31" t="n"/>
      <c r="H1189" s="31" t="n"/>
      <c r="I1189" s="31" t="n"/>
      <c r="J1189" s="31" t="n"/>
      <c r="K1189" s="31" t="n"/>
      <c r="L1189" s="31" t="n"/>
      <c r="M1189" s="31" t="n"/>
      <c r="N1189" s="31" t="n"/>
      <c r="O1189" s="31" t="n"/>
      <c r="P1189" s="31" t="n"/>
      <c r="Q1189" s="31" t="n"/>
      <c r="R1189" s="31" t="n"/>
      <c r="S1189" s="32">
        <f>IF($F1189="","",IF(IFERROR(VLOOKUP($F1189,'维度字典'!$I$2:$J$50,2,0),"求和")="手工录入","",IF(IFERROR(VLOOKUP($F1189,'维度字典'!$I$2:$J$50,2,0),"求和")="最新值",IFERROR(LOOKUP(9.99E+307,G1189:R1189),""),SUM(G1189:R1189))))</f>
        <v/>
      </c>
      <c r="T1189" s="33" t="n"/>
      <c r="U1189" s="33" t="n"/>
    </row>
    <row r="1190">
      <c r="A1190" s="26">
        <f>IF($B1190="","",ROW()-3)</f>
        <v/>
      </c>
      <c r="B1190" s="27" t="n"/>
      <c r="C1190" s="27" t="n"/>
      <c r="D1190" s="28" t="n"/>
      <c r="E1190" s="29" t="n"/>
      <c r="F1190" s="30" t="n"/>
      <c r="G1190" s="31" t="n"/>
      <c r="H1190" s="31" t="n"/>
      <c r="I1190" s="31" t="n"/>
      <c r="J1190" s="31" t="n"/>
      <c r="K1190" s="31" t="n"/>
      <c r="L1190" s="31" t="n"/>
      <c r="M1190" s="31" t="n"/>
      <c r="N1190" s="31" t="n"/>
      <c r="O1190" s="31" t="n"/>
      <c r="P1190" s="31" t="n"/>
      <c r="Q1190" s="31" t="n"/>
      <c r="R1190" s="31" t="n"/>
      <c r="S1190" s="32">
        <f>IF($F1190="","",IF(IFERROR(VLOOKUP($F1190,'维度字典'!$I$2:$J$50,2,0),"求和")="手工录入","",IF(IFERROR(VLOOKUP($F1190,'维度字典'!$I$2:$J$50,2,0),"求和")="最新值",IFERROR(LOOKUP(9.99E+307,G1190:R1190),""),SUM(G1190:R1190))))</f>
        <v/>
      </c>
      <c r="T1190" s="33" t="n"/>
      <c r="U1190" s="33" t="n"/>
    </row>
    <row r="1191">
      <c r="A1191" s="26">
        <f>IF($B1191="","",ROW()-3)</f>
        <v/>
      </c>
      <c r="B1191" s="27" t="n"/>
      <c r="C1191" s="27" t="n"/>
      <c r="D1191" s="28" t="n"/>
      <c r="E1191" s="29" t="n"/>
      <c r="F1191" s="30" t="n"/>
      <c r="G1191" s="31" t="n"/>
      <c r="H1191" s="31" t="n"/>
      <c r="I1191" s="31" t="n"/>
      <c r="J1191" s="31" t="n"/>
      <c r="K1191" s="31" t="n"/>
      <c r="L1191" s="31" t="n"/>
      <c r="M1191" s="31" t="n"/>
      <c r="N1191" s="31" t="n"/>
      <c r="O1191" s="31" t="n"/>
      <c r="P1191" s="31" t="n"/>
      <c r="Q1191" s="31" t="n"/>
      <c r="R1191" s="31" t="n"/>
      <c r="S1191" s="32">
        <f>IF($F1191="","",IF(IFERROR(VLOOKUP($F1191,'维度字典'!$I$2:$J$50,2,0),"求和")="手工录入","",IF(IFERROR(VLOOKUP($F1191,'维度字典'!$I$2:$J$50,2,0),"求和")="最新值",IFERROR(LOOKUP(9.99E+307,G1191:R1191),""),SUM(G1191:R1191))))</f>
        <v/>
      </c>
      <c r="T1191" s="33" t="n"/>
      <c r="U1191" s="33" t="n"/>
    </row>
    <row r="1192">
      <c r="A1192" s="26">
        <f>IF($B1192="","",ROW()-3)</f>
        <v/>
      </c>
      <c r="B1192" s="27" t="n"/>
      <c r="C1192" s="27" t="n"/>
      <c r="D1192" s="28" t="n"/>
      <c r="E1192" s="29" t="n"/>
      <c r="F1192" s="30" t="n"/>
      <c r="G1192" s="31" t="n"/>
      <c r="H1192" s="31" t="n"/>
      <c r="I1192" s="31" t="n"/>
      <c r="J1192" s="31" t="n"/>
      <c r="K1192" s="31" t="n"/>
      <c r="L1192" s="31" t="n"/>
      <c r="M1192" s="31" t="n"/>
      <c r="N1192" s="31" t="n"/>
      <c r="O1192" s="31" t="n"/>
      <c r="P1192" s="31" t="n"/>
      <c r="Q1192" s="31" t="n"/>
      <c r="R1192" s="31" t="n"/>
      <c r="S1192" s="32">
        <f>IF($F1192="","",IF(IFERROR(VLOOKUP($F1192,'维度字典'!$I$2:$J$50,2,0),"求和")="手工录入","",IF(IFERROR(VLOOKUP($F1192,'维度字典'!$I$2:$J$50,2,0),"求和")="最新值",IFERROR(LOOKUP(9.99E+307,G1192:R1192),""),SUM(G1192:R1192))))</f>
        <v/>
      </c>
      <c r="T1192" s="33" t="n"/>
      <c r="U1192" s="33" t="n"/>
    </row>
    <row r="1193">
      <c r="A1193" s="26">
        <f>IF($B1193="","",ROW()-3)</f>
        <v/>
      </c>
      <c r="B1193" s="27" t="n"/>
      <c r="C1193" s="27" t="n"/>
      <c r="D1193" s="28" t="n"/>
      <c r="E1193" s="29" t="n"/>
      <c r="F1193" s="30" t="n"/>
      <c r="G1193" s="31" t="n"/>
      <c r="H1193" s="31" t="n"/>
      <c r="I1193" s="31" t="n"/>
      <c r="J1193" s="31" t="n"/>
      <c r="K1193" s="31" t="n"/>
      <c r="L1193" s="31" t="n"/>
      <c r="M1193" s="31" t="n"/>
      <c r="N1193" s="31" t="n"/>
      <c r="O1193" s="31" t="n"/>
      <c r="P1193" s="31" t="n"/>
      <c r="Q1193" s="31" t="n"/>
      <c r="R1193" s="31" t="n"/>
      <c r="S1193" s="32">
        <f>IF($F1193="","",IF(IFERROR(VLOOKUP($F1193,'维度字典'!$I$2:$J$50,2,0),"求和")="手工录入","",IF(IFERROR(VLOOKUP($F1193,'维度字典'!$I$2:$J$50,2,0),"求和")="最新值",IFERROR(LOOKUP(9.99E+307,G1193:R1193),""),SUM(G1193:R1193))))</f>
        <v/>
      </c>
      <c r="T1193" s="33" t="n"/>
      <c r="U1193" s="33" t="n"/>
    </row>
    <row r="1194">
      <c r="A1194" s="26">
        <f>IF($B1194="","",ROW()-3)</f>
        <v/>
      </c>
      <c r="B1194" s="27" t="n"/>
      <c r="C1194" s="27" t="n"/>
      <c r="D1194" s="28" t="n"/>
      <c r="E1194" s="29" t="n"/>
      <c r="F1194" s="30" t="n"/>
      <c r="G1194" s="31" t="n"/>
      <c r="H1194" s="31" t="n"/>
      <c r="I1194" s="31" t="n"/>
      <c r="J1194" s="31" t="n"/>
      <c r="K1194" s="31" t="n"/>
      <c r="L1194" s="31" t="n"/>
      <c r="M1194" s="31" t="n"/>
      <c r="N1194" s="31" t="n"/>
      <c r="O1194" s="31" t="n"/>
      <c r="P1194" s="31" t="n"/>
      <c r="Q1194" s="31" t="n"/>
      <c r="R1194" s="31" t="n"/>
      <c r="S1194" s="32">
        <f>IF($F1194="","",IF(IFERROR(VLOOKUP($F1194,'维度字典'!$I$2:$J$50,2,0),"求和")="手工录入","",IF(IFERROR(VLOOKUP($F1194,'维度字典'!$I$2:$J$50,2,0),"求和")="最新值",IFERROR(LOOKUP(9.99E+307,G1194:R1194),""),SUM(G1194:R1194))))</f>
        <v/>
      </c>
      <c r="T1194" s="33" t="n"/>
      <c r="U1194" s="33" t="n"/>
    </row>
    <row r="1195">
      <c r="A1195" s="26">
        <f>IF($B1195="","",ROW()-3)</f>
        <v/>
      </c>
      <c r="B1195" s="27" t="n"/>
      <c r="C1195" s="27" t="n"/>
      <c r="D1195" s="28" t="n"/>
      <c r="E1195" s="29" t="n"/>
      <c r="F1195" s="30" t="n"/>
      <c r="G1195" s="31" t="n"/>
      <c r="H1195" s="31" t="n"/>
      <c r="I1195" s="31" t="n"/>
      <c r="J1195" s="31" t="n"/>
      <c r="K1195" s="31" t="n"/>
      <c r="L1195" s="31" t="n"/>
      <c r="M1195" s="31" t="n"/>
      <c r="N1195" s="31" t="n"/>
      <c r="O1195" s="31" t="n"/>
      <c r="P1195" s="31" t="n"/>
      <c r="Q1195" s="31" t="n"/>
      <c r="R1195" s="31" t="n"/>
      <c r="S1195" s="32">
        <f>IF($F1195="","",IF(IFERROR(VLOOKUP($F1195,'维度字典'!$I$2:$J$50,2,0),"求和")="手工录入","",IF(IFERROR(VLOOKUP($F1195,'维度字典'!$I$2:$J$50,2,0),"求和")="最新值",IFERROR(LOOKUP(9.99E+307,G1195:R1195),""),SUM(G1195:R1195))))</f>
        <v/>
      </c>
      <c r="T1195" s="33" t="n"/>
      <c r="U1195" s="33" t="n"/>
    </row>
    <row r="1196">
      <c r="A1196" s="26">
        <f>IF($B1196="","",ROW()-3)</f>
        <v/>
      </c>
      <c r="B1196" s="27" t="n"/>
      <c r="C1196" s="27" t="n"/>
      <c r="D1196" s="28" t="n"/>
      <c r="E1196" s="29" t="n"/>
      <c r="F1196" s="30" t="n"/>
      <c r="G1196" s="31" t="n"/>
      <c r="H1196" s="31" t="n"/>
      <c r="I1196" s="31" t="n"/>
      <c r="J1196" s="31" t="n"/>
      <c r="K1196" s="31" t="n"/>
      <c r="L1196" s="31" t="n"/>
      <c r="M1196" s="31" t="n"/>
      <c r="N1196" s="31" t="n"/>
      <c r="O1196" s="31" t="n"/>
      <c r="P1196" s="31" t="n"/>
      <c r="Q1196" s="31" t="n"/>
      <c r="R1196" s="31" t="n"/>
      <c r="S1196" s="32">
        <f>IF($F1196="","",IF(IFERROR(VLOOKUP($F1196,'维度字典'!$I$2:$J$50,2,0),"求和")="手工录入","",IF(IFERROR(VLOOKUP($F1196,'维度字典'!$I$2:$J$50,2,0),"求和")="最新值",IFERROR(LOOKUP(9.99E+307,G1196:R1196),""),SUM(G1196:R1196))))</f>
        <v/>
      </c>
      <c r="T1196" s="33" t="n"/>
      <c r="U1196" s="33" t="n"/>
    </row>
    <row r="1197">
      <c r="A1197" s="26">
        <f>IF($B1197="","",ROW()-3)</f>
        <v/>
      </c>
      <c r="B1197" s="27" t="n"/>
      <c r="C1197" s="27" t="n"/>
      <c r="D1197" s="28" t="n"/>
      <c r="E1197" s="29" t="n"/>
      <c r="F1197" s="30" t="n"/>
      <c r="G1197" s="31" t="n"/>
      <c r="H1197" s="31" t="n"/>
      <c r="I1197" s="31" t="n"/>
      <c r="J1197" s="31" t="n"/>
      <c r="K1197" s="31" t="n"/>
      <c r="L1197" s="31" t="n"/>
      <c r="M1197" s="31" t="n"/>
      <c r="N1197" s="31" t="n"/>
      <c r="O1197" s="31" t="n"/>
      <c r="P1197" s="31" t="n"/>
      <c r="Q1197" s="31" t="n"/>
      <c r="R1197" s="31" t="n"/>
      <c r="S1197" s="32">
        <f>IF($F1197="","",IF(IFERROR(VLOOKUP($F1197,'维度字典'!$I$2:$J$50,2,0),"求和")="手工录入","",IF(IFERROR(VLOOKUP($F1197,'维度字典'!$I$2:$J$50,2,0),"求和")="最新值",IFERROR(LOOKUP(9.99E+307,G1197:R1197),""),SUM(G1197:R1197))))</f>
        <v/>
      </c>
      <c r="T1197" s="33" t="n"/>
      <c r="U1197" s="33" t="n"/>
    </row>
    <row r="1198">
      <c r="A1198" s="26">
        <f>IF($B1198="","",ROW()-3)</f>
        <v/>
      </c>
      <c r="B1198" s="27" t="n"/>
      <c r="C1198" s="27" t="n"/>
      <c r="D1198" s="28" t="n"/>
      <c r="E1198" s="29" t="n"/>
      <c r="F1198" s="30" t="n"/>
      <c r="G1198" s="31" t="n"/>
      <c r="H1198" s="31" t="n"/>
      <c r="I1198" s="31" t="n"/>
      <c r="J1198" s="31" t="n"/>
      <c r="K1198" s="31" t="n"/>
      <c r="L1198" s="31" t="n"/>
      <c r="M1198" s="31" t="n"/>
      <c r="N1198" s="31" t="n"/>
      <c r="O1198" s="31" t="n"/>
      <c r="P1198" s="31" t="n"/>
      <c r="Q1198" s="31" t="n"/>
      <c r="R1198" s="31" t="n"/>
      <c r="S1198" s="32">
        <f>IF($F1198="","",IF(IFERROR(VLOOKUP($F1198,'维度字典'!$I$2:$J$50,2,0),"求和")="手工录入","",IF(IFERROR(VLOOKUP($F1198,'维度字典'!$I$2:$J$50,2,0),"求和")="最新值",IFERROR(LOOKUP(9.99E+307,G1198:R1198),""),SUM(G1198:R1198))))</f>
        <v/>
      </c>
      <c r="T1198" s="33" t="n"/>
      <c r="U1198" s="33" t="n"/>
    </row>
    <row r="1199">
      <c r="A1199" s="26">
        <f>IF($B1199="","",ROW()-3)</f>
        <v/>
      </c>
      <c r="B1199" s="27" t="n"/>
      <c r="C1199" s="27" t="n"/>
      <c r="D1199" s="28" t="n"/>
      <c r="E1199" s="29" t="n"/>
      <c r="F1199" s="30" t="n"/>
      <c r="G1199" s="31" t="n"/>
      <c r="H1199" s="31" t="n"/>
      <c r="I1199" s="31" t="n"/>
      <c r="J1199" s="31" t="n"/>
      <c r="K1199" s="31" t="n"/>
      <c r="L1199" s="31" t="n"/>
      <c r="M1199" s="31" t="n"/>
      <c r="N1199" s="31" t="n"/>
      <c r="O1199" s="31" t="n"/>
      <c r="P1199" s="31" t="n"/>
      <c r="Q1199" s="31" t="n"/>
      <c r="R1199" s="31" t="n"/>
      <c r="S1199" s="32">
        <f>IF($F1199="","",IF(IFERROR(VLOOKUP($F1199,'维度字典'!$I$2:$J$50,2,0),"求和")="手工录入","",IF(IFERROR(VLOOKUP($F1199,'维度字典'!$I$2:$J$50,2,0),"求和")="最新值",IFERROR(LOOKUP(9.99E+307,G1199:R1199),""),SUM(G1199:R1199))))</f>
        <v/>
      </c>
      <c r="T1199" s="33" t="n"/>
      <c r="U1199" s="33" t="n"/>
    </row>
    <row r="1200">
      <c r="A1200" s="26">
        <f>IF($B1200="","",ROW()-3)</f>
        <v/>
      </c>
      <c r="B1200" s="27" t="n"/>
      <c r="C1200" s="27" t="n"/>
      <c r="D1200" s="28" t="n"/>
      <c r="E1200" s="29" t="n"/>
      <c r="F1200" s="30" t="n"/>
      <c r="G1200" s="31" t="n"/>
      <c r="H1200" s="31" t="n"/>
      <c r="I1200" s="31" t="n"/>
      <c r="J1200" s="31" t="n"/>
      <c r="K1200" s="31" t="n"/>
      <c r="L1200" s="31" t="n"/>
      <c r="M1200" s="31" t="n"/>
      <c r="N1200" s="31" t="n"/>
      <c r="O1200" s="31" t="n"/>
      <c r="P1200" s="31" t="n"/>
      <c r="Q1200" s="31" t="n"/>
      <c r="R1200" s="31" t="n"/>
      <c r="S1200" s="32">
        <f>IF($F1200="","",IF(IFERROR(VLOOKUP($F1200,'维度字典'!$I$2:$J$50,2,0),"求和")="手工录入","",IF(IFERROR(VLOOKUP($F1200,'维度字典'!$I$2:$J$50,2,0),"求和")="最新值",IFERROR(LOOKUP(9.99E+307,G1200:R1200),""),SUM(G1200:R1200))))</f>
        <v/>
      </c>
      <c r="T1200" s="33" t="n"/>
      <c r="U1200" s="33" t="n"/>
    </row>
    <row r="1201">
      <c r="A1201" s="26">
        <f>IF($B1201="","",ROW()-3)</f>
        <v/>
      </c>
      <c r="B1201" s="27" t="n"/>
      <c r="C1201" s="27" t="n"/>
      <c r="D1201" s="28" t="n"/>
      <c r="E1201" s="29" t="n"/>
      <c r="F1201" s="30" t="n"/>
      <c r="G1201" s="31" t="n"/>
      <c r="H1201" s="31" t="n"/>
      <c r="I1201" s="31" t="n"/>
      <c r="J1201" s="31" t="n"/>
      <c r="K1201" s="31" t="n"/>
      <c r="L1201" s="31" t="n"/>
      <c r="M1201" s="31" t="n"/>
      <c r="N1201" s="31" t="n"/>
      <c r="O1201" s="31" t="n"/>
      <c r="P1201" s="31" t="n"/>
      <c r="Q1201" s="31" t="n"/>
      <c r="R1201" s="31" t="n"/>
      <c r="S1201" s="32">
        <f>IF($F1201="","",IF(IFERROR(VLOOKUP($F1201,'维度字典'!$I$2:$J$50,2,0),"求和")="手工录入","",IF(IFERROR(VLOOKUP($F1201,'维度字典'!$I$2:$J$50,2,0),"求和")="最新值",IFERROR(LOOKUP(9.99E+307,G1201:R1201),""),SUM(G1201:R1201))))</f>
        <v/>
      </c>
      <c r="T1201" s="33" t="n"/>
      <c r="U1201" s="33" t="n"/>
    </row>
    <row r="1202">
      <c r="A1202" s="26">
        <f>IF($B1202="","",ROW()-3)</f>
        <v/>
      </c>
      <c r="B1202" s="27" t="n"/>
      <c r="C1202" s="27" t="n"/>
      <c r="D1202" s="28" t="n"/>
      <c r="E1202" s="29" t="n"/>
      <c r="F1202" s="30" t="n"/>
      <c r="G1202" s="31" t="n"/>
      <c r="H1202" s="31" t="n"/>
      <c r="I1202" s="31" t="n"/>
      <c r="J1202" s="31" t="n"/>
      <c r="K1202" s="31" t="n"/>
      <c r="L1202" s="31" t="n"/>
      <c r="M1202" s="31" t="n"/>
      <c r="N1202" s="31" t="n"/>
      <c r="O1202" s="31" t="n"/>
      <c r="P1202" s="31" t="n"/>
      <c r="Q1202" s="31" t="n"/>
      <c r="R1202" s="31" t="n"/>
      <c r="S1202" s="32">
        <f>IF($F1202="","",IF(IFERROR(VLOOKUP($F1202,'维度字典'!$I$2:$J$50,2,0),"求和")="手工录入","",IF(IFERROR(VLOOKUP($F1202,'维度字典'!$I$2:$J$50,2,0),"求和")="最新值",IFERROR(LOOKUP(9.99E+307,G1202:R1202),""),SUM(G1202:R1202))))</f>
        <v/>
      </c>
      <c r="T1202" s="33" t="n"/>
      <c r="U1202" s="33" t="n"/>
    </row>
    <row r="1203">
      <c r="A1203" s="26">
        <f>IF($B1203="","",ROW()-3)</f>
        <v/>
      </c>
      <c r="B1203" s="27" t="n"/>
      <c r="C1203" s="27" t="n"/>
      <c r="D1203" s="28" t="n"/>
      <c r="E1203" s="29" t="n"/>
      <c r="F1203" s="30" t="n"/>
      <c r="G1203" s="31" t="n"/>
      <c r="H1203" s="31" t="n"/>
      <c r="I1203" s="31" t="n"/>
      <c r="J1203" s="31" t="n"/>
      <c r="K1203" s="31" t="n"/>
      <c r="L1203" s="31" t="n"/>
      <c r="M1203" s="31" t="n"/>
      <c r="N1203" s="31" t="n"/>
      <c r="O1203" s="31" t="n"/>
      <c r="P1203" s="31" t="n"/>
      <c r="Q1203" s="31" t="n"/>
      <c r="R1203" s="31" t="n"/>
      <c r="S1203" s="32">
        <f>IF($F1203="","",IF(IFERROR(VLOOKUP($F1203,'维度字典'!$I$2:$J$50,2,0),"求和")="手工录入","",IF(IFERROR(VLOOKUP($F1203,'维度字典'!$I$2:$J$50,2,0),"求和")="最新值",IFERROR(LOOKUP(9.99E+307,G1203:R1203),""),SUM(G1203:R1203))))</f>
        <v/>
      </c>
      <c r="T1203" s="33" t="n"/>
      <c r="U1203" s="33" t="n"/>
    </row>
    <row r="1204">
      <c r="A1204" s="26">
        <f>IF($B1204="","",ROW()-3)</f>
        <v/>
      </c>
      <c r="B1204" s="27" t="n"/>
      <c r="C1204" s="27" t="n"/>
      <c r="D1204" s="28" t="n"/>
      <c r="E1204" s="29" t="n"/>
      <c r="F1204" s="30" t="n"/>
      <c r="G1204" s="31" t="n"/>
      <c r="H1204" s="31" t="n"/>
      <c r="I1204" s="31" t="n"/>
      <c r="J1204" s="31" t="n"/>
      <c r="K1204" s="31" t="n"/>
      <c r="L1204" s="31" t="n"/>
      <c r="M1204" s="31" t="n"/>
      <c r="N1204" s="31" t="n"/>
      <c r="O1204" s="31" t="n"/>
      <c r="P1204" s="31" t="n"/>
      <c r="Q1204" s="31" t="n"/>
      <c r="R1204" s="31" t="n"/>
      <c r="S1204" s="32">
        <f>IF($F1204="","",IF(IFERROR(VLOOKUP($F1204,'维度字典'!$I$2:$J$50,2,0),"求和")="手工录入","",IF(IFERROR(VLOOKUP($F1204,'维度字典'!$I$2:$J$50,2,0),"求和")="最新值",IFERROR(LOOKUP(9.99E+307,G1204:R1204),""),SUM(G1204:R1204))))</f>
        <v/>
      </c>
      <c r="T1204" s="33" t="n"/>
      <c r="U1204" s="33" t="n"/>
    </row>
    <row r="1205">
      <c r="A1205" s="26">
        <f>IF($B1205="","",ROW()-3)</f>
        <v/>
      </c>
      <c r="B1205" s="27" t="n"/>
      <c r="C1205" s="27" t="n"/>
      <c r="D1205" s="28" t="n"/>
      <c r="E1205" s="29" t="n"/>
      <c r="F1205" s="30" t="n"/>
      <c r="G1205" s="31" t="n"/>
      <c r="H1205" s="31" t="n"/>
      <c r="I1205" s="31" t="n"/>
      <c r="J1205" s="31" t="n"/>
      <c r="K1205" s="31" t="n"/>
      <c r="L1205" s="31" t="n"/>
      <c r="M1205" s="31" t="n"/>
      <c r="N1205" s="31" t="n"/>
      <c r="O1205" s="31" t="n"/>
      <c r="P1205" s="31" t="n"/>
      <c r="Q1205" s="31" t="n"/>
      <c r="R1205" s="31" t="n"/>
      <c r="S1205" s="32">
        <f>IF($F1205="","",IF(IFERROR(VLOOKUP($F1205,'维度字典'!$I$2:$J$50,2,0),"求和")="手工录入","",IF(IFERROR(VLOOKUP($F1205,'维度字典'!$I$2:$J$50,2,0),"求和")="最新值",IFERROR(LOOKUP(9.99E+307,G1205:R1205),""),SUM(G1205:R1205))))</f>
        <v/>
      </c>
      <c r="T1205" s="33" t="n"/>
      <c r="U1205" s="33" t="n"/>
    </row>
    <row r="1206">
      <c r="A1206" s="26">
        <f>IF($B1206="","",ROW()-3)</f>
        <v/>
      </c>
      <c r="B1206" s="27" t="n"/>
      <c r="C1206" s="27" t="n"/>
      <c r="D1206" s="28" t="n"/>
      <c r="E1206" s="29" t="n"/>
      <c r="F1206" s="30" t="n"/>
      <c r="G1206" s="31" t="n"/>
      <c r="H1206" s="31" t="n"/>
      <c r="I1206" s="31" t="n"/>
      <c r="J1206" s="31" t="n"/>
      <c r="K1206" s="31" t="n"/>
      <c r="L1206" s="31" t="n"/>
      <c r="M1206" s="31" t="n"/>
      <c r="N1206" s="31" t="n"/>
      <c r="O1206" s="31" t="n"/>
      <c r="P1206" s="31" t="n"/>
      <c r="Q1206" s="31" t="n"/>
      <c r="R1206" s="31" t="n"/>
      <c r="S1206" s="32">
        <f>IF($F1206="","",IF(IFERROR(VLOOKUP($F1206,'维度字典'!$I$2:$J$50,2,0),"求和")="手工录入","",IF(IFERROR(VLOOKUP($F1206,'维度字典'!$I$2:$J$50,2,0),"求和")="最新值",IFERROR(LOOKUP(9.99E+307,G1206:R1206),""),SUM(G1206:R1206))))</f>
        <v/>
      </c>
      <c r="T1206" s="33" t="n"/>
      <c r="U1206" s="33" t="n"/>
    </row>
    <row r="1207">
      <c r="A1207" s="26">
        <f>IF($B1207="","",ROW()-3)</f>
        <v/>
      </c>
      <c r="B1207" s="27" t="n"/>
      <c r="C1207" s="27" t="n"/>
      <c r="D1207" s="28" t="n"/>
      <c r="E1207" s="29" t="n"/>
      <c r="F1207" s="30" t="n"/>
      <c r="G1207" s="31" t="n"/>
      <c r="H1207" s="31" t="n"/>
      <c r="I1207" s="31" t="n"/>
      <c r="J1207" s="31" t="n"/>
      <c r="K1207" s="31" t="n"/>
      <c r="L1207" s="31" t="n"/>
      <c r="M1207" s="31" t="n"/>
      <c r="N1207" s="31" t="n"/>
      <c r="O1207" s="31" t="n"/>
      <c r="P1207" s="31" t="n"/>
      <c r="Q1207" s="31" t="n"/>
      <c r="R1207" s="31" t="n"/>
      <c r="S1207" s="32">
        <f>IF($F1207="","",IF(IFERROR(VLOOKUP($F1207,'维度字典'!$I$2:$J$50,2,0),"求和")="手工录入","",IF(IFERROR(VLOOKUP($F1207,'维度字典'!$I$2:$J$50,2,0),"求和")="最新值",IFERROR(LOOKUP(9.99E+307,G1207:R1207),""),SUM(G1207:R1207))))</f>
        <v/>
      </c>
      <c r="T1207" s="33" t="n"/>
      <c r="U1207" s="33" t="n"/>
    </row>
    <row r="1208">
      <c r="A1208" s="26">
        <f>IF($B1208="","",ROW()-3)</f>
        <v/>
      </c>
      <c r="B1208" s="27" t="n"/>
      <c r="C1208" s="27" t="n"/>
      <c r="D1208" s="28" t="n"/>
      <c r="E1208" s="29" t="n"/>
      <c r="F1208" s="30" t="n"/>
      <c r="G1208" s="31" t="n"/>
      <c r="H1208" s="31" t="n"/>
      <c r="I1208" s="31" t="n"/>
      <c r="J1208" s="31" t="n"/>
      <c r="K1208" s="31" t="n"/>
      <c r="L1208" s="31" t="n"/>
      <c r="M1208" s="31" t="n"/>
      <c r="N1208" s="31" t="n"/>
      <c r="O1208" s="31" t="n"/>
      <c r="P1208" s="31" t="n"/>
      <c r="Q1208" s="31" t="n"/>
      <c r="R1208" s="31" t="n"/>
      <c r="S1208" s="32">
        <f>IF($F1208="","",IF(IFERROR(VLOOKUP($F1208,'维度字典'!$I$2:$J$50,2,0),"求和")="手工录入","",IF(IFERROR(VLOOKUP($F1208,'维度字典'!$I$2:$J$50,2,0),"求和")="最新值",IFERROR(LOOKUP(9.99E+307,G1208:R1208),""),SUM(G1208:R1208))))</f>
        <v/>
      </c>
      <c r="T1208" s="33" t="n"/>
      <c r="U1208" s="33" t="n"/>
    </row>
    <row r="1209">
      <c r="A1209" s="26">
        <f>IF($B1209="","",ROW()-3)</f>
        <v/>
      </c>
      <c r="B1209" s="27" t="n"/>
      <c r="C1209" s="27" t="n"/>
      <c r="D1209" s="28" t="n"/>
      <c r="E1209" s="29" t="n"/>
      <c r="F1209" s="30" t="n"/>
      <c r="G1209" s="31" t="n"/>
      <c r="H1209" s="31" t="n"/>
      <c r="I1209" s="31" t="n"/>
      <c r="J1209" s="31" t="n"/>
      <c r="K1209" s="31" t="n"/>
      <c r="L1209" s="31" t="n"/>
      <c r="M1209" s="31" t="n"/>
      <c r="N1209" s="31" t="n"/>
      <c r="O1209" s="31" t="n"/>
      <c r="P1209" s="31" t="n"/>
      <c r="Q1209" s="31" t="n"/>
      <c r="R1209" s="31" t="n"/>
      <c r="S1209" s="32">
        <f>IF($F1209="","",IF(IFERROR(VLOOKUP($F1209,'维度字典'!$I$2:$J$50,2,0),"求和")="手工录入","",IF(IFERROR(VLOOKUP($F1209,'维度字典'!$I$2:$J$50,2,0),"求和")="最新值",IFERROR(LOOKUP(9.99E+307,G1209:R1209),""),SUM(G1209:R1209))))</f>
        <v/>
      </c>
      <c r="T1209" s="33" t="n"/>
      <c r="U1209" s="33" t="n"/>
    </row>
    <row r="1210">
      <c r="A1210" s="26">
        <f>IF($B1210="","",ROW()-3)</f>
        <v/>
      </c>
      <c r="B1210" s="27" t="n"/>
      <c r="C1210" s="27" t="n"/>
      <c r="D1210" s="28" t="n"/>
      <c r="E1210" s="29" t="n"/>
      <c r="F1210" s="30" t="n"/>
      <c r="G1210" s="31" t="n"/>
      <c r="H1210" s="31" t="n"/>
      <c r="I1210" s="31" t="n"/>
      <c r="J1210" s="31" t="n"/>
      <c r="K1210" s="31" t="n"/>
      <c r="L1210" s="31" t="n"/>
      <c r="M1210" s="31" t="n"/>
      <c r="N1210" s="31" t="n"/>
      <c r="O1210" s="31" t="n"/>
      <c r="P1210" s="31" t="n"/>
      <c r="Q1210" s="31" t="n"/>
      <c r="R1210" s="31" t="n"/>
      <c r="S1210" s="32">
        <f>IF($F1210="","",IF(IFERROR(VLOOKUP($F1210,'维度字典'!$I$2:$J$50,2,0),"求和")="手工录入","",IF(IFERROR(VLOOKUP($F1210,'维度字典'!$I$2:$J$50,2,0),"求和")="最新值",IFERROR(LOOKUP(9.99E+307,G1210:R1210),""),SUM(G1210:R1210))))</f>
        <v/>
      </c>
      <c r="T1210" s="33" t="n"/>
      <c r="U1210" s="33" t="n"/>
    </row>
    <row r="1211">
      <c r="A1211" s="26">
        <f>IF($B1211="","",ROW()-3)</f>
        <v/>
      </c>
      <c r="B1211" s="27" t="n"/>
      <c r="C1211" s="27" t="n"/>
      <c r="D1211" s="28" t="n"/>
      <c r="E1211" s="29" t="n"/>
      <c r="F1211" s="30" t="n"/>
      <c r="G1211" s="31" t="n"/>
      <c r="H1211" s="31" t="n"/>
      <c r="I1211" s="31" t="n"/>
      <c r="J1211" s="31" t="n"/>
      <c r="K1211" s="31" t="n"/>
      <c r="L1211" s="31" t="n"/>
      <c r="M1211" s="31" t="n"/>
      <c r="N1211" s="31" t="n"/>
      <c r="O1211" s="31" t="n"/>
      <c r="P1211" s="31" t="n"/>
      <c r="Q1211" s="31" t="n"/>
      <c r="R1211" s="31" t="n"/>
      <c r="S1211" s="32">
        <f>IF($F1211="","",IF(IFERROR(VLOOKUP($F1211,'维度字典'!$I$2:$J$50,2,0),"求和")="手工录入","",IF(IFERROR(VLOOKUP($F1211,'维度字典'!$I$2:$J$50,2,0),"求和")="最新值",IFERROR(LOOKUP(9.99E+307,G1211:R1211),""),SUM(G1211:R1211))))</f>
        <v/>
      </c>
      <c r="T1211" s="33" t="n"/>
      <c r="U1211" s="33" t="n"/>
    </row>
    <row r="1212">
      <c r="A1212" s="26">
        <f>IF($B1212="","",ROW()-3)</f>
        <v/>
      </c>
      <c r="B1212" s="27" t="n"/>
      <c r="C1212" s="27" t="n"/>
      <c r="D1212" s="28" t="n"/>
      <c r="E1212" s="29" t="n"/>
      <c r="F1212" s="30" t="n"/>
      <c r="G1212" s="31" t="n"/>
      <c r="H1212" s="31" t="n"/>
      <c r="I1212" s="31" t="n"/>
      <c r="J1212" s="31" t="n"/>
      <c r="K1212" s="31" t="n"/>
      <c r="L1212" s="31" t="n"/>
      <c r="M1212" s="31" t="n"/>
      <c r="N1212" s="31" t="n"/>
      <c r="O1212" s="31" t="n"/>
      <c r="P1212" s="31" t="n"/>
      <c r="Q1212" s="31" t="n"/>
      <c r="R1212" s="31" t="n"/>
      <c r="S1212" s="32">
        <f>IF($F1212="","",IF(IFERROR(VLOOKUP($F1212,'维度字典'!$I$2:$J$50,2,0),"求和")="手工录入","",IF(IFERROR(VLOOKUP($F1212,'维度字典'!$I$2:$J$50,2,0),"求和")="最新值",IFERROR(LOOKUP(9.99E+307,G1212:R1212),""),SUM(G1212:R1212))))</f>
        <v/>
      </c>
      <c r="T1212" s="33" t="n"/>
      <c r="U1212" s="33" t="n"/>
    </row>
    <row r="1213">
      <c r="A1213" s="26">
        <f>IF($B1213="","",ROW()-3)</f>
        <v/>
      </c>
      <c r="B1213" s="27" t="n"/>
      <c r="C1213" s="27" t="n"/>
      <c r="D1213" s="28" t="n"/>
      <c r="E1213" s="29" t="n"/>
      <c r="F1213" s="30" t="n"/>
      <c r="G1213" s="31" t="n"/>
      <c r="H1213" s="31" t="n"/>
      <c r="I1213" s="31" t="n"/>
      <c r="J1213" s="31" t="n"/>
      <c r="K1213" s="31" t="n"/>
      <c r="L1213" s="31" t="n"/>
      <c r="M1213" s="31" t="n"/>
      <c r="N1213" s="31" t="n"/>
      <c r="O1213" s="31" t="n"/>
      <c r="P1213" s="31" t="n"/>
      <c r="Q1213" s="31" t="n"/>
      <c r="R1213" s="31" t="n"/>
      <c r="S1213" s="32">
        <f>IF($F1213="","",IF(IFERROR(VLOOKUP($F1213,'维度字典'!$I$2:$J$50,2,0),"求和")="手工录入","",IF(IFERROR(VLOOKUP($F1213,'维度字典'!$I$2:$J$50,2,0),"求和")="最新值",IFERROR(LOOKUP(9.99E+307,G1213:R1213),""),SUM(G1213:R1213))))</f>
        <v/>
      </c>
      <c r="T1213" s="33" t="n"/>
      <c r="U1213" s="33" t="n"/>
    </row>
    <row r="1214">
      <c r="A1214" s="26">
        <f>IF($B1214="","",ROW()-3)</f>
        <v/>
      </c>
      <c r="B1214" s="27" t="n"/>
      <c r="C1214" s="27" t="n"/>
      <c r="D1214" s="28" t="n"/>
      <c r="E1214" s="29" t="n"/>
      <c r="F1214" s="30" t="n"/>
      <c r="G1214" s="31" t="n"/>
      <c r="H1214" s="31" t="n"/>
      <c r="I1214" s="31" t="n"/>
      <c r="J1214" s="31" t="n"/>
      <c r="K1214" s="31" t="n"/>
      <c r="L1214" s="31" t="n"/>
      <c r="M1214" s="31" t="n"/>
      <c r="N1214" s="31" t="n"/>
      <c r="O1214" s="31" t="n"/>
      <c r="P1214" s="31" t="n"/>
      <c r="Q1214" s="31" t="n"/>
      <c r="R1214" s="31" t="n"/>
      <c r="S1214" s="32">
        <f>IF($F1214="","",IF(IFERROR(VLOOKUP($F1214,'维度字典'!$I$2:$J$50,2,0),"求和")="手工录入","",IF(IFERROR(VLOOKUP($F1214,'维度字典'!$I$2:$J$50,2,0),"求和")="最新值",IFERROR(LOOKUP(9.99E+307,G1214:R1214),""),SUM(G1214:R1214))))</f>
        <v/>
      </c>
      <c r="T1214" s="33" t="n"/>
      <c r="U1214" s="33" t="n"/>
    </row>
    <row r="1215">
      <c r="A1215" s="26">
        <f>IF($B1215="","",ROW()-3)</f>
        <v/>
      </c>
      <c r="B1215" s="27" t="n"/>
      <c r="C1215" s="27" t="n"/>
      <c r="D1215" s="28" t="n"/>
      <c r="E1215" s="29" t="n"/>
      <c r="F1215" s="30" t="n"/>
      <c r="G1215" s="31" t="n"/>
      <c r="H1215" s="31" t="n"/>
      <c r="I1215" s="31" t="n"/>
      <c r="J1215" s="31" t="n"/>
      <c r="K1215" s="31" t="n"/>
      <c r="L1215" s="31" t="n"/>
      <c r="M1215" s="31" t="n"/>
      <c r="N1215" s="31" t="n"/>
      <c r="O1215" s="31" t="n"/>
      <c r="P1215" s="31" t="n"/>
      <c r="Q1215" s="31" t="n"/>
      <c r="R1215" s="31" t="n"/>
      <c r="S1215" s="32">
        <f>IF($F1215="","",IF(IFERROR(VLOOKUP($F1215,'维度字典'!$I$2:$J$50,2,0),"求和")="手工录入","",IF(IFERROR(VLOOKUP($F1215,'维度字典'!$I$2:$J$50,2,0),"求和")="最新值",IFERROR(LOOKUP(9.99E+307,G1215:R1215),""),SUM(G1215:R1215))))</f>
        <v/>
      </c>
      <c r="T1215" s="33" t="n"/>
      <c r="U1215" s="33" t="n"/>
    </row>
    <row r="1216">
      <c r="A1216" s="26">
        <f>IF($B1216="","",ROW()-3)</f>
        <v/>
      </c>
      <c r="B1216" s="27" t="n"/>
      <c r="C1216" s="27" t="n"/>
      <c r="D1216" s="28" t="n"/>
      <c r="E1216" s="29" t="n"/>
      <c r="F1216" s="30" t="n"/>
      <c r="G1216" s="31" t="n"/>
      <c r="H1216" s="31" t="n"/>
      <c r="I1216" s="31" t="n"/>
      <c r="J1216" s="31" t="n"/>
      <c r="K1216" s="31" t="n"/>
      <c r="L1216" s="31" t="n"/>
      <c r="M1216" s="31" t="n"/>
      <c r="N1216" s="31" t="n"/>
      <c r="O1216" s="31" t="n"/>
      <c r="P1216" s="31" t="n"/>
      <c r="Q1216" s="31" t="n"/>
      <c r="R1216" s="31" t="n"/>
      <c r="S1216" s="32">
        <f>IF($F1216="","",IF(IFERROR(VLOOKUP($F1216,'维度字典'!$I$2:$J$50,2,0),"求和")="手工录入","",IF(IFERROR(VLOOKUP($F1216,'维度字典'!$I$2:$J$50,2,0),"求和")="最新值",IFERROR(LOOKUP(9.99E+307,G1216:R1216),""),SUM(G1216:R1216))))</f>
        <v/>
      </c>
      <c r="T1216" s="33" t="n"/>
      <c r="U1216" s="33" t="n"/>
    </row>
    <row r="1217">
      <c r="A1217" s="26">
        <f>IF($B1217="","",ROW()-3)</f>
        <v/>
      </c>
      <c r="B1217" s="27" t="n"/>
      <c r="C1217" s="27" t="n"/>
      <c r="D1217" s="28" t="n"/>
      <c r="E1217" s="29" t="n"/>
      <c r="F1217" s="30" t="n"/>
      <c r="G1217" s="31" t="n"/>
      <c r="H1217" s="31" t="n"/>
      <c r="I1217" s="31" t="n"/>
      <c r="J1217" s="31" t="n"/>
      <c r="K1217" s="31" t="n"/>
      <c r="L1217" s="31" t="n"/>
      <c r="M1217" s="31" t="n"/>
      <c r="N1217" s="31" t="n"/>
      <c r="O1217" s="31" t="n"/>
      <c r="P1217" s="31" t="n"/>
      <c r="Q1217" s="31" t="n"/>
      <c r="R1217" s="31" t="n"/>
      <c r="S1217" s="32">
        <f>IF($F1217="","",IF(IFERROR(VLOOKUP($F1217,'维度字典'!$I$2:$J$50,2,0),"求和")="手工录入","",IF(IFERROR(VLOOKUP($F1217,'维度字典'!$I$2:$J$50,2,0),"求和")="最新值",IFERROR(LOOKUP(9.99E+307,G1217:R1217),""),SUM(G1217:R1217))))</f>
        <v/>
      </c>
      <c r="T1217" s="33" t="n"/>
      <c r="U1217" s="33" t="n"/>
    </row>
    <row r="1218">
      <c r="A1218" s="26">
        <f>IF($B1218="","",ROW()-3)</f>
        <v/>
      </c>
      <c r="B1218" s="27" t="n"/>
      <c r="C1218" s="27" t="n"/>
      <c r="D1218" s="28" t="n"/>
      <c r="E1218" s="29" t="n"/>
      <c r="F1218" s="30" t="n"/>
      <c r="G1218" s="31" t="n"/>
      <c r="H1218" s="31" t="n"/>
      <c r="I1218" s="31" t="n"/>
      <c r="J1218" s="31" t="n"/>
      <c r="K1218" s="31" t="n"/>
      <c r="L1218" s="31" t="n"/>
      <c r="M1218" s="31" t="n"/>
      <c r="N1218" s="31" t="n"/>
      <c r="O1218" s="31" t="n"/>
      <c r="P1218" s="31" t="n"/>
      <c r="Q1218" s="31" t="n"/>
      <c r="R1218" s="31" t="n"/>
      <c r="S1218" s="32">
        <f>IF($F1218="","",IF(IFERROR(VLOOKUP($F1218,'维度字典'!$I$2:$J$50,2,0),"求和")="手工录入","",IF(IFERROR(VLOOKUP($F1218,'维度字典'!$I$2:$J$50,2,0),"求和")="最新值",IFERROR(LOOKUP(9.99E+307,G1218:R1218),""),SUM(G1218:R1218))))</f>
        <v/>
      </c>
      <c r="T1218" s="33" t="n"/>
      <c r="U1218" s="33" t="n"/>
    </row>
    <row r="1219">
      <c r="A1219" s="26">
        <f>IF($B1219="","",ROW()-3)</f>
        <v/>
      </c>
      <c r="B1219" s="27" t="n"/>
      <c r="C1219" s="27" t="n"/>
      <c r="D1219" s="28" t="n"/>
      <c r="E1219" s="29" t="n"/>
      <c r="F1219" s="30" t="n"/>
      <c r="G1219" s="31" t="n"/>
      <c r="H1219" s="31" t="n"/>
      <c r="I1219" s="31" t="n"/>
      <c r="J1219" s="31" t="n"/>
      <c r="K1219" s="31" t="n"/>
      <c r="L1219" s="31" t="n"/>
      <c r="M1219" s="31" t="n"/>
      <c r="N1219" s="31" t="n"/>
      <c r="O1219" s="31" t="n"/>
      <c r="P1219" s="31" t="n"/>
      <c r="Q1219" s="31" t="n"/>
      <c r="R1219" s="31" t="n"/>
      <c r="S1219" s="32">
        <f>IF($F1219="","",IF(IFERROR(VLOOKUP($F1219,'维度字典'!$I$2:$J$50,2,0),"求和")="手工录入","",IF(IFERROR(VLOOKUP($F1219,'维度字典'!$I$2:$J$50,2,0),"求和")="最新值",IFERROR(LOOKUP(9.99E+307,G1219:R1219),""),SUM(G1219:R1219))))</f>
        <v/>
      </c>
      <c r="T1219" s="33" t="n"/>
      <c r="U1219" s="33" t="n"/>
    </row>
    <row r="1220">
      <c r="A1220" s="26">
        <f>IF($B1220="","",ROW()-3)</f>
        <v/>
      </c>
      <c r="B1220" s="27" t="n"/>
      <c r="C1220" s="27" t="n"/>
      <c r="D1220" s="28" t="n"/>
      <c r="E1220" s="29" t="n"/>
      <c r="F1220" s="30" t="n"/>
      <c r="G1220" s="31" t="n"/>
      <c r="H1220" s="31" t="n"/>
      <c r="I1220" s="31" t="n"/>
      <c r="J1220" s="31" t="n"/>
      <c r="K1220" s="31" t="n"/>
      <c r="L1220" s="31" t="n"/>
      <c r="M1220" s="31" t="n"/>
      <c r="N1220" s="31" t="n"/>
      <c r="O1220" s="31" t="n"/>
      <c r="P1220" s="31" t="n"/>
      <c r="Q1220" s="31" t="n"/>
      <c r="R1220" s="31" t="n"/>
      <c r="S1220" s="32">
        <f>IF($F1220="","",IF(IFERROR(VLOOKUP($F1220,'维度字典'!$I$2:$J$50,2,0),"求和")="手工录入","",IF(IFERROR(VLOOKUP($F1220,'维度字典'!$I$2:$J$50,2,0),"求和")="最新值",IFERROR(LOOKUP(9.99E+307,G1220:R1220),""),SUM(G1220:R1220))))</f>
        <v/>
      </c>
      <c r="T1220" s="33" t="n"/>
      <c r="U1220" s="33" t="n"/>
    </row>
    <row r="1221">
      <c r="A1221" s="26">
        <f>IF($B1221="","",ROW()-3)</f>
        <v/>
      </c>
      <c r="B1221" s="27" t="n"/>
      <c r="C1221" s="27" t="n"/>
      <c r="D1221" s="28" t="n"/>
      <c r="E1221" s="29" t="n"/>
      <c r="F1221" s="30" t="n"/>
      <c r="G1221" s="31" t="n"/>
      <c r="H1221" s="31" t="n"/>
      <c r="I1221" s="31" t="n"/>
      <c r="J1221" s="31" t="n"/>
      <c r="K1221" s="31" t="n"/>
      <c r="L1221" s="31" t="n"/>
      <c r="M1221" s="31" t="n"/>
      <c r="N1221" s="31" t="n"/>
      <c r="O1221" s="31" t="n"/>
      <c r="P1221" s="31" t="n"/>
      <c r="Q1221" s="31" t="n"/>
      <c r="R1221" s="31" t="n"/>
      <c r="S1221" s="32">
        <f>IF($F1221="","",IF(IFERROR(VLOOKUP($F1221,'维度字典'!$I$2:$J$50,2,0),"求和")="手工录入","",IF(IFERROR(VLOOKUP($F1221,'维度字典'!$I$2:$J$50,2,0),"求和")="最新值",IFERROR(LOOKUP(9.99E+307,G1221:R1221),""),SUM(G1221:R1221))))</f>
        <v/>
      </c>
      <c r="T1221" s="33" t="n"/>
      <c r="U1221" s="33" t="n"/>
    </row>
    <row r="1222">
      <c r="A1222" s="26">
        <f>IF($B1222="","",ROW()-3)</f>
        <v/>
      </c>
      <c r="B1222" s="27" t="n"/>
      <c r="C1222" s="27" t="n"/>
      <c r="D1222" s="28" t="n"/>
      <c r="E1222" s="29" t="n"/>
      <c r="F1222" s="30" t="n"/>
      <c r="G1222" s="31" t="n"/>
      <c r="H1222" s="31" t="n"/>
      <c r="I1222" s="31" t="n"/>
      <c r="J1222" s="31" t="n"/>
      <c r="K1222" s="31" t="n"/>
      <c r="L1222" s="31" t="n"/>
      <c r="M1222" s="31" t="n"/>
      <c r="N1222" s="31" t="n"/>
      <c r="O1222" s="31" t="n"/>
      <c r="P1222" s="31" t="n"/>
      <c r="Q1222" s="31" t="n"/>
      <c r="R1222" s="31" t="n"/>
      <c r="S1222" s="32">
        <f>IF($F1222="","",IF(IFERROR(VLOOKUP($F1222,'维度字典'!$I$2:$J$50,2,0),"求和")="手工录入","",IF(IFERROR(VLOOKUP($F1222,'维度字典'!$I$2:$J$50,2,0),"求和")="最新值",IFERROR(LOOKUP(9.99E+307,G1222:R1222),""),SUM(G1222:R1222))))</f>
        <v/>
      </c>
      <c r="T1222" s="33" t="n"/>
      <c r="U1222" s="33" t="n"/>
    </row>
    <row r="1223">
      <c r="A1223" s="26">
        <f>IF($B1223="","",ROW()-3)</f>
        <v/>
      </c>
      <c r="B1223" s="27" t="n"/>
      <c r="C1223" s="27" t="n"/>
      <c r="D1223" s="28" t="n"/>
      <c r="E1223" s="29" t="n"/>
      <c r="F1223" s="30" t="n"/>
      <c r="G1223" s="31" t="n"/>
      <c r="H1223" s="31" t="n"/>
      <c r="I1223" s="31" t="n"/>
      <c r="J1223" s="31" t="n"/>
      <c r="K1223" s="31" t="n"/>
      <c r="L1223" s="31" t="n"/>
      <c r="M1223" s="31" t="n"/>
      <c r="N1223" s="31" t="n"/>
      <c r="O1223" s="31" t="n"/>
      <c r="P1223" s="31" t="n"/>
      <c r="Q1223" s="31" t="n"/>
      <c r="R1223" s="31" t="n"/>
      <c r="S1223" s="32">
        <f>IF($F1223="","",IF(IFERROR(VLOOKUP($F1223,'维度字典'!$I$2:$J$50,2,0),"求和")="手工录入","",IF(IFERROR(VLOOKUP($F1223,'维度字典'!$I$2:$J$50,2,0),"求和")="最新值",IFERROR(LOOKUP(9.99E+307,G1223:R1223),""),SUM(G1223:R1223))))</f>
        <v/>
      </c>
      <c r="T1223" s="33" t="n"/>
      <c r="U1223" s="33" t="n"/>
    </row>
    <row r="1224">
      <c r="A1224" s="26">
        <f>IF($B1224="","",ROW()-3)</f>
        <v/>
      </c>
      <c r="B1224" s="27" t="n"/>
      <c r="C1224" s="27" t="n"/>
      <c r="D1224" s="28" t="n"/>
      <c r="E1224" s="29" t="n"/>
      <c r="F1224" s="30" t="n"/>
      <c r="G1224" s="31" t="n"/>
      <c r="H1224" s="31" t="n"/>
      <c r="I1224" s="31" t="n"/>
      <c r="J1224" s="31" t="n"/>
      <c r="K1224" s="31" t="n"/>
      <c r="L1224" s="31" t="n"/>
      <c r="M1224" s="31" t="n"/>
      <c r="N1224" s="31" t="n"/>
      <c r="O1224" s="31" t="n"/>
      <c r="P1224" s="31" t="n"/>
      <c r="Q1224" s="31" t="n"/>
      <c r="R1224" s="31" t="n"/>
      <c r="S1224" s="32">
        <f>IF($F1224="","",IF(IFERROR(VLOOKUP($F1224,'维度字典'!$I$2:$J$50,2,0),"求和")="手工录入","",IF(IFERROR(VLOOKUP($F1224,'维度字典'!$I$2:$J$50,2,0),"求和")="最新值",IFERROR(LOOKUP(9.99E+307,G1224:R1224),""),SUM(G1224:R1224))))</f>
        <v/>
      </c>
      <c r="T1224" s="33" t="n"/>
      <c r="U1224" s="33" t="n"/>
    </row>
    <row r="1225">
      <c r="A1225" s="26">
        <f>IF($B1225="","",ROW()-3)</f>
        <v/>
      </c>
      <c r="B1225" s="27" t="n"/>
      <c r="C1225" s="27" t="n"/>
      <c r="D1225" s="28" t="n"/>
      <c r="E1225" s="29" t="n"/>
      <c r="F1225" s="30" t="n"/>
      <c r="G1225" s="31" t="n"/>
      <c r="H1225" s="31" t="n"/>
      <c r="I1225" s="31" t="n"/>
      <c r="J1225" s="31" t="n"/>
      <c r="K1225" s="31" t="n"/>
      <c r="L1225" s="31" t="n"/>
      <c r="M1225" s="31" t="n"/>
      <c r="N1225" s="31" t="n"/>
      <c r="O1225" s="31" t="n"/>
      <c r="P1225" s="31" t="n"/>
      <c r="Q1225" s="31" t="n"/>
      <c r="R1225" s="31" t="n"/>
      <c r="S1225" s="32">
        <f>IF($F1225="","",IF(IFERROR(VLOOKUP($F1225,'维度字典'!$I$2:$J$50,2,0),"求和")="手工录入","",IF(IFERROR(VLOOKUP($F1225,'维度字典'!$I$2:$J$50,2,0),"求和")="最新值",IFERROR(LOOKUP(9.99E+307,G1225:R1225),""),SUM(G1225:R1225))))</f>
        <v/>
      </c>
      <c r="T1225" s="33" t="n"/>
      <c r="U1225" s="33" t="n"/>
    </row>
    <row r="1226">
      <c r="A1226" s="26">
        <f>IF($B1226="","",ROW()-3)</f>
        <v/>
      </c>
      <c r="B1226" s="27" t="n"/>
      <c r="C1226" s="27" t="n"/>
      <c r="D1226" s="28" t="n"/>
      <c r="E1226" s="29" t="n"/>
      <c r="F1226" s="30" t="n"/>
      <c r="G1226" s="31" t="n"/>
      <c r="H1226" s="31" t="n"/>
      <c r="I1226" s="31" t="n"/>
      <c r="J1226" s="31" t="n"/>
      <c r="K1226" s="31" t="n"/>
      <c r="L1226" s="31" t="n"/>
      <c r="M1226" s="31" t="n"/>
      <c r="N1226" s="31" t="n"/>
      <c r="O1226" s="31" t="n"/>
      <c r="P1226" s="31" t="n"/>
      <c r="Q1226" s="31" t="n"/>
      <c r="R1226" s="31" t="n"/>
      <c r="S1226" s="32">
        <f>IF($F1226="","",IF(IFERROR(VLOOKUP($F1226,'维度字典'!$I$2:$J$50,2,0),"求和")="手工录入","",IF(IFERROR(VLOOKUP($F1226,'维度字典'!$I$2:$J$50,2,0),"求和")="最新值",IFERROR(LOOKUP(9.99E+307,G1226:R1226),""),SUM(G1226:R1226))))</f>
        <v/>
      </c>
      <c r="T1226" s="33" t="n"/>
      <c r="U1226" s="33" t="n"/>
    </row>
    <row r="1227">
      <c r="A1227" s="26">
        <f>IF($B1227="","",ROW()-3)</f>
        <v/>
      </c>
      <c r="B1227" s="27" t="n"/>
      <c r="C1227" s="27" t="n"/>
      <c r="D1227" s="28" t="n"/>
      <c r="E1227" s="29" t="n"/>
      <c r="F1227" s="30" t="n"/>
      <c r="G1227" s="31" t="n"/>
      <c r="H1227" s="31" t="n"/>
      <c r="I1227" s="31" t="n"/>
      <c r="J1227" s="31" t="n"/>
      <c r="K1227" s="31" t="n"/>
      <c r="L1227" s="31" t="n"/>
      <c r="M1227" s="31" t="n"/>
      <c r="N1227" s="31" t="n"/>
      <c r="O1227" s="31" t="n"/>
      <c r="P1227" s="31" t="n"/>
      <c r="Q1227" s="31" t="n"/>
      <c r="R1227" s="31" t="n"/>
      <c r="S1227" s="32">
        <f>IF($F1227="","",IF(IFERROR(VLOOKUP($F1227,'维度字典'!$I$2:$J$50,2,0),"求和")="手工录入","",IF(IFERROR(VLOOKUP($F1227,'维度字典'!$I$2:$J$50,2,0),"求和")="最新值",IFERROR(LOOKUP(9.99E+307,G1227:R1227),""),SUM(G1227:R1227))))</f>
        <v/>
      </c>
      <c r="T1227" s="33" t="n"/>
      <c r="U1227" s="33" t="n"/>
    </row>
    <row r="1228">
      <c r="A1228" s="26">
        <f>IF($B1228="","",ROW()-3)</f>
        <v/>
      </c>
      <c r="B1228" s="27" t="n"/>
      <c r="C1228" s="27" t="n"/>
      <c r="D1228" s="28" t="n"/>
      <c r="E1228" s="29" t="n"/>
      <c r="F1228" s="30" t="n"/>
      <c r="G1228" s="31" t="n"/>
      <c r="H1228" s="31" t="n"/>
      <c r="I1228" s="31" t="n"/>
      <c r="J1228" s="31" t="n"/>
      <c r="K1228" s="31" t="n"/>
      <c r="L1228" s="31" t="n"/>
      <c r="M1228" s="31" t="n"/>
      <c r="N1228" s="31" t="n"/>
      <c r="O1228" s="31" t="n"/>
      <c r="P1228" s="31" t="n"/>
      <c r="Q1228" s="31" t="n"/>
      <c r="R1228" s="31" t="n"/>
      <c r="S1228" s="32">
        <f>IF($F1228="","",IF(IFERROR(VLOOKUP($F1228,'维度字典'!$I$2:$J$50,2,0),"求和")="手工录入","",IF(IFERROR(VLOOKUP($F1228,'维度字典'!$I$2:$J$50,2,0),"求和")="最新值",IFERROR(LOOKUP(9.99E+307,G1228:R1228),""),SUM(G1228:R1228))))</f>
        <v/>
      </c>
      <c r="T1228" s="33" t="n"/>
      <c r="U1228" s="33" t="n"/>
    </row>
    <row r="1229">
      <c r="A1229" s="26">
        <f>IF($B1229="","",ROW()-3)</f>
        <v/>
      </c>
      <c r="B1229" s="27" t="n"/>
      <c r="C1229" s="27" t="n"/>
      <c r="D1229" s="28" t="n"/>
      <c r="E1229" s="29" t="n"/>
      <c r="F1229" s="30" t="n"/>
      <c r="G1229" s="31" t="n"/>
      <c r="H1229" s="31" t="n"/>
      <c r="I1229" s="31" t="n"/>
      <c r="J1229" s="31" t="n"/>
      <c r="K1229" s="31" t="n"/>
      <c r="L1229" s="31" t="n"/>
      <c r="M1229" s="31" t="n"/>
      <c r="N1229" s="31" t="n"/>
      <c r="O1229" s="31" t="n"/>
      <c r="P1229" s="31" t="n"/>
      <c r="Q1229" s="31" t="n"/>
      <c r="R1229" s="31" t="n"/>
      <c r="S1229" s="32">
        <f>IF($F1229="","",IF(IFERROR(VLOOKUP($F1229,'维度字典'!$I$2:$J$50,2,0),"求和")="手工录入","",IF(IFERROR(VLOOKUP($F1229,'维度字典'!$I$2:$J$50,2,0),"求和")="最新值",IFERROR(LOOKUP(9.99E+307,G1229:R1229),""),SUM(G1229:R1229))))</f>
        <v/>
      </c>
      <c r="T1229" s="33" t="n"/>
      <c r="U1229" s="33" t="n"/>
    </row>
    <row r="1230">
      <c r="A1230" s="26">
        <f>IF($B1230="","",ROW()-3)</f>
        <v/>
      </c>
      <c r="B1230" s="27" t="n"/>
      <c r="C1230" s="27" t="n"/>
      <c r="D1230" s="28" t="n"/>
      <c r="E1230" s="29" t="n"/>
      <c r="F1230" s="30" t="n"/>
      <c r="G1230" s="31" t="n"/>
      <c r="H1230" s="31" t="n"/>
      <c r="I1230" s="31" t="n"/>
      <c r="J1230" s="31" t="n"/>
      <c r="K1230" s="31" t="n"/>
      <c r="L1230" s="31" t="n"/>
      <c r="M1230" s="31" t="n"/>
      <c r="N1230" s="31" t="n"/>
      <c r="O1230" s="31" t="n"/>
      <c r="P1230" s="31" t="n"/>
      <c r="Q1230" s="31" t="n"/>
      <c r="R1230" s="31" t="n"/>
      <c r="S1230" s="32">
        <f>IF($F1230="","",IF(IFERROR(VLOOKUP($F1230,'维度字典'!$I$2:$J$50,2,0),"求和")="手工录入","",IF(IFERROR(VLOOKUP($F1230,'维度字典'!$I$2:$J$50,2,0),"求和")="最新值",IFERROR(LOOKUP(9.99E+307,G1230:R1230),""),SUM(G1230:R1230))))</f>
        <v/>
      </c>
      <c r="T1230" s="33" t="n"/>
      <c r="U1230" s="33" t="n"/>
    </row>
    <row r="1231">
      <c r="A1231" s="26">
        <f>IF($B1231="","",ROW()-3)</f>
        <v/>
      </c>
      <c r="B1231" s="27" t="n"/>
      <c r="C1231" s="27" t="n"/>
      <c r="D1231" s="28" t="n"/>
      <c r="E1231" s="29" t="n"/>
      <c r="F1231" s="30" t="n"/>
      <c r="G1231" s="31" t="n"/>
      <c r="H1231" s="31" t="n"/>
      <c r="I1231" s="31" t="n"/>
      <c r="J1231" s="31" t="n"/>
      <c r="K1231" s="31" t="n"/>
      <c r="L1231" s="31" t="n"/>
      <c r="M1231" s="31" t="n"/>
      <c r="N1231" s="31" t="n"/>
      <c r="O1231" s="31" t="n"/>
      <c r="P1231" s="31" t="n"/>
      <c r="Q1231" s="31" t="n"/>
      <c r="R1231" s="31" t="n"/>
      <c r="S1231" s="32">
        <f>IF($F1231="","",IF(IFERROR(VLOOKUP($F1231,'维度字典'!$I$2:$J$50,2,0),"求和")="手工录入","",IF(IFERROR(VLOOKUP($F1231,'维度字典'!$I$2:$J$50,2,0),"求和")="最新值",IFERROR(LOOKUP(9.99E+307,G1231:R1231),""),SUM(G1231:R1231))))</f>
        <v/>
      </c>
      <c r="T1231" s="33" t="n"/>
      <c r="U1231" s="33" t="n"/>
    </row>
    <row r="1232">
      <c r="A1232" s="26">
        <f>IF($B1232="","",ROW()-3)</f>
        <v/>
      </c>
      <c r="B1232" s="27" t="n"/>
      <c r="C1232" s="27" t="n"/>
      <c r="D1232" s="28" t="n"/>
      <c r="E1232" s="29" t="n"/>
      <c r="F1232" s="30" t="n"/>
      <c r="G1232" s="31" t="n"/>
      <c r="H1232" s="31" t="n"/>
      <c r="I1232" s="31" t="n"/>
      <c r="J1232" s="31" t="n"/>
      <c r="K1232" s="31" t="n"/>
      <c r="L1232" s="31" t="n"/>
      <c r="M1232" s="31" t="n"/>
      <c r="N1232" s="31" t="n"/>
      <c r="O1232" s="31" t="n"/>
      <c r="P1232" s="31" t="n"/>
      <c r="Q1232" s="31" t="n"/>
      <c r="R1232" s="31" t="n"/>
      <c r="S1232" s="32">
        <f>IF($F1232="","",IF(IFERROR(VLOOKUP($F1232,'维度字典'!$I$2:$J$50,2,0),"求和")="手工录入","",IF(IFERROR(VLOOKUP($F1232,'维度字典'!$I$2:$J$50,2,0),"求和")="最新值",IFERROR(LOOKUP(9.99E+307,G1232:R1232),""),SUM(G1232:R1232))))</f>
        <v/>
      </c>
      <c r="T1232" s="33" t="n"/>
      <c r="U1232" s="33" t="n"/>
    </row>
    <row r="1233">
      <c r="A1233" s="26">
        <f>IF($B1233="","",ROW()-3)</f>
        <v/>
      </c>
      <c r="B1233" s="27" t="n"/>
      <c r="C1233" s="27" t="n"/>
      <c r="D1233" s="28" t="n"/>
      <c r="E1233" s="29" t="n"/>
      <c r="F1233" s="30" t="n"/>
      <c r="G1233" s="31" t="n"/>
      <c r="H1233" s="31" t="n"/>
      <c r="I1233" s="31" t="n"/>
      <c r="J1233" s="31" t="n"/>
      <c r="K1233" s="31" t="n"/>
      <c r="L1233" s="31" t="n"/>
      <c r="M1233" s="31" t="n"/>
      <c r="N1233" s="31" t="n"/>
      <c r="O1233" s="31" t="n"/>
      <c r="P1233" s="31" t="n"/>
      <c r="Q1233" s="31" t="n"/>
      <c r="R1233" s="31" t="n"/>
      <c r="S1233" s="32">
        <f>IF($F1233="","",IF(IFERROR(VLOOKUP($F1233,'维度字典'!$I$2:$J$50,2,0),"求和")="手工录入","",IF(IFERROR(VLOOKUP($F1233,'维度字典'!$I$2:$J$50,2,0),"求和")="最新值",IFERROR(LOOKUP(9.99E+307,G1233:R1233),""),SUM(G1233:R1233))))</f>
        <v/>
      </c>
      <c r="T1233" s="33" t="n"/>
      <c r="U1233" s="33" t="n"/>
    </row>
    <row r="1234">
      <c r="A1234" s="26">
        <f>IF($B1234="","",ROW()-3)</f>
        <v/>
      </c>
      <c r="B1234" s="27" t="n"/>
      <c r="C1234" s="27" t="n"/>
      <c r="D1234" s="28" t="n"/>
      <c r="E1234" s="29" t="n"/>
      <c r="F1234" s="30" t="n"/>
      <c r="G1234" s="31" t="n"/>
      <c r="H1234" s="31" t="n"/>
      <c r="I1234" s="31" t="n"/>
      <c r="J1234" s="31" t="n"/>
      <c r="K1234" s="31" t="n"/>
      <c r="L1234" s="31" t="n"/>
      <c r="M1234" s="31" t="n"/>
      <c r="N1234" s="31" t="n"/>
      <c r="O1234" s="31" t="n"/>
      <c r="P1234" s="31" t="n"/>
      <c r="Q1234" s="31" t="n"/>
      <c r="R1234" s="31" t="n"/>
      <c r="S1234" s="32">
        <f>IF($F1234="","",IF(IFERROR(VLOOKUP($F1234,'维度字典'!$I$2:$J$50,2,0),"求和")="手工录入","",IF(IFERROR(VLOOKUP($F1234,'维度字典'!$I$2:$J$50,2,0),"求和")="最新值",IFERROR(LOOKUP(9.99E+307,G1234:R1234),""),SUM(G1234:R1234))))</f>
        <v/>
      </c>
      <c r="T1234" s="33" t="n"/>
      <c r="U1234" s="33" t="n"/>
    </row>
    <row r="1235">
      <c r="A1235" s="26">
        <f>IF($B1235="","",ROW()-3)</f>
        <v/>
      </c>
      <c r="B1235" s="27" t="n"/>
      <c r="C1235" s="27" t="n"/>
      <c r="D1235" s="28" t="n"/>
      <c r="E1235" s="29" t="n"/>
      <c r="F1235" s="30" t="n"/>
      <c r="G1235" s="31" t="n"/>
      <c r="H1235" s="31" t="n"/>
      <c r="I1235" s="31" t="n"/>
      <c r="J1235" s="31" t="n"/>
      <c r="K1235" s="31" t="n"/>
      <c r="L1235" s="31" t="n"/>
      <c r="M1235" s="31" t="n"/>
      <c r="N1235" s="31" t="n"/>
      <c r="O1235" s="31" t="n"/>
      <c r="P1235" s="31" t="n"/>
      <c r="Q1235" s="31" t="n"/>
      <c r="R1235" s="31" t="n"/>
      <c r="S1235" s="32">
        <f>IF($F1235="","",IF(IFERROR(VLOOKUP($F1235,'维度字典'!$I$2:$J$50,2,0),"求和")="手工录入","",IF(IFERROR(VLOOKUP($F1235,'维度字典'!$I$2:$J$50,2,0),"求和")="最新值",IFERROR(LOOKUP(9.99E+307,G1235:R1235),""),SUM(G1235:R1235))))</f>
        <v/>
      </c>
      <c r="T1235" s="33" t="n"/>
      <c r="U1235" s="33" t="n"/>
    </row>
    <row r="1236">
      <c r="A1236" s="26">
        <f>IF($B1236="","",ROW()-3)</f>
        <v/>
      </c>
      <c r="B1236" s="27" t="n"/>
      <c r="C1236" s="27" t="n"/>
      <c r="D1236" s="28" t="n"/>
      <c r="E1236" s="29" t="n"/>
      <c r="F1236" s="30" t="n"/>
      <c r="G1236" s="31" t="n"/>
      <c r="H1236" s="31" t="n"/>
      <c r="I1236" s="31" t="n"/>
      <c r="J1236" s="31" t="n"/>
      <c r="K1236" s="31" t="n"/>
      <c r="L1236" s="31" t="n"/>
      <c r="M1236" s="31" t="n"/>
      <c r="N1236" s="31" t="n"/>
      <c r="O1236" s="31" t="n"/>
      <c r="P1236" s="31" t="n"/>
      <c r="Q1236" s="31" t="n"/>
      <c r="R1236" s="31" t="n"/>
      <c r="S1236" s="32">
        <f>IF($F1236="","",IF(IFERROR(VLOOKUP($F1236,'维度字典'!$I$2:$J$50,2,0),"求和")="手工录入","",IF(IFERROR(VLOOKUP($F1236,'维度字典'!$I$2:$J$50,2,0),"求和")="最新值",IFERROR(LOOKUP(9.99E+307,G1236:R1236),""),SUM(G1236:R1236))))</f>
        <v/>
      </c>
      <c r="T1236" s="33" t="n"/>
      <c r="U1236" s="33" t="n"/>
    </row>
    <row r="1237">
      <c r="A1237" s="26">
        <f>IF($B1237="","",ROW()-3)</f>
        <v/>
      </c>
      <c r="B1237" s="27" t="n"/>
      <c r="C1237" s="27" t="n"/>
      <c r="D1237" s="28" t="n"/>
      <c r="E1237" s="29" t="n"/>
      <c r="F1237" s="30" t="n"/>
      <c r="G1237" s="31" t="n"/>
      <c r="H1237" s="31" t="n"/>
      <c r="I1237" s="31" t="n"/>
      <c r="J1237" s="31" t="n"/>
      <c r="K1237" s="31" t="n"/>
      <c r="L1237" s="31" t="n"/>
      <c r="M1237" s="31" t="n"/>
      <c r="N1237" s="31" t="n"/>
      <c r="O1237" s="31" t="n"/>
      <c r="P1237" s="31" t="n"/>
      <c r="Q1237" s="31" t="n"/>
      <c r="R1237" s="31" t="n"/>
      <c r="S1237" s="32">
        <f>IF($F1237="","",IF(IFERROR(VLOOKUP($F1237,'维度字典'!$I$2:$J$50,2,0),"求和")="手工录入","",IF(IFERROR(VLOOKUP($F1237,'维度字典'!$I$2:$J$50,2,0),"求和")="最新值",IFERROR(LOOKUP(9.99E+307,G1237:R1237),""),SUM(G1237:R1237))))</f>
        <v/>
      </c>
      <c r="T1237" s="33" t="n"/>
      <c r="U1237" s="33" t="n"/>
    </row>
    <row r="1238">
      <c r="A1238" s="26">
        <f>IF($B1238="","",ROW()-3)</f>
        <v/>
      </c>
      <c r="B1238" s="27" t="n"/>
      <c r="C1238" s="27" t="n"/>
      <c r="D1238" s="28" t="n"/>
      <c r="E1238" s="29" t="n"/>
      <c r="F1238" s="30" t="n"/>
      <c r="G1238" s="31" t="n"/>
      <c r="H1238" s="31" t="n"/>
      <c r="I1238" s="31" t="n"/>
      <c r="J1238" s="31" t="n"/>
      <c r="K1238" s="31" t="n"/>
      <c r="L1238" s="31" t="n"/>
      <c r="M1238" s="31" t="n"/>
      <c r="N1238" s="31" t="n"/>
      <c r="O1238" s="31" t="n"/>
      <c r="P1238" s="31" t="n"/>
      <c r="Q1238" s="31" t="n"/>
      <c r="R1238" s="31" t="n"/>
      <c r="S1238" s="32">
        <f>IF($F1238="","",IF(IFERROR(VLOOKUP($F1238,'维度字典'!$I$2:$J$50,2,0),"求和")="手工录入","",IF(IFERROR(VLOOKUP($F1238,'维度字典'!$I$2:$J$50,2,0),"求和")="最新值",IFERROR(LOOKUP(9.99E+307,G1238:R1238),""),SUM(G1238:R1238))))</f>
        <v/>
      </c>
      <c r="T1238" s="33" t="n"/>
      <c r="U1238" s="33" t="n"/>
    </row>
    <row r="1239">
      <c r="A1239" s="26">
        <f>IF($B1239="","",ROW()-3)</f>
        <v/>
      </c>
      <c r="B1239" s="27" t="n"/>
      <c r="C1239" s="27" t="n"/>
      <c r="D1239" s="28" t="n"/>
      <c r="E1239" s="29" t="n"/>
      <c r="F1239" s="30" t="n"/>
      <c r="G1239" s="31" t="n"/>
      <c r="H1239" s="31" t="n"/>
      <c r="I1239" s="31" t="n"/>
      <c r="J1239" s="31" t="n"/>
      <c r="K1239" s="31" t="n"/>
      <c r="L1239" s="31" t="n"/>
      <c r="M1239" s="31" t="n"/>
      <c r="N1239" s="31" t="n"/>
      <c r="O1239" s="31" t="n"/>
      <c r="P1239" s="31" t="n"/>
      <c r="Q1239" s="31" t="n"/>
      <c r="R1239" s="31" t="n"/>
      <c r="S1239" s="32">
        <f>IF($F1239="","",IF(IFERROR(VLOOKUP($F1239,'维度字典'!$I$2:$J$50,2,0),"求和")="手工录入","",IF(IFERROR(VLOOKUP($F1239,'维度字典'!$I$2:$J$50,2,0),"求和")="最新值",IFERROR(LOOKUP(9.99E+307,G1239:R1239),""),SUM(G1239:R1239))))</f>
        <v/>
      </c>
      <c r="T1239" s="33" t="n"/>
      <c r="U1239" s="33" t="n"/>
    </row>
    <row r="1240">
      <c r="A1240" s="26">
        <f>IF($B1240="","",ROW()-3)</f>
        <v/>
      </c>
      <c r="B1240" s="27" t="n"/>
      <c r="C1240" s="27" t="n"/>
      <c r="D1240" s="28" t="n"/>
      <c r="E1240" s="29" t="n"/>
      <c r="F1240" s="30" t="n"/>
      <c r="G1240" s="31" t="n"/>
      <c r="H1240" s="31" t="n"/>
      <c r="I1240" s="31" t="n"/>
      <c r="J1240" s="31" t="n"/>
      <c r="K1240" s="31" t="n"/>
      <c r="L1240" s="31" t="n"/>
      <c r="M1240" s="31" t="n"/>
      <c r="N1240" s="31" t="n"/>
      <c r="O1240" s="31" t="n"/>
      <c r="P1240" s="31" t="n"/>
      <c r="Q1240" s="31" t="n"/>
      <c r="R1240" s="31" t="n"/>
      <c r="S1240" s="32">
        <f>IF($F1240="","",IF(IFERROR(VLOOKUP($F1240,'维度字典'!$I$2:$J$50,2,0),"求和")="手工录入","",IF(IFERROR(VLOOKUP($F1240,'维度字典'!$I$2:$J$50,2,0),"求和")="最新值",IFERROR(LOOKUP(9.99E+307,G1240:R1240),""),SUM(G1240:R1240))))</f>
        <v/>
      </c>
      <c r="T1240" s="33" t="n"/>
      <c r="U1240" s="33" t="n"/>
    </row>
    <row r="1241">
      <c r="A1241" s="26">
        <f>IF($B1241="","",ROW()-3)</f>
        <v/>
      </c>
      <c r="B1241" s="27" t="n"/>
      <c r="C1241" s="27" t="n"/>
      <c r="D1241" s="28" t="n"/>
      <c r="E1241" s="29" t="n"/>
      <c r="F1241" s="30" t="n"/>
      <c r="G1241" s="31" t="n"/>
      <c r="H1241" s="31" t="n"/>
      <c r="I1241" s="31" t="n"/>
      <c r="J1241" s="31" t="n"/>
      <c r="K1241" s="31" t="n"/>
      <c r="L1241" s="31" t="n"/>
      <c r="M1241" s="31" t="n"/>
      <c r="N1241" s="31" t="n"/>
      <c r="O1241" s="31" t="n"/>
      <c r="P1241" s="31" t="n"/>
      <c r="Q1241" s="31" t="n"/>
      <c r="R1241" s="31" t="n"/>
      <c r="S1241" s="32">
        <f>IF($F1241="","",IF(IFERROR(VLOOKUP($F1241,'维度字典'!$I$2:$J$50,2,0),"求和")="手工录入","",IF(IFERROR(VLOOKUP($F1241,'维度字典'!$I$2:$J$50,2,0),"求和")="最新值",IFERROR(LOOKUP(9.99E+307,G1241:R1241),""),SUM(G1241:R1241))))</f>
        <v/>
      </c>
      <c r="T1241" s="33" t="n"/>
      <c r="U1241" s="33" t="n"/>
    </row>
    <row r="1242">
      <c r="A1242" s="26">
        <f>IF($B1242="","",ROW()-3)</f>
        <v/>
      </c>
      <c r="B1242" s="27" t="n"/>
      <c r="C1242" s="27" t="n"/>
      <c r="D1242" s="28" t="n"/>
      <c r="E1242" s="29" t="n"/>
      <c r="F1242" s="30" t="n"/>
      <c r="G1242" s="31" t="n"/>
      <c r="H1242" s="31" t="n"/>
      <c r="I1242" s="31" t="n"/>
      <c r="J1242" s="31" t="n"/>
      <c r="K1242" s="31" t="n"/>
      <c r="L1242" s="31" t="n"/>
      <c r="M1242" s="31" t="n"/>
      <c r="N1242" s="31" t="n"/>
      <c r="O1242" s="31" t="n"/>
      <c r="P1242" s="31" t="n"/>
      <c r="Q1242" s="31" t="n"/>
      <c r="R1242" s="31" t="n"/>
      <c r="S1242" s="32">
        <f>IF($F1242="","",IF(IFERROR(VLOOKUP($F1242,'维度字典'!$I$2:$J$50,2,0),"求和")="手工录入","",IF(IFERROR(VLOOKUP($F1242,'维度字典'!$I$2:$J$50,2,0),"求和")="最新值",IFERROR(LOOKUP(9.99E+307,G1242:R1242),""),SUM(G1242:R1242))))</f>
        <v/>
      </c>
      <c r="T1242" s="33" t="n"/>
      <c r="U1242" s="33" t="n"/>
    </row>
    <row r="1243">
      <c r="A1243" s="26">
        <f>IF($B1243="","",ROW()-3)</f>
        <v/>
      </c>
      <c r="B1243" s="27" t="n"/>
      <c r="C1243" s="27" t="n"/>
      <c r="D1243" s="28" t="n"/>
      <c r="E1243" s="29" t="n"/>
      <c r="F1243" s="30" t="n"/>
      <c r="G1243" s="31" t="n"/>
      <c r="H1243" s="31" t="n"/>
      <c r="I1243" s="31" t="n"/>
      <c r="J1243" s="31" t="n"/>
      <c r="K1243" s="31" t="n"/>
      <c r="L1243" s="31" t="n"/>
      <c r="M1243" s="31" t="n"/>
      <c r="N1243" s="31" t="n"/>
      <c r="O1243" s="31" t="n"/>
      <c r="P1243" s="31" t="n"/>
      <c r="Q1243" s="31" t="n"/>
      <c r="R1243" s="31" t="n"/>
      <c r="S1243" s="32">
        <f>IF($F1243="","",IF(IFERROR(VLOOKUP($F1243,'维度字典'!$I$2:$J$50,2,0),"求和")="手工录入","",IF(IFERROR(VLOOKUP($F1243,'维度字典'!$I$2:$J$50,2,0),"求和")="最新值",IFERROR(LOOKUP(9.99E+307,G1243:R1243),""),SUM(G1243:R1243))))</f>
        <v/>
      </c>
      <c r="T1243" s="33" t="n"/>
      <c r="U1243" s="33" t="n"/>
    </row>
    <row r="1244">
      <c r="A1244" s="26">
        <f>IF($B1244="","",ROW()-3)</f>
        <v/>
      </c>
      <c r="B1244" s="27" t="n"/>
      <c r="C1244" s="27" t="n"/>
      <c r="D1244" s="28" t="n"/>
      <c r="E1244" s="29" t="n"/>
      <c r="F1244" s="30" t="n"/>
      <c r="G1244" s="31" t="n"/>
      <c r="H1244" s="31" t="n"/>
      <c r="I1244" s="31" t="n"/>
      <c r="J1244" s="31" t="n"/>
      <c r="K1244" s="31" t="n"/>
      <c r="L1244" s="31" t="n"/>
      <c r="M1244" s="31" t="n"/>
      <c r="N1244" s="31" t="n"/>
      <c r="O1244" s="31" t="n"/>
      <c r="P1244" s="31" t="n"/>
      <c r="Q1244" s="31" t="n"/>
      <c r="R1244" s="31" t="n"/>
      <c r="S1244" s="32">
        <f>IF($F1244="","",IF(IFERROR(VLOOKUP($F1244,'维度字典'!$I$2:$J$50,2,0),"求和")="手工录入","",IF(IFERROR(VLOOKUP($F1244,'维度字典'!$I$2:$J$50,2,0),"求和")="最新值",IFERROR(LOOKUP(9.99E+307,G1244:R1244),""),SUM(G1244:R1244))))</f>
        <v/>
      </c>
      <c r="T1244" s="33" t="n"/>
      <c r="U1244" s="33" t="n"/>
    </row>
    <row r="1245">
      <c r="A1245" s="26">
        <f>IF($B1245="","",ROW()-3)</f>
        <v/>
      </c>
      <c r="B1245" s="27" t="n"/>
      <c r="C1245" s="27" t="n"/>
      <c r="D1245" s="28" t="n"/>
      <c r="E1245" s="29" t="n"/>
      <c r="F1245" s="30" t="n"/>
      <c r="G1245" s="31" t="n"/>
      <c r="H1245" s="31" t="n"/>
      <c r="I1245" s="31" t="n"/>
      <c r="J1245" s="31" t="n"/>
      <c r="K1245" s="31" t="n"/>
      <c r="L1245" s="31" t="n"/>
      <c r="M1245" s="31" t="n"/>
      <c r="N1245" s="31" t="n"/>
      <c r="O1245" s="31" t="n"/>
      <c r="P1245" s="31" t="n"/>
      <c r="Q1245" s="31" t="n"/>
      <c r="R1245" s="31" t="n"/>
      <c r="S1245" s="32">
        <f>IF($F1245="","",IF(IFERROR(VLOOKUP($F1245,'维度字典'!$I$2:$J$50,2,0),"求和")="手工录入","",IF(IFERROR(VLOOKUP($F1245,'维度字典'!$I$2:$J$50,2,0),"求和")="最新值",IFERROR(LOOKUP(9.99E+307,G1245:R1245),""),SUM(G1245:R1245))))</f>
        <v/>
      </c>
      <c r="T1245" s="33" t="n"/>
      <c r="U1245" s="33" t="n"/>
    </row>
    <row r="1246">
      <c r="A1246" s="26">
        <f>IF($B1246="","",ROW()-3)</f>
        <v/>
      </c>
      <c r="B1246" s="27" t="n"/>
      <c r="C1246" s="27" t="n"/>
      <c r="D1246" s="28" t="n"/>
      <c r="E1246" s="29" t="n"/>
      <c r="F1246" s="30" t="n"/>
      <c r="G1246" s="31" t="n"/>
      <c r="H1246" s="31" t="n"/>
      <c r="I1246" s="31" t="n"/>
      <c r="J1246" s="31" t="n"/>
      <c r="K1246" s="31" t="n"/>
      <c r="L1246" s="31" t="n"/>
      <c r="M1246" s="31" t="n"/>
      <c r="N1246" s="31" t="n"/>
      <c r="O1246" s="31" t="n"/>
      <c r="P1246" s="31" t="n"/>
      <c r="Q1246" s="31" t="n"/>
      <c r="R1246" s="31" t="n"/>
      <c r="S1246" s="32">
        <f>IF($F1246="","",IF(IFERROR(VLOOKUP($F1246,'维度字典'!$I$2:$J$50,2,0),"求和")="手工录入","",IF(IFERROR(VLOOKUP($F1246,'维度字典'!$I$2:$J$50,2,0),"求和")="最新值",IFERROR(LOOKUP(9.99E+307,G1246:R1246),""),SUM(G1246:R1246))))</f>
        <v/>
      </c>
      <c r="T1246" s="33" t="n"/>
      <c r="U1246" s="33" t="n"/>
    </row>
    <row r="1247">
      <c r="A1247" s="26">
        <f>IF($B1247="","",ROW()-3)</f>
        <v/>
      </c>
      <c r="B1247" s="27" t="n"/>
      <c r="C1247" s="27" t="n"/>
      <c r="D1247" s="28" t="n"/>
      <c r="E1247" s="29" t="n"/>
      <c r="F1247" s="30" t="n"/>
      <c r="G1247" s="31" t="n"/>
      <c r="H1247" s="31" t="n"/>
      <c r="I1247" s="31" t="n"/>
      <c r="J1247" s="31" t="n"/>
      <c r="K1247" s="31" t="n"/>
      <c r="L1247" s="31" t="n"/>
      <c r="M1247" s="31" t="n"/>
      <c r="N1247" s="31" t="n"/>
      <c r="O1247" s="31" t="n"/>
      <c r="P1247" s="31" t="n"/>
      <c r="Q1247" s="31" t="n"/>
      <c r="R1247" s="31" t="n"/>
      <c r="S1247" s="32">
        <f>IF($F1247="","",IF(IFERROR(VLOOKUP($F1247,'维度字典'!$I$2:$J$50,2,0),"求和")="手工录入","",IF(IFERROR(VLOOKUP($F1247,'维度字典'!$I$2:$J$50,2,0),"求和")="最新值",IFERROR(LOOKUP(9.99E+307,G1247:R1247),""),SUM(G1247:R1247))))</f>
        <v/>
      </c>
      <c r="T1247" s="33" t="n"/>
      <c r="U1247" s="33" t="n"/>
    </row>
    <row r="1248">
      <c r="A1248" s="26">
        <f>IF($B1248="","",ROW()-3)</f>
        <v/>
      </c>
      <c r="B1248" s="27" t="n"/>
      <c r="C1248" s="27" t="n"/>
      <c r="D1248" s="28" t="n"/>
      <c r="E1248" s="29" t="n"/>
      <c r="F1248" s="30" t="n"/>
      <c r="G1248" s="31" t="n"/>
      <c r="H1248" s="31" t="n"/>
      <c r="I1248" s="31" t="n"/>
      <c r="J1248" s="31" t="n"/>
      <c r="K1248" s="31" t="n"/>
      <c r="L1248" s="31" t="n"/>
      <c r="M1248" s="31" t="n"/>
      <c r="N1248" s="31" t="n"/>
      <c r="O1248" s="31" t="n"/>
      <c r="P1248" s="31" t="n"/>
      <c r="Q1248" s="31" t="n"/>
      <c r="R1248" s="31" t="n"/>
      <c r="S1248" s="32">
        <f>IF($F1248="","",IF(IFERROR(VLOOKUP($F1248,'维度字典'!$I$2:$J$50,2,0),"求和")="手工录入","",IF(IFERROR(VLOOKUP($F1248,'维度字典'!$I$2:$J$50,2,0),"求和")="最新值",IFERROR(LOOKUP(9.99E+307,G1248:R1248),""),SUM(G1248:R1248))))</f>
        <v/>
      </c>
      <c r="T1248" s="33" t="n"/>
      <c r="U1248" s="33" t="n"/>
    </row>
    <row r="1249">
      <c r="A1249" s="26">
        <f>IF($B1249="","",ROW()-3)</f>
        <v/>
      </c>
      <c r="B1249" s="27" t="n"/>
      <c r="C1249" s="27" t="n"/>
      <c r="D1249" s="28" t="n"/>
      <c r="E1249" s="29" t="n"/>
      <c r="F1249" s="30" t="n"/>
      <c r="G1249" s="31" t="n"/>
      <c r="H1249" s="31" t="n"/>
      <c r="I1249" s="31" t="n"/>
      <c r="J1249" s="31" t="n"/>
      <c r="K1249" s="31" t="n"/>
      <c r="L1249" s="31" t="n"/>
      <c r="M1249" s="31" t="n"/>
      <c r="N1249" s="31" t="n"/>
      <c r="O1249" s="31" t="n"/>
      <c r="P1249" s="31" t="n"/>
      <c r="Q1249" s="31" t="n"/>
      <c r="R1249" s="31" t="n"/>
      <c r="S1249" s="32">
        <f>IF($F1249="","",IF(IFERROR(VLOOKUP($F1249,'维度字典'!$I$2:$J$50,2,0),"求和")="手工录入","",IF(IFERROR(VLOOKUP($F1249,'维度字典'!$I$2:$J$50,2,0),"求和")="最新值",IFERROR(LOOKUP(9.99E+307,G1249:R1249),""),SUM(G1249:R1249))))</f>
        <v/>
      </c>
      <c r="T1249" s="33" t="n"/>
      <c r="U1249" s="33" t="n"/>
    </row>
    <row r="1250">
      <c r="A1250" s="26">
        <f>IF($B1250="","",ROW()-3)</f>
        <v/>
      </c>
      <c r="B1250" s="27" t="n"/>
      <c r="C1250" s="27" t="n"/>
      <c r="D1250" s="28" t="n"/>
      <c r="E1250" s="29" t="n"/>
      <c r="F1250" s="30" t="n"/>
      <c r="G1250" s="31" t="n"/>
      <c r="H1250" s="31" t="n"/>
      <c r="I1250" s="31" t="n"/>
      <c r="J1250" s="31" t="n"/>
      <c r="K1250" s="31" t="n"/>
      <c r="L1250" s="31" t="n"/>
      <c r="M1250" s="31" t="n"/>
      <c r="N1250" s="31" t="n"/>
      <c r="O1250" s="31" t="n"/>
      <c r="P1250" s="31" t="n"/>
      <c r="Q1250" s="31" t="n"/>
      <c r="R1250" s="31" t="n"/>
      <c r="S1250" s="32">
        <f>IF($F1250="","",IF(IFERROR(VLOOKUP($F1250,'维度字典'!$I$2:$J$50,2,0),"求和")="手工录入","",IF(IFERROR(VLOOKUP($F1250,'维度字典'!$I$2:$J$50,2,0),"求和")="最新值",IFERROR(LOOKUP(9.99E+307,G1250:R1250),""),SUM(G1250:R1250))))</f>
        <v/>
      </c>
      <c r="T1250" s="33" t="n"/>
      <c r="U1250" s="33" t="n"/>
    </row>
    <row r="1251">
      <c r="A1251" s="26">
        <f>IF($B1251="","",ROW()-3)</f>
        <v/>
      </c>
      <c r="B1251" s="27" t="n"/>
      <c r="C1251" s="27" t="n"/>
      <c r="D1251" s="28" t="n"/>
      <c r="E1251" s="29" t="n"/>
      <c r="F1251" s="30" t="n"/>
      <c r="G1251" s="31" t="n"/>
      <c r="H1251" s="31" t="n"/>
      <c r="I1251" s="31" t="n"/>
      <c r="J1251" s="31" t="n"/>
      <c r="K1251" s="31" t="n"/>
      <c r="L1251" s="31" t="n"/>
      <c r="M1251" s="31" t="n"/>
      <c r="N1251" s="31" t="n"/>
      <c r="O1251" s="31" t="n"/>
      <c r="P1251" s="31" t="n"/>
      <c r="Q1251" s="31" t="n"/>
      <c r="R1251" s="31" t="n"/>
      <c r="S1251" s="32">
        <f>IF($F1251="","",IF(IFERROR(VLOOKUP($F1251,'维度字典'!$I$2:$J$50,2,0),"求和")="手工录入","",IF(IFERROR(VLOOKUP($F1251,'维度字典'!$I$2:$J$50,2,0),"求和")="最新值",IFERROR(LOOKUP(9.99E+307,G1251:R1251),""),SUM(G1251:R1251))))</f>
        <v/>
      </c>
      <c r="T1251" s="33" t="n"/>
      <c r="U1251" s="33" t="n"/>
    </row>
    <row r="1252">
      <c r="A1252" s="26">
        <f>IF($B1252="","",ROW()-3)</f>
        <v/>
      </c>
      <c r="B1252" s="27" t="n"/>
      <c r="C1252" s="27" t="n"/>
      <c r="D1252" s="28" t="n"/>
      <c r="E1252" s="29" t="n"/>
      <c r="F1252" s="30" t="n"/>
      <c r="G1252" s="31" t="n"/>
      <c r="H1252" s="31" t="n"/>
      <c r="I1252" s="31" t="n"/>
      <c r="J1252" s="31" t="n"/>
      <c r="K1252" s="31" t="n"/>
      <c r="L1252" s="31" t="n"/>
      <c r="M1252" s="31" t="n"/>
      <c r="N1252" s="31" t="n"/>
      <c r="O1252" s="31" t="n"/>
      <c r="P1252" s="31" t="n"/>
      <c r="Q1252" s="31" t="n"/>
      <c r="R1252" s="31" t="n"/>
      <c r="S1252" s="32">
        <f>IF($F1252="","",IF(IFERROR(VLOOKUP($F1252,'维度字典'!$I$2:$J$50,2,0),"求和")="手工录入","",IF(IFERROR(VLOOKUP($F1252,'维度字典'!$I$2:$J$50,2,0),"求和")="最新值",IFERROR(LOOKUP(9.99E+307,G1252:R1252),""),SUM(G1252:R1252))))</f>
        <v/>
      </c>
      <c r="T1252" s="33" t="n"/>
      <c r="U1252" s="33" t="n"/>
    </row>
    <row r="1253">
      <c r="A1253" s="26">
        <f>IF($B1253="","",ROW()-3)</f>
        <v/>
      </c>
      <c r="B1253" s="27" t="n"/>
      <c r="C1253" s="27" t="n"/>
      <c r="D1253" s="28" t="n"/>
      <c r="E1253" s="29" t="n"/>
      <c r="F1253" s="30" t="n"/>
      <c r="G1253" s="31" t="n"/>
      <c r="H1253" s="31" t="n"/>
      <c r="I1253" s="31" t="n"/>
      <c r="J1253" s="31" t="n"/>
      <c r="K1253" s="31" t="n"/>
      <c r="L1253" s="31" t="n"/>
      <c r="M1253" s="31" t="n"/>
      <c r="N1253" s="31" t="n"/>
      <c r="O1253" s="31" t="n"/>
      <c r="P1253" s="31" t="n"/>
      <c r="Q1253" s="31" t="n"/>
      <c r="R1253" s="31" t="n"/>
      <c r="S1253" s="32">
        <f>IF($F1253="","",IF(IFERROR(VLOOKUP($F1253,'维度字典'!$I$2:$J$50,2,0),"求和")="手工录入","",IF(IFERROR(VLOOKUP($F1253,'维度字典'!$I$2:$J$50,2,0),"求和")="最新值",IFERROR(LOOKUP(9.99E+307,G1253:R1253),""),SUM(G1253:R1253))))</f>
        <v/>
      </c>
      <c r="T1253" s="33" t="n"/>
      <c r="U1253" s="33" t="n"/>
    </row>
    <row r="1254">
      <c r="A1254" s="26">
        <f>IF($B1254="","",ROW()-3)</f>
        <v/>
      </c>
      <c r="B1254" s="27" t="n"/>
      <c r="C1254" s="27" t="n"/>
      <c r="D1254" s="28" t="n"/>
      <c r="E1254" s="29" t="n"/>
      <c r="F1254" s="30" t="n"/>
      <c r="G1254" s="31" t="n"/>
      <c r="H1254" s="31" t="n"/>
      <c r="I1254" s="31" t="n"/>
      <c r="J1254" s="31" t="n"/>
      <c r="K1254" s="31" t="n"/>
      <c r="L1254" s="31" t="n"/>
      <c r="M1254" s="31" t="n"/>
      <c r="N1254" s="31" t="n"/>
      <c r="O1254" s="31" t="n"/>
      <c r="P1254" s="31" t="n"/>
      <c r="Q1254" s="31" t="n"/>
      <c r="R1254" s="31" t="n"/>
      <c r="S1254" s="32">
        <f>IF($F1254="","",IF(IFERROR(VLOOKUP($F1254,'维度字典'!$I$2:$J$50,2,0),"求和")="手工录入","",IF(IFERROR(VLOOKUP($F1254,'维度字典'!$I$2:$J$50,2,0),"求和")="最新值",IFERROR(LOOKUP(9.99E+307,G1254:R1254),""),SUM(G1254:R1254))))</f>
        <v/>
      </c>
      <c r="T1254" s="33" t="n"/>
      <c r="U1254" s="33" t="n"/>
    </row>
    <row r="1255">
      <c r="A1255" s="26">
        <f>IF($B1255="","",ROW()-3)</f>
        <v/>
      </c>
      <c r="B1255" s="27" t="n"/>
      <c r="C1255" s="27" t="n"/>
      <c r="D1255" s="28" t="n"/>
      <c r="E1255" s="29" t="n"/>
      <c r="F1255" s="30" t="n"/>
      <c r="G1255" s="31" t="n"/>
      <c r="H1255" s="31" t="n"/>
      <c r="I1255" s="31" t="n"/>
      <c r="J1255" s="31" t="n"/>
      <c r="K1255" s="31" t="n"/>
      <c r="L1255" s="31" t="n"/>
      <c r="M1255" s="31" t="n"/>
      <c r="N1255" s="31" t="n"/>
      <c r="O1255" s="31" t="n"/>
      <c r="P1255" s="31" t="n"/>
      <c r="Q1255" s="31" t="n"/>
      <c r="R1255" s="31" t="n"/>
      <c r="S1255" s="32">
        <f>IF($F1255="","",IF(IFERROR(VLOOKUP($F1255,'维度字典'!$I$2:$J$50,2,0),"求和")="手工录入","",IF(IFERROR(VLOOKUP($F1255,'维度字典'!$I$2:$J$50,2,0),"求和")="最新值",IFERROR(LOOKUP(9.99E+307,G1255:R1255),""),SUM(G1255:R1255))))</f>
        <v/>
      </c>
      <c r="T1255" s="33" t="n"/>
      <c r="U1255" s="33" t="n"/>
    </row>
    <row r="1256">
      <c r="A1256" s="26">
        <f>IF($B1256="","",ROW()-3)</f>
        <v/>
      </c>
      <c r="B1256" s="27" t="n"/>
      <c r="C1256" s="27" t="n"/>
      <c r="D1256" s="28" t="n"/>
      <c r="E1256" s="29" t="n"/>
      <c r="F1256" s="30" t="n"/>
      <c r="G1256" s="31" t="n"/>
      <c r="H1256" s="31" t="n"/>
      <c r="I1256" s="31" t="n"/>
      <c r="J1256" s="31" t="n"/>
      <c r="K1256" s="31" t="n"/>
      <c r="L1256" s="31" t="n"/>
      <c r="M1256" s="31" t="n"/>
      <c r="N1256" s="31" t="n"/>
      <c r="O1256" s="31" t="n"/>
      <c r="P1256" s="31" t="n"/>
      <c r="Q1256" s="31" t="n"/>
      <c r="R1256" s="31" t="n"/>
      <c r="S1256" s="32">
        <f>IF($F1256="","",IF(IFERROR(VLOOKUP($F1256,'维度字典'!$I$2:$J$50,2,0),"求和")="手工录入","",IF(IFERROR(VLOOKUP($F1256,'维度字典'!$I$2:$J$50,2,0),"求和")="最新值",IFERROR(LOOKUP(9.99E+307,G1256:R1256),""),SUM(G1256:R1256))))</f>
        <v/>
      </c>
      <c r="T1256" s="33" t="n"/>
      <c r="U1256" s="33" t="n"/>
    </row>
    <row r="1257">
      <c r="A1257" s="26">
        <f>IF($B1257="","",ROW()-3)</f>
        <v/>
      </c>
      <c r="B1257" s="27" t="n"/>
      <c r="C1257" s="27" t="n"/>
      <c r="D1257" s="28" t="n"/>
      <c r="E1257" s="29" t="n"/>
      <c r="F1257" s="30" t="n"/>
      <c r="G1257" s="31" t="n"/>
      <c r="H1257" s="31" t="n"/>
      <c r="I1257" s="31" t="n"/>
      <c r="J1257" s="31" t="n"/>
      <c r="K1257" s="31" t="n"/>
      <c r="L1257" s="31" t="n"/>
      <c r="M1257" s="31" t="n"/>
      <c r="N1257" s="31" t="n"/>
      <c r="O1257" s="31" t="n"/>
      <c r="P1257" s="31" t="n"/>
      <c r="Q1257" s="31" t="n"/>
      <c r="R1257" s="31" t="n"/>
      <c r="S1257" s="32">
        <f>IF($F1257="","",IF(IFERROR(VLOOKUP($F1257,'维度字典'!$I$2:$J$50,2,0),"求和")="手工录入","",IF(IFERROR(VLOOKUP($F1257,'维度字典'!$I$2:$J$50,2,0),"求和")="最新值",IFERROR(LOOKUP(9.99E+307,G1257:R1257),""),SUM(G1257:R1257))))</f>
        <v/>
      </c>
      <c r="T1257" s="33" t="n"/>
      <c r="U1257" s="33" t="n"/>
    </row>
    <row r="1258">
      <c r="A1258" s="26">
        <f>IF($B1258="","",ROW()-3)</f>
        <v/>
      </c>
      <c r="B1258" s="27" t="n"/>
      <c r="C1258" s="27" t="n"/>
      <c r="D1258" s="28" t="n"/>
      <c r="E1258" s="29" t="n"/>
      <c r="F1258" s="30" t="n"/>
      <c r="G1258" s="31" t="n"/>
      <c r="H1258" s="31" t="n"/>
      <c r="I1258" s="31" t="n"/>
      <c r="J1258" s="31" t="n"/>
      <c r="K1258" s="31" t="n"/>
      <c r="L1258" s="31" t="n"/>
      <c r="M1258" s="31" t="n"/>
      <c r="N1258" s="31" t="n"/>
      <c r="O1258" s="31" t="n"/>
      <c r="P1258" s="31" t="n"/>
      <c r="Q1258" s="31" t="n"/>
      <c r="R1258" s="31" t="n"/>
      <c r="S1258" s="32">
        <f>IF($F1258="","",IF(IFERROR(VLOOKUP($F1258,'维度字典'!$I$2:$J$50,2,0),"求和")="手工录入","",IF(IFERROR(VLOOKUP($F1258,'维度字典'!$I$2:$J$50,2,0),"求和")="最新值",IFERROR(LOOKUP(9.99E+307,G1258:R1258),""),SUM(G1258:R1258))))</f>
        <v/>
      </c>
      <c r="T1258" s="33" t="n"/>
      <c r="U1258" s="33" t="n"/>
    </row>
    <row r="1259">
      <c r="A1259" s="26">
        <f>IF($B1259="","",ROW()-3)</f>
        <v/>
      </c>
      <c r="B1259" s="27" t="n"/>
      <c r="C1259" s="27" t="n"/>
      <c r="D1259" s="28" t="n"/>
      <c r="E1259" s="29" t="n"/>
      <c r="F1259" s="30" t="n"/>
      <c r="G1259" s="31" t="n"/>
      <c r="H1259" s="31" t="n"/>
      <c r="I1259" s="31" t="n"/>
      <c r="J1259" s="31" t="n"/>
      <c r="K1259" s="31" t="n"/>
      <c r="L1259" s="31" t="n"/>
      <c r="M1259" s="31" t="n"/>
      <c r="N1259" s="31" t="n"/>
      <c r="O1259" s="31" t="n"/>
      <c r="P1259" s="31" t="n"/>
      <c r="Q1259" s="31" t="n"/>
      <c r="R1259" s="31" t="n"/>
      <c r="S1259" s="32">
        <f>IF($F1259="","",IF(IFERROR(VLOOKUP($F1259,'维度字典'!$I$2:$J$50,2,0),"求和")="手工录入","",IF(IFERROR(VLOOKUP($F1259,'维度字典'!$I$2:$J$50,2,0),"求和")="最新值",IFERROR(LOOKUP(9.99E+307,G1259:R1259),""),SUM(G1259:R1259))))</f>
        <v/>
      </c>
      <c r="T1259" s="33" t="n"/>
      <c r="U1259" s="33" t="n"/>
    </row>
    <row r="1260">
      <c r="A1260" s="26">
        <f>IF($B1260="","",ROW()-3)</f>
        <v/>
      </c>
      <c r="B1260" s="27" t="n"/>
      <c r="C1260" s="27" t="n"/>
      <c r="D1260" s="28" t="n"/>
      <c r="E1260" s="29" t="n"/>
      <c r="F1260" s="30" t="n"/>
      <c r="G1260" s="31" t="n"/>
      <c r="H1260" s="31" t="n"/>
      <c r="I1260" s="31" t="n"/>
      <c r="J1260" s="31" t="n"/>
      <c r="K1260" s="31" t="n"/>
      <c r="L1260" s="31" t="n"/>
      <c r="M1260" s="31" t="n"/>
      <c r="N1260" s="31" t="n"/>
      <c r="O1260" s="31" t="n"/>
      <c r="P1260" s="31" t="n"/>
      <c r="Q1260" s="31" t="n"/>
      <c r="R1260" s="31" t="n"/>
      <c r="S1260" s="32">
        <f>IF($F1260="","",IF(IFERROR(VLOOKUP($F1260,'维度字典'!$I$2:$J$50,2,0),"求和")="手工录入","",IF(IFERROR(VLOOKUP($F1260,'维度字典'!$I$2:$J$50,2,0),"求和")="最新值",IFERROR(LOOKUP(9.99E+307,G1260:R1260),""),SUM(G1260:R1260))))</f>
        <v/>
      </c>
      <c r="T1260" s="33" t="n"/>
      <c r="U1260" s="33" t="n"/>
    </row>
    <row r="1261">
      <c r="A1261" s="26">
        <f>IF($B1261="","",ROW()-3)</f>
        <v/>
      </c>
      <c r="B1261" s="27" t="n"/>
      <c r="C1261" s="27" t="n"/>
      <c r="D1261" s="28" t="n"/>
      <c r="E1261" s="29" t="n"/>
      <c r="F1261" s="30" t="n"/>
      <c r="G1261" s="31" t="n"/>
      <c r="H1261" s="31" t="n"/>
      <c r="I1261" s="31" t="n"/>
      <c r="J1261" s="31" t="n"/>
      <c r="K1261" s="31" t="n"/>
      <c r="L1261" s="31" t="n"/>
      <c r="M1261" s="31" t="n"/>
      <c r="N1261" s="31" t="n"/>
      <c r="O1261" s="31" t="n"/>
      <c r="P1261" s="31" t="n"/>
      <c r="Q1261" s="31" t="n"/>
      <c r="R1261" s="31" t="n"/>
      <c r="S1261" s="32">
        <f>IF($F1261="","",IF(IFERROR(VLOOKUP($F1261,'维度字典'!$I$2:$J$50,2,0),"求和")="手工录入","",IF(IFERROR(VLOOKUP($F1261,'维度字典'!$I$2:$J$50,2,0),"求和")="最新值",IFERROR(LOOKUP(9.99E+307,G1261:R1261),""),SUM(G1261:R1261))))</f>
        <v/>
      </c>
      <c r="T1261" s="33" t="n"/>
      <c r="U1261" s="33" t="n"/>
    </row>
    <row r="1262">
      <c r="A1262" s="26">
        <f>IF($B1262="","",ROW()-3)</f>
        <v/>
      </c>
      <c r="B1262" s="27" t="n"/>
      <c r="C1262" s="27" t="n"/>
      <c r="D1262" s="28" t="n"/>
      <c r="E1262" s="29" t="n"/>
      <c r="F1262" s="30" t="n"/>
      <c r="G1262" s="31" t="n"/>
      <c r="H1262" s="31" t="n"/>
      <c r="I1262" s="31" t="n"/>
      <c r="J1262" s="31" t="n"/>
      <c r="K1262" s="31" t="n"/>
      <c r="L1262" s="31" t="n"/>
      <c r="M1262" s="31" t="n"/>
      <c r="N1262" s="31" t="n"/>
      <c r="O1262" s="31" t="n"/>
      <c r="P1262" s="31" t="n"/>
      <c r="Q1262" s="31" t="n"/>
      <c r="R1262" s="31" t="n"/>
      <c r="S1262" s="32">
        <f>IF($F1262="","",IF(IFERROR(VLOOKUP($F1262,'维度字典'!$I$2:$J$50,2,0),"求和")="手工录入","",IF(IFERROR(VLOOKUP($F1262,'维度字典'!$I$2:$J$50,2,0),"求和")="最新值",IFERROR(LOOKUP(9.99E+307,G1262:R1262),""),SUM(G1262:R1262))))</f>
        <v/>
      </c>
      <c r="T1262" s="33" t="n"/>
      <c r="U1262" s="33" t="n"/>
    </row>
    <row r="1263">
      <c r="A1263" s="26">
        <f>IF($B1263="","",ROW()-3)</f>
        <v/>
      </c>
      <c r="B1263" s="27" t="n"/>
      <c r="C1263" s="27" t="n"/>
      <c r="D1263" s="28" t="n"/>
      <c r="E1263" s="29" t="n"/>
      <c r="F1263" s="30" t="n"/>
      <c r="G1263" s="31" t="n"/>
      <c r="H1263" s="31" t="n"/>
      <c r="I1263" s="31" t="n"/>
      <c r="J1263" s="31" t="n"/>
      <c r="K1263" s="31" t="n"/>
      <c r="L1263" s="31" t="n"/>
      <c r="M1263" s="31" t="n"/>
      <c r="N1263" s="31" t="n"/>
      <c r="O1263" s="31" t="n"/>
      <c r="P1263" s="31" t="n"/>
      <c r="Q1263" s="31" t="n"/>
      <c r="R1263" s="31" t="n"/>
      <c r="S1263" s="32">
        <f>IF($F1263="","",IF(IFERROR(VLOOKUP($F1263,'维度字典'!$I$2:$J$50,2,0),"求和")="手工录入","",IF(IFERROR(VLOOKUP($F1263,'维度字典'!$I$2:$J$50,2,0),"求和")="最新值",IFERROR(LOOKUP(9.99E+307,G1263:R1263),""),SUM(G1263:R1263))))</f>
        <v/>
      </c>
      <c r="T1263" s="33" t="n"/>
      <c r="U1263" s="33" t="n"/>
    </row>
    <row r="1264">
      <c r="A1264" s="26">
        <f>IF($B1264="","",ROW()-3)</f>
        <v/>
      </c>
      <c r="B1264" s="27" t="n"/>
      <c r="C1264" s="27" t="n"/>
      <c r="D1264" s="28" t="n"/>
      <c r="E1264" s="29" t="n"/>
      <c r="F1264" s="30" t="n"/>
      <c r="G1264" s="31" t="n"/>
      <c r="H1264" s="31" t="n"/>
      <c r="I1264" s="31" t="n"/>
      <c r="J1264" s="31" t="n"/>
      <c r="K1264" s="31" t="n"/>
      <c r="L1264" s="31" t="n"/>
      <c r="M1264" s="31" t="n"/>
      <c r="N1264" s="31" t="n"/>
      <c r="O1264" s="31" t="n"/>
      <c r="P1264" s="31" t="n"/>
      <c r="Q1264" s="31" t="n"/>
      <c r="R1264" s="31" t="n"/>
      <c r="S1264" s="32">
        <f>IF($F1264="","",IF(IFERROR(VLOOKUP($F1264,'维度字典'!$I$2:$J$50,2,0),"求和")="手工录入","",IF(IFERROR(VLOOKUP($F1264,'维度字典'!$I$2:$J$50,2,0),"求和")="最新值",IFERROR(LOOKUP(9.99E+307,G1264:R1264),""),SUM(G1264:R1264))))</f>
        <v/>
      </c>
      <c r="T1264" s="33" t="n"/>
      <c r="U1264" s="33" t="n"/>
    </row>
    <row r="1265">
      <c r="A1265" s="26">
        <f>IF($B1265="","",ROW()-3)</f>
        <v/>
      </c>
      <c r="B1265" s="27" t="n"/>
      <c r="C1265" s="27" t="n"/>
      <c r="D1265" s="28" t="n"/>
      <c r="E1265" s="29" t="n"/>
      <c r="F1265" s="30" t="n"/>
      <c r="G1265" s="31" t="n"/>
      <c r="H1265" s="31" t="n"/>
      <c r="I1265" s="31" t="n"/>
      <c r="J1265" s="31" t="n"/>
      <c r="K1265" s="31" t="n"/>
      <c r="L1265" s="31" t="n"/>
      <c r="M1265" s="31" t="n"/>
      <c r="N1265" s="31" t="n"/>
      <c r="O1265" s="31" t="n"/>
      <c r="P1265" s="31" t="n"/>
      <c r="Q1265" s="31" t="n"/>
      <c r="R1265" s="31" t="n"/>
      <c r="S1265" s="32">
        <f>IF($F1265="","",IF(IFERROR(VLOOKUP($F1265,'维度字典'!$I$2:$J$50,2,0),"求和")="手工录入","",IF(IFERROR(VLOOKUP($F1265,'维度字典'!$I$2:$J$50,2,0),"求和")="最新值",IFERROR(LOOKUP(9.99E+307,G1265:R1265),""),SUM(G1265:R1265))))</f>
        <v/>
      </c>
      <c r="T1265" s="33" t="n"/>
      <c r="U1265" s="33" t="n"/>
    </row>
    <row r="1266">
      <c r="A1266" s="26">
        <f>IF($B1266="","",ROW()-3)</f>
        <v/>
      </c>
      <c r="B1266" s="27" t="n"/>
      <c r="C1266" s="27" t="n"/>
      <c r="D1266" s="28" t="n"/>
      <c r="E1266" s="29" t="n"/>
      <c r="F1266" s="30" t="n"/>
      <c r="G1266" s="31" t="n"/>
      <c r="H1266" s="31" t="n"/>
      <c r="I1266" s="31" t="n"/>
      <c r="J1266" s="31" t="n"/>
      <c r="K1266" s="31" t="n"/>
      <c r="L1266" s="31" t="n"/>
      <c r="M1266" s="31" t="n"/>
      <c r="N1266" s="31" t="n"/>
      <c r="O1266" s="31" t="n"/>
      <c r="P1266" s="31" t="n"/>
      <c r="Q1266" s="31" t="n"/>
      <c r="R1266" s="31" t="n"/>
      <c r="S1266" s="32">
        <f>IF($F1266="","",IF(IFERROR(VLOOKUP($F1266,'维度字典'!$I$2:$J$50,2,0),"求和")="手工录入","",IF(IFERROR(VLOOKUP($F1266,'维度字典'!$I$2:$J$50,2,0),"求和")="最新值",IFERROR(LOOKUP(9.99E+307,G1266:R1266),""),SUM(G1266:R1266))))</f>
        <v/>
      </c>
      <c r="T1266" s="33" t="n"/>
      <c r="U1266" s="33" t="n"/>
    </row>
    <row r="1267">
      <c r="A1267" s="26">
        <f>IF($B1267="","",ROW()-3)</f>
        <v/>
      </c>
      <c r="B1267" s="27" t="n"/>
      <c r="C1267" s="27" t="n"/>
      <c r="D1267" s="28" t="n"/>
      <c r="E1267" s="29" t="n"/>
      <c r="F1267" s="30" t="n"/>
      <c r="G1267" s="31" t="n"/>
      <c r="H1267" s="31" t="n"/>
      <c r="I1267" s="31" t="n"/>
      <c r="J1267" s="31" t="n"/>
      <c r="K1267" s="31" t="n"/>
      <c r="L1267" s="31" t="n"/>
      <c r="M1267" s="31" t="n"/>
      <c r="N1267" s="31" t="n"/>
      <c r="O1267" s="31" t="n"/>
      <c r="P1267" s="31" t="n"/>
      <c r="Q1267" s="31" t="n"/>
      <c r="R1267" s="31" t="n"/>
      <c r="S1267" s="32">
        <f>IF($F1267="","",IF(IFERROR(VLOOKUP($F1267,'维度字典'!$I$2:$J$50,2,0),"求和")="手工录入","",IF(IFERROR(VLOOKUP($F1267,'维度字典'!$I$2:$J$50,2,0),"求和")="最新值",IFERROR(LOOKUP(9.99E+307,G1267:R1267),""),SUM(G1267:R1267))))</f>
        <v/>
      </c>
      <c r="T1267" s="33" t="n"/>
      <c r="U1267" s="33" t="n"/>
    </row>
    <row r="1268">
      <c r="A1268" s="26">
        <f>IF($B1268="","",ROW()-3)</f>
        <v/>
      </c>
      <c r="B1268" s="27" t="n"/>
      <c r="C1268" s="27" t="n"/>
      <c r="D1268" s="28" t="n"/>
      <c r="E1268" s="29" t="n"/>
      <c r="F1268" s="30" t="n"/>
      <c r="G1268" s="31" t="n"/>
      <c r="H1268" s="31" t="n"/>
      <c r="I1268" s="31" t="n"/>
      <c r="J1268" s="31" t="n"/>
      <c r="K1268" s="31" t="n"/>
      <c r="L1268" s="31" t="n"/>
      <c r="M1268" s="31" t="n"/>
      <c r="N1268" s="31" t="n"/>
      <c r="O1268" s="31" t="n"/>
      <c r="P1268" s="31" t="n"/>
      <c r="Q1268" s="31" t="n"/>
      <c r="R1268" s="31" t="n"/>
      <c r="S1268" s="32">
        <f>IF($F1268="","",IF(IFERROR(VLOOKUP($F1268,'维度字典'!$I$2:$J$50,2,0),"求和")="手工录入","",IF(IFERROR(VLOOKUP($F1268,'维度字典'!$I$2:$J$50,2,0),"求和")="最新值",IFERROR(LOOKUP(9.99E+307,G1268:R1268),""),SUM(G1268:R1268))))</f>
        <v/>
      </c>
      <c r="T1268" s="33" t="n"/>
      <c r="U1268" s="33" t="n"/>
    </row>
    <row r="1269">
      <c r="A1269" s="26">
        <f>IF($B1269="","",ROW()-3)</f>
        <v/>
      </c>
      <c r="B1269" s="27" t="n"/>
      <c r="C1269" s="27" t="n"/>
      <c r="D1269" s="28" t="n"/>
      <c r="E1269" s="29" t="n"/>
      <c r="F1269" s="30" t="n"/>
      <c r="G1269" s="31" t="n"/>
      <c r="H1269" s="31" t="n"/>
      <c r="I1269" s="31" t="n"/>
      <c r="J1269" s="31" t="n"/>
      <c r="K1269" s="31" t="n"/>
      <c r="L1269" s="31" t="n"/>
      <c r="M1269" s="31" t="n"/>
      <c r="N1269" s="31" t="n"/>
      <c r="O1269" s="31" t="n"/>
      <c r="P1269" s="31" t="n"/>
      <c r="Q1269" s="31" t="n"/>
      <c r="R1269" s="31" t="n"/>
      <c r="S1269" s="32">
        <f>IF($F1269="","",IF(IFERROR(VLOOKUP($F1269,'维度字典'!$I$2:$J$50,2,0),"求和")="手工录入","",IF(IFERROR(VLOOKUP($F1269,'维度字典'!$I$2:$J$50,2,0),"求和")="最新值",IFERROR(LOOKUP(9.99E+307,G1269:R1269),""),SUM(G1269:R1269))))</f>
        <v/>
      </c>
      <c r="T1269" s="33" t="n"/>
      <c r="U1269" s="33" t="n"/>
    </row>
    <row r="1270">
      <c r="A1270" s="26">
        <f>IF($B1270="","",ROW()-3)</f>
        <v/>
      </c>
      <c r="B1270" s="27" t="n"/>
      <c r="C1270" s="27" t="n"/>
      <c r="D1270" s="28" t="n"/>
      <c r="E1270" s="29" t="n"/>
      <c r="F1270" s="30" t="n"/>
      <c r="G1270" s="31" t="n"/>
      <c r="H1270" s="31" t="n"/>
      <c r="I1270" s="31" t="n"/>
      <c r="J1270" s="31" t="n"/>
      <c r="K1270" s="31" t="n"/>
      <c r="L1270" s="31" t="n"/>
      <c r="M1270" s="31" t="n"/>
      <c r="N1270" s="31" t="n"/>
      <c r="O1270" s="31" t="n"/>
      <c r="P1270" s="31" t="n"/>
      <c r="Q1270" s="31" t="n"/>
      <c r="R1270" s="31" t="n"/>
      <c r="S1270" s="32">
        <f>IF($F1270="","",IF(IFERROR(VLOOKUP($F1270,'维度字典'!$I$2:$J$50,2,0),"求和")="手工录入","",IF(IFERROR(VLOOKUP($F1270,'维度字典'!$I$2:$J$50,2,0),"求和")="最新值",IFERROR(LOOKUP(9.99E+307,G1270:R1270),""),SUM(G1270:R1270))))</f>
        <v/>
      </c>
      <c r="T1270" s="33" t="n"/>
      <c r="U1270" s="33" t="n"/>
    </row>
    <row r="1271">
      <c r="A1271" s="26">
        <f>IF($B1271="","",ROW()-3)</f>
        <v/>
      </c>
      <c r="B1271" s="27" t="n"/>
      <c r="C1271" s="27" t="n"/>
      <c r="D1271" s="28" t="n"/>
      <c r="E1271" s="29" t="n"/>
      <c r="F1271" s="30" t="n"/>
      <c r="G1271" s="31" t="n"/>
      <c r="H1271" s="31" t="n"/>
      <c r="I1271" s="31" t="n"/>
      <c r="J1271" s="31" t="n"/>
      <c r="K1271" s="31" t="n"/>
      <c r="L1271" s="31" t="n"/>
      <c r="M1271" s="31" t="n"/>
      <c r="N1271" s="31" t="n"/>
      <c r="O1271" s="31" t="n"/>
      <c r="P1271" s="31" t="n"/>
      <c r="Q1271" s="31" t="n"/>
      <c r="R1271" s="31" t="n"/>
      <c r="S1271" s="32">
        <f>IF($F1271="","",IF(IFERROR(VLOOKUP($F1271,'维度字典'!$I$2:$J$50,2,0),"求和")="手工录入","",IF(IFERROR(VLOOKUP($F1271,'维度字典'!$I$2:$J$50,2,0),"求和")="最新值",IFERROR(LOOKUP(9.99E+307,G1271:R1271),""),SUM(G1271:R1271))))</f>
        <v/>
      </c>
      <c r="T1271" s="33" t="n"/>
      <c r="U1271" s="33" t="n"/>
    </row>
    <row r="1272">
      <c r="A1272" s="26">
        <f>IF($B1272="","",ROW()-3)</f>
        <v/>
      </c>
      <c r="B1272" s="27" t="n"/>
      <c r="C1272" s="27" t="n"/>
      <c r="D1272" s="28" t="n"/>
      <c r="E1272" s="29" t="n"/>
      <c r="F1272" s="30" t="n"/>
      <c r="G1272" s="31" t="n"/>
      <c r="H1272" s="31" t="n"/>
      <c r="I1272" s="31" t="n"/>
      <c r="J1272" s="31" t="n"/>
      <c r="K1272" s="31" t="n"/>
      <c r="L1272" s="31" t="n"/>
      <c r="M1272" s="31" t="n"/>
      <c r="N1272" s="31" t="n"/>
      <c r="O1272" s="31" t="n"/>
      <c r="P1272" s="31" t="n"/>
      <c r="Q1272" s="31" t="n"/>
      <c r="R1272" s="31" t="n"/>
      <c r="S1272" s="32">
        <f>IF($F1272="","",IF(IFERROR(VLOOKUP($F1272,'维度字典'!$I$2:$J$50,2,0),"求和")="手工录入","",IF(IFERROR(VLOOKUP($F1272,'维度字典'!$I$2:$J$50,2,0),"求和")="最新值",IFERROR(LOOKUP(9.99E+307,G1272:R1272),""),SUM(G1272:R1272))))</f>
        <v/>
      </c>
      <c r="T1272" s="33" t="n"/>
      <c r="U1272" s="33" t="n"/>
    </row>
    <row r="1273">
      <c r="A1273" s="26">
        <f>IF($B1273="","",ROW()-3)</f>
        <v/>
      </c>
      <c r="B1273" s="27" t="n"/>
      <c r="C1273" s="27" t="n"/>
      <c r="D1273" s="28" t="n"/>
      <c r="E1273" s="29" t="n"/>
      <c r="F1273" s="30" t="n"/>
      <c r="G1273" s="31" t="n"/>
      <c r="H1273" s="31" t="n"/>
      <c r="I1273" s="31" t="n"/>
      <c r="J1273" s="31" t="n"/>
      <c r="K1273" s="31" t="n"/>
      <c r="L1273" s="31" t="n"/>
      <c r="M1273" s="31" t="n"/>
      <c r="N1273" s="31" t="n"/>
      <c r="O1273" s="31" t="n"/>
      <c r="P1273" s="31" t="n"/>
      <c r="Q1273" s="31" t="n"/>
      <c r="R1273" s="31" t="n"/>
      <c r="S1273" s="32">
        <f>IF($F1273="","",IF(IFERROR(VLOOKUP($F1273,'维度字典'!$I$2:$J$50,2,0),"求和")="手工录入","",IF(IFERROR(VLOOKUP($F1273,'维度字典'!$I$2:$J$50,2,0),"求和")="最新值",IFERROR(LOOKUP(9.99E+307,G1273:R1273),""),SUM(G1273:R1273))))</f>
        <v/>
      </c>
      <c r="T1273" s="33" t="n"/>
      <c r="U1273" s="33" t="n"/>
    </row>
    <row r="1274">
      <c r="A1274" s="26">
        <f>IF($B1274="","",ROW()-3)</f>
        <v/>
      </c>
      <c r="B1274" s="27" t="n"/>
      <c r="C1274" s="27" t="n"/>
      <c r="D1274" s="28" t="n"/>
      <c r="E1274" s="29" t="n"/>
      <c r="F1274" s="30" t="n"/>
      <c r="G1274" s="31" t="n"/>
      <c r="H1274" s="31" t="n"/>
      <c r="I1274" s="31" t="n"/>
      <c r="J1274" s="31" t="n"/>
      <c r="K1274" s="31" t="n"/>
      <c r="L1274" s="31" t="n"/>
      <c r="M1274" s="31" t="n"/>
      <c r="N1274" s="31" t="n"/>
      <c r="O1274" s="31" t="n"/>
      <c r="P1274" s="31" t="n"/>
      <c r="Q1274" s="31" t="n"/>
      <c r="R1274" s="31" t="n"/>
      <c r="S1274" s="32">
        <f>IF($F1274="","",IF(IFERROR(VLOOKUP($F1274,'维度字典'!$I$2:$J$50,2,0),"求和")="手工录入","",IF(IFERROR(VLOOKUP($F1274,'维度字典'!$I$2:$J$50,2,0),"求和")="最新值",IFERROR(LOOKUP(9.99E+307,G1274:R1274),""),SUM(G1274:R1274))))</f>
        <v/>
      </c>
      <c r="T1274" s="33" t="n"/>
      <c r="U1274" s="33" t="n"/>
    </row>
    <row r="1275">
      <c r="A1275" s="26">
        <f>IF($B1275="","",ROW()-3)</f>
        <v/>
      </c>
      <c r="B1275" s="27" t="n"/>
      <c r="C1275" s="27" t="n"/>
      <c r="D1275" s="28" t="n"/>
      <c r="E1275" s="29" t="n"/>
      <c r="F1275" s="30" t="n"/>
      <c r="G1275" s="31" t="n"/>
      <c r="H1275" s="31" t="n"/>
      <c r="I1275" s="31" t="n"/>
      <c r="J1275" s="31" t="n"/>
      <c r="K1275" s="31" t="n"/>
      <c r="L1275" s="31" t="n"/>
      <c r="M1275" s="31" t="n"/>
      <c r="N1275" s="31" t="n"/>
      <c r="O1275" s="31" t="n"/>
      <c r="P1275" s="31" t="n"/>
      <c r="Q1275" s="31" t="n"/>
      <c r="R1275" s="31" t="n"/>
      <c r="S1275" s="32">
        <f>IF($F1275="","",IF(IFERROR(VLOOKUP($F1275,'维度字典'!$I$2:$J$50,2,0),"求和")="手工录入","",IF(IFERROR(VLOOKUP($F1275,'维度字典'!$I$2:$J$50,2,0),"求和")="最新值",IFERROR(LOOKUP(9.99E+307,G1275:R1275),""),SUM(G1275:R1275))))</f>
        <v/>
      </c>
      <c r="T1275" s="33" t="n"/>
      <c r="U1275" s="33" t="n"/>
    </row>
    <row r="1276">
      <c r="A1276" s="26">
        <f>IF($B1276="","",ROW()-3)</f>
        <v/>
      </c>
      <c r="B1276" s="27" t="n"/>
      <c r="C1276" s="27" t="n"/>
      <c r="D1276" s="28" t="n"/>
      <c r="E1276" s="29" t="n"/>
      <c r="F1276" s="30" t="n"/>
      <c r="G1276" s="31" t="n"/>
      <c r="H1276" s="31" t="n"/>
      <c r="I1276" s="31" t="n"/>
      <c r="J1276" s="31" t="n"/>
      <c r="K1276" s="31" t="n"/>
      <c r="L1276" s="31" t="n"/>
      <c r="M1276" s="31" t="n"/>
      <c r="N1276" s="31" t="n"/>
      <c r="O1276" s="31" t="n"/>
      <c r="P1276" s="31" t="n"/>
      <c r="Q1276" s="31" t="n"/>
      <c r="R1276" s="31" t="n"/>
      <c r="S1276" s="32">
        <f>IF($F1276="","",IF(IFERROR(VLOOKUP($F1276,'维度字典'!$I$2:$J$50,2,0),"求和")="手工录入","",IF(IFERROR(VLOOKUP($F1276,'维度字典'!$I$2:$J$50,2,0),"求和")="最新值",IFERROR(LOOKUP(9.99E+307,G1276:R1276),""),SUM(G1276:R1276))))</f>
        <v/>
      </c>
      <c r="T1276" s="33" t="n"/>
      <c r="U1276" s="33" t="n"/>
    </row>
    <row r="1277">
      <c r="A1277" s="26">
        <f>IF($B1277="","",ROW()-3)</f>
        <v/>
      </c>
      <c r="B1277" s="27" t="n"/>
      <c r="C1277" s="27" t="n"/>
      <c r="D1277" s="28" t="n"/>
      <c r="E1277" s="29" t="n"/>
      <c r="F1277" s="30" t="n"/>
      <c r="G1277" s="31" t="n"/>
      <c r="H1277" s="31" t="n"/>
      <c r="I1277" s="31" t="n"/>
      <c r="J1277" s="31" t="n"/>
      <c r="K1277" s="31" t="n"/>
      <c r="L1277" s="31" t="n"/>
      <c r="M1277" s="31" t="n"/>
      <c r="N1277" s="31" t="n"/>
      <c r="O1277" s="31" t="n"/>
      <c r="P1277" s="31" t="n"/>
      <c r="Q1277" s="31" t="n"/>
      <c r="R1277" s="31" t="n"/>
      <c r="S1277" s="32">
        <f>IF($F1277="","",IF(IFERROR(VLOOKUP($F1277,'维度字典'!$I$2:$J$50,2,0),"求和")="手工录入","",IF(IFERROR(VLOOKUP($F1277,'维度字典'!$I$2:$J$50,2,0),"求和")="最新值",IFERROR(LOOKUP(9.99E+307,G1277:R1277),""),SUM(G1277:R1277))))</f>
        <v/>
      </c>
      <c r="T1277" s="33" t="n"/>
      <c r="U1277" s="33" t="n"/>
    </row>
    <row r="1278">
      <c r="A1278" s="26">
        <f>IF($B1278="","",ROW()-3)</f>
        <v/>
      </c>
      <c r="B1278" s="27" t="n"/>
      <c r="C1278" s="27" t="n"/>
      <c r="D1278" s="28" t="n"/>
      <c r="E1278" s="29" t="n"/>
      <c r="F1278" s="30" t="n"/>
      <c r="G1278" s="31" t="n"/>
      <c r="H1278" s="31" t="n"/>
      <c r="I1278" s="31" t="n"/>
      <c r="J1278" s="31" t="n"/>
      <c r="K1278" s="31" t="n"/>
      <c r="L1278" s="31" t="n"/>
      <c r="M1278" s="31" t="n"/>
      <c r="N1278" s="31" t="n"/>
      <c r="O1278" s="31" t="n"/>
      <c r="P1278" s="31" t="n"/>
      <c r="Q1278" s="31" t="n"/>
      <c r="R1278" s="31" t="n"/>
      <c r="S1278" s="32">
        <f>IF($F1278="","",IF(IFERROR(VLOOKUP($F1278,'维度字典'!$I$2:$J$50,2,0),"求和")="手工录入","",IF(IFERROR(VLOOKUP($F1278,'维度字典'!$I$2:$J$50,2,0),"求和")="最新值",IFERROR(LOOKUP(9.99E+307,G1278:R1278),""),SUM(G1278:R1278))))</f>
        <v/>
      </c>
      <c r="T1278" s="33" t="n"/>
      <c r="U1278" s="33" t="n"/>
    </row>
    <row r="1279">
      <c r="A1279" s="26">
        <f>IF($B1279="","",ROW()-3)</f>
        <v/>
      </c>
      <c r="B1279" s="27" t="n"/>
      <c r="C1279" s="27" t="n"/>
      <c r="D1279" s="28" t="n"/>
      <c r="E1279" s="29" t="n"/>
      <c r="F1279" s="30" t="n"/>
      <c r="G1279" s="31" t="n"/>
      <c r="H1279" s="31" t="n"/>
      <c r="I1279" s="31" t="n"/>
      <c r="J1279" s="31" t="n"/>
      <c r="K1279" s="31" t="n"/>
      <c r="L1279" s="31" t="n"/>
      <c r="M1279" s="31" t="n"/>
      <c r="N1279" s="31" t="n"/>
      <c r="O1279" s="31" t="n"/>
      <c r="P1279" s="31" t="n"/>
      <c r="Q1279" s="31" t="n"/>
      <c r="R1279" s="31" t="n"/>
      <c r="S1279" s="32">
        <f>IF($F1279="","",IF(IFERROR(VLOOKUP($F1279,'维度字典'!$I$2:$J$50,2,0),"求和")="手工录入","",IF(IFERROR(VLOOKUP($F1279,'维度字典'!$I$2:$J$50,2,0),"求和")="最新值",IFERROR(LOOKUP(9.99E+307,G1279:R1279),""),SUM(G1279:R1279))))</f>
        <v/>
      </c>
      <c r="T1279" s="33" t="n"/>
      <c r="U1279" s="33" t="n"/>
    </row>
    <row r="1280">
      <c r="A1280" s="26">
        <f>IF($B1280="","",ROW()-3)</f>
        <v/>
      </c>
      <c r="B1280" s="27" t="n"/>
      <c r="C1280" s="27" t="n"/>
      <c r="D1280" s="28" t="n"/>
      <c r="E1280" s="29" t="n"/>
      <c r="F1280" s="30" t="n"/>
      <c r="G1280" s="31" t="n"/>
      <c r="H1280" s="31" t="n"/>
      <c r="I1280" s="31" t="n"/>
      <c r="J1280" s="31" t="n"/>
      <c r="K1280" s="31" t="n"/>
      <c r="L1280" s="31" t="n"/>
      <c r="M1280" s="31" t="n"/>
      <c r="N1280" s="31" t="n"/>
      <c r="O1280" s="31" t="n"/>
      <c r="P1280" s="31" t="n"/>
      <c r="Q1280" s="31" t="n"/>
      <c r="R1280" s="31" t="n"/>
      <c r="S1280" s="32">
        <f>IF($F1280="","",IF(IFERROR(VLOOKUP($F1280,'维度字典'!$I$2:$J$50,2,0),"求和")="手工录入","",IF(IFERROR(VLOOKUP($F1280,'维度字典'!$I$2:$J$50,2,0),"求和")="最新值",IFERROR(LOOKUP(9.99E+307,G1280:R1280),""),SUM(G1280:R1280))))</f>
        <v/>
      </c>
      <c r="T1280" s="33" t="n"/>
      <c r="U1280" s="33" t="n"/>
    </row>
    <row r="1281">
      <c r="A1281" s="26">
        <f>IF($B1281="","",ROW()-3)</f>
        <v/>
      </c>
      <c r="B1281" s="27" t="n"/>
      <c r="C1281" s="27" t="n"/>
      <c r="D1281" s="28" t="n"/>
      <c r="E1281" s="29" t="n"/>
      <c r="F1281" s="30" t="n"/>
      <c r="G1281" s="31" t="n"/>
      <c r="H1281" s="31" t="n"/>
      <c r="I1281" s="31" t="n"/>
      <c r="J1281" s="31" t="n"/>
      <c r="K1281" s="31" t="n"/>
      <c r="L1281" s="31" t="n"/>
      <c r="M1281" s="31" t="n"/>
      <c r="N1281" s="31" t="n"/>
      <c r="O1281" s="31" t="n"/>
      <c r="P1281" s="31" t="n"/>
      <c r="Q1281" s="31" t="n"/>
      <c r="R1281" s="31" t="n"/>
      <c r="S1281" s="32">
        <f>IF($F1281="","",IF(IFERROR(VLOOKUP($F1281,'维度字典'!$I$2:$J$50,2,0),"求和")="手工录入","",IF(IFERROR(VLOOKUP($F1281,'维度字典'!$I$2:$J$50,2,0),"求和")="最新值",IFERROR(LOOKUP(9.99E+307,G1281:R1281),""),SUM(G1281:R1281))))</f>
        <v/>
      </c>
      <c r="T1281" s="33" t="n"/>
      <c r="U1281" s="33" t="n"/>
    </row>
    <row r="1282">
      <c r="A1282" s="26">
        <f>IF($B1282="","",ROW()-3)</f>
        <v/>
      </c>
      <c r="B1282" s="27" t="n"/>
      <c r="C1282" s="27" t="n"/>
      <c r="D1282" s="28" t="n"/>
      <c r="E1282" s="29" t="n"/>
      <c r="F1282" s="30" t="n"/>
      <c r="G1282" s="31" t="n"/>
      <c r="H1282" s="31" t="n"/>
      <c r="I1282" s="31" t="n"/>
      <c r="J1282" s="31" t="n"/>
      <c r="K1282" s="31" t="n"/>
      <c r="L1282" s="31" t="n"/>
      <c r="M1282" s="31" t="n"/>
      <c r="N1282" s="31" t="n"/>
      <c r="O1282" s="31" t="n"/>
      <c r="P1282" s="31" t="n"/>
      <c r="Q1282" s="31" t="n"/>
      <c r="R1282" s="31" t="n"/>
      <c r="S1282" s="32">
        <f>IF($F1282="","",IF(IFERROR(VLOOKUP($F1282,'维度字典'!$I$2:$J$50,2,0),"求和")="手工录入","",IF(IFERROR(VLOOKUP($F1282,'维度字典'!$I$2:$J$50,2,0),"求和")="最新值",IFERROR(LOOKUP(9.99E+307,G1282:R1282),""),SUM(G1282:R1282))))</f>
        <v/>
      </c>
      <c r="T1282" s="33" t="n"/>
      <c r="U1282" s="33" t="n"/>
    </row>
    <row r="1283">
      <c r="A1283" s="26">
        <f>IF($B1283="","",ROW()-3)</f>
        <v/>
      </c>
      <c r="B1283" s="27" t="n"/>
      <c r="C1283" s="27" t="n"/>
      <c r="D1283" s="28" t="n"/>
      <c r="E1283" s="29" t="n"/>
      <c r="F1283" s="30" t="n"/>
      <c r="G1283" s="31" t="n"/>
      <c r="H1283" s="31" t="n"/>
      <c r="I1283" s="31" t="n"/>
      <c r="J1283" s="31" t="n"/>
      <c r="K1283" s="31" t="n"/>
      <c r="L1283" s="31" t="n"/>
      <c r="M1283" s="31" t="n"/>
      <c r="N1283" s="31" t="n"/>
      <c r="O1283" s="31" t="n"/>
      <c r="P1283" s="31" t="n"/>
      <c r="Q1283" s="31" t="n"/>
      <c r="R1283" s="31" t="n"/>
      <c r="S1283" s="32">
        <f>IF($F1283="","",IF(IFERROR(VLOOKUP($F1283,'维度字典'!$I$2:$J$50,2,0),"求和")="手工录入","",IF(IFERROR(VLOOKUP($F1283,'维度字典'!$I$2:$J$50,2,0),"求和")="最新值",IFERROR(LOOKUP(9.99E+307,G1283:R1283),""),SUM(G1283:R1283))))</f>
        <v/>
      </c>
      <c r="T1283" s="33" t="n"/>
      <c r="U1283" s="33" t="n"/>
    </row>
    <row r="1284">
      <c r="A1284" s="26">
        <f>IF($B1284="","",ROW()-3)</f>
        <v/>
      </c>
      <c r="B1284" s="27" t="n"/>
      <c r="C1284" s="27" t="n"/>
      <c r="D1284" s="28" t="n"/>
      <c r="E1284" s="29" t="n"/>
      <c r="F1284" s="30" t="n"/>
      <c r="G1284" s="31" t="n"/>
      <c r="H1284" s="31" t="n"/>
      <c r="I1284" s="31" t="n"/>
      <c r="J1284" s="31" t="n"/>
      <c r="K1284" s="31" t="n"/>
      <c r="L1284" s="31" t="n"/>
      <c r="M1284" s="31" t="n"/>
      <c r="N1284" s="31" t="n"/>
      <c r="O1284" s="31" t="n"/>
      <c r="P1284" s="31" t="n"/>
      <c r="Q1284" s="31" t="n"/>
      <c r="R1284" s="31" t="n"/>
      <c r="S1284" s="32">
        <f>IF($F1284="","",IF(IFERROR(VLOOKUP($F1284,'维度字典'!$I$2:$J$50,2,0),"求和")="手工录入","",IF(IFERROR(VLOOKUP($F1284,'维度字典'!$I$2:$J$50,2,0),"求和")="最新值",IFERROR(LOOKUP(9.99E+307,G1284:R1284),""),SUM(G1284:R1284))))</f>
        <v/>
      </c>
      <c r="T1284" s="33" t="n"/>
      <c r="U1284" s="33" t="n"/>
    </row>
    <row r="1285">
      <c r="A1285" s="26">
        <f>IF($B1285="","",ROW()-3)</f>
        <v/>
      </c>
      <c r="B1285" s="27" t="n"/>
      <c r="C1285" s="27" t="n"/>
      <c r="D1285" s="28" t="n"/>
      <c r="E1285" s="29" t="n"/>
      <c r="F1285" s="30" t="n"/>
      <c r="G1285" s="31" t="n"/>
      <c r="H1285" s="31" t="n"/>
      <c r="I1285" s="31" t="n"/>
      <c r="J1285" s="31" t="n"/>
      <c r="K1285" s="31" t="n"/>
      <c r="L1285" s="31" t="n"/>
      <c r="M1285" s="31" t="n"/>
      <c r="N1285" s="31" t="n"/>
      <c r="O1285" s="31" t="n"/>
      <c r="P1285" s="31" t="n"/>
      <c r="Q1285" s="31" t="n"/>
      <c r="R1285" s="31" t="n"/>
      <c r="S1285" s="32">
        <f>IF($F1285="","",IF(IFERROR(VLOOKUP($F1285,'维度字典'!$I$2:$J$50,2,0),"求和")="手工录入","",IF(IFERROR(VLOOKUP($F1285,'维度字典'!$I$2:$J$50,2,0),"求和")="最新值",IFERROR(LOOKUP(9.99E+307,G1285:R1285),""),SUM(G1285:R1285))))</f>
        <v/>
      </c>
      <c r="T1285" s="33" t="n"/>
      <c r="U1285" s="33" t="n"/>
    </row>
    <row r="1286">
      <c r="A1286" s="26">
        <f>IF($B1286="","",ROW()-3)</f>
        <v/>
      </c>
      <c r="B1286" s="27" t="n"/>
      <c r="C1286" s="27" t="n"/>
      <c r="D1286" s="28" t="n"/>
      <c r="E1286" s="29" t="n"/>
      <c r="F1286" s="30" t="n"/>
      <c r="G1286" s="31" t="n"/>
      <c r="H1286" s="31" t="n"/>
      <c r="I1286" s="31" t="n"/>
      <c r="J1286" s="31" t="n"/>
      <c r="K1286" s="31" t="n"/>
      <c r="L1286" s="31" t="n"/>
      <c r="M1286" s="31" t="n"/>
      <c r="N1286" s="31" t="n"/>
      <c r="O1286" s="31" t="n"/>
      <c r="P1286" s="31" t="n"/>
      <c r="Q1286" s="31" t="n"/>
      <c r="R1286" s="31" t="n"/>
      <c r="S1286" s="32">
        <f>IF($F1286="","",IF(IFERROR(VLOOKUP($F1286,'维度字典'!$I$2:$J$50,2,0),"求和")="手工录入","",IF(IFERROR(VLOOKUP($F1286,'维度字典'!$I$2:$J$50,2,0),"求和")="最新值",IFERROR(LOOKUP(9.99E+307,G1286:R1286),""),SUM(G1286:R1286))))</f>
        <v/>
      </c>
      <c r="T1286" s="33" t="n"/>
      <c r="U1286" s="33" t="n"/>
    </row>
    <row r="1287">
      <c r="A1287" s="26">
        <f>IF($B1287="","",ROW()-3)</f>
        <v/>
      </c>
      <c r="B1287" s="27" t="n"/>
      <c r="C1287" s="27" t="n"/>
      <c r="D1287" s="28" t="n"/>
      <c r="E1287" s="29" t="n"/>
      <c r="F1287" s="30" t="n"/>
      <c r="G1287" s="31" t="n"/>
      <c r="H1287" s="31" t="n"/>
      <c r="I1287" s="31" t="n"/>
      <c r="J1287" s="31" t="n"/>
      <c r="K1287" s="31" t="n"/>
      <c r="L1287" s="31" t="n"/>
      <c r="M1287" s="31" t="n"/>
      <c r="N1287" s="31" t="n"/>
      <c r="O1287" s="31" t="n"/>
      <c r="P1287" s="31" t="n"/>
      <c r="Q1287" s="31" t="n"/>
      <c r="R1287" s="31" t="n"/>
      <c r="S1287" s="32">
        <f>IF($F1287="","",IF(IFERROR(VLOOKUP($F1287,'维度字典'!$I$2:$J$50,2,0),"求和")="手工录入","",IF(IFERROR(VLOOKUP($F1287,'维度字典'!$I$2:$J$50,2,0),"求和")="最新值",IFERROR(LOOKUP(9.99E+307,G1287:R1287),""),SUM(G1287:R1287))))</f>
        <v/>
      </c>
      <c r="T1287" s="33" t="n"/>
      <c r="U1287" s="33" t="n"/>
    </row>
    <row r="1288">
      <c r="A1288" s="26">
        <f>IF($B1288="","",ROW()-3)</f>
        <v/>
      </c>
      <c r="B1288" s="27" t="n"/>
      <c r="C1288" s="27" t="n"/>
      <c r="D1288" s="28" t="n"/>
      <c r="E1288" s="29" t="n"/>
      <c r="F1288" s="30" t="n"/>
      <c r="G1288" s="31" t="n"/>
      <c r="H1288" s="31" t="n"/>
      <c r="I1288" s="31" t="n"/>
      <c r="J1288" s="31" t="n"/>
      <c r="K1288" s="31" t="n"/>
      <c r="L1288" s="31" t="n"/>
      <c r="M1288" s="31" t="n"/>
      <c r="N1288" s="31" t="n"/>
      <c r="O1288" s="31" t="n"/>
      <c r="P1288" s="31" t="n"/>
      <c r="Q1288" s="31" t="n"/>
      <c r="R1288" s="31" t="n"/>
      <c r="S1288" s="32">
        <f>IF($F1288="","",IF(IFERROR(VLOOKUP($F1288,'维度字典'!$I$2:$J$50,2,0),"求和")="手工录入","",IF(IFERROR(VLOOKUP($F1288,'维度字典'!$I$2:$J$50,2,0),"求和")="最新值",IFERROR(LOOKUP(9.99E+307,G1288:R1288),""),SUM(G1288:R1288))))</f>
        <v/>
      </c>
      <c r="T1288" s="33" t="n"/>
      <c r="U1288" s="33" t="n"/>
    </row>
    <row r="1289">
      <c r="A1289" s="26">
        <f>IF($B1289="","",ROW()-3)</f>
        <v/>
      </c>
      <c r="B1289" s="27" t="n"/>
      <c r="C1289" s="27" t="n"/>
      <c r="D1289" s="28" t="n"/>
      <c r="E1289" s="29" t="n"/>
      <c r="F1289" s="30" t="n"/>
      <c r="G1289" s="31" t="n"/>
      <c r="H1289" s="31" t="n"/>
      <c r="I1289" s="31" t="n"/>
      <c r="J1289" s="31" t="n"/>
      <c r="K1289" s="31" t="n"/>
      <c r="L1289" s="31" t="n"/>
      <c r="M1289" s="31" t="n"/>
      <c r="N1289" s="31" t="n"/>
      <c r="O1289" s="31" t="n"/>
      <c r="P1289" s="31" t="n"/>
      <c r="Q1289" s="31" t="n"/>
      <c r="R1289" s="31" t="n"/>
      <c r="S1289" s="32">
        <f>IF($F1289="","",IF(IFERROR(VLOOKUP($F1289,'维度字典'!$I$2:$J$50,2,0),"求和")="手工录入","",IF(IFERROR(VLOOKUP($F1289,'维度字典'!$I$2:$J$50,2,0),"求和")="最新值",IFERROR(LOOKUP(9.99E+307,G1289:R1289),""),SUM(G1289:R1289))))</f>
        <v/>
      </c>
      <c r="T1289" s="33" t="n"/>
      <c r="U1289" s="33" t="n"/>
    </row>
    <row r="1290">
      <c r="A1290" s="26">
        <f>IF($B1290="","",ROW()-3)</f>
        <v/>
      </c>
      <c r="B1290" s="27" t="n"/>
      <c r="C1290" s="27" t="n"/>
      <c r="D1290" s="28" t="n"/>
      <c r="E1290" s="29" t="n"/>
      <c r="F1290" s="30" t="n"/>
      <c r="G1290" s="31" t="n"/>
      <c r="H1290" s="31" t="n"/>
      <c r="I1290" s="31" t="n"/>
      <c r="J1290" s="31" t="n"/>
      <c r="K1290" s="31" t="n"/>
      <c r="L1290" s="31" t="n"/>
      <c r="M1290" s="31" t="n"/>
      <c r="N1290" s="31" t="n"/>
      <c r="O1290" s="31" t="n"/>
      <c r="P1290" s="31" t="n"/>
      <c r="Q1290" s="31" t="n"/>
      <c r="R1290" s="31" t="n"/>
      <c r="S1290" s="32">
        <f>IF($F1290="","",IF(IFERROR(VLOOKUP($F1290,'维度字典'!$I$2:$J$50,2,0),"求和")="手工录入","",IF(IFERROR(VLOOKUP($F1290,'维度字典'!$I$2:$J$50,2,0),"求和")="最新值",IFERROR(LOOKUP(9.99E+307,G1290:R1290),""),SUM(G1290:R1290))))</f>
        <v/>
      </c>
      <c r="T1290" s="33" t="n"/>
      <c r="U1290" s="33" t="n"/>
    </row>
    <row r="1291">
      <c r="A1291" s="26">
        <f>IF($B1291="","",ROW()-3)</f>
        <v/>
      </c>
      <c r="B1291" s="27" t="n"/>
      <c r="C1291" s="27" t="n"/>
      <c r="D1291" s="28" t="n"/>
      <c r="E1291" s="29" t="n"/>
      <c r="F1291" s="30" t="n"/>
      <c r="G1291" s="31" t="n"/>
      <c r="H1291" s="31" t="n"/>
      <c r="I1291" s="31" t="n"/>
      <c r="J1291" s="31" t="n"/>
      <c r="K1291" s="31" t="n"/>
      <c r="L1291" s="31" t="n"/>
      <c r="M1291" s="31" t="n"/>
      <c r="N1291" s="31" t="n"/>
      <c r="O1291" s="31" t="n"/>
      <c r="P1291" s="31" t="n"/>
      <c r="Q1291" s="31" t="n"/>
      <c r="R1291" s="31" t="n"/>
      <c r="S1291" s="32">
        <f>IF($F1291="","",IF(IFERROR(VLOOKUP($F1291,'维度字典'!$I$2:$J$50,2,0),"求和")="手工录入","",IF(IFERROR(VLOOKUP($F1291,'维度字典'!$I$2:$J$50,2,0),"求和")="最新值",IFERROR(LOOKUP(9.99E+307,G1291:R1291),""),SUM(G1291:R1291))))</f>
        <v/>
      </c>
      <c r="T1291" s="33" t="n"/>
      <c r="U1291" s="33" t="n"/>
    </row>
    <row r="1292">
      <c r="A1292" s="26">
        <f>IF($B1292="","",ROW()-3)</f>
        <v/>
      </c>
      <c r="B1292" s="27" t="n"/>
      <c r="C1292" s="27" t="n"/>
      <c r="D1292" s="28" t="n"/>
      <c r="E1292" s="29" t="n"/>
      <c r="F1292" s="30" t="n"/>
      <c r="G1292" s="31" t="n"/>
      <c r="H1292" s="31" t="n"/>
      <c r="I1292" s="31" t="n"/>
      <c r="J1292" s="31" t="n"/>
      <c r="K1292" s="31" t="n"/>
      <c r="L1292" s="31" t="n"/>
      <c r="M1292" s="31" t="n"/>
      <c r="N1292" s="31" t="n"/>
      <c r="O1292" s="31" t="n"/>
      <c r="P1292" s="31" t="n"/>
      <c r="Q1292" s="31" t="n"/>
      <c r="R1292" s="31" t="n"/>
      <c r="S1292" s="32">
        <f>IF($F1292="","",IF(IFERROR(VLOOKUP($F1292,'维度字典'!$I$2:$J$50,2,0),"求和")="手工录入","",IF(IFERROR(VLOOKUP($F1292,'维度字典'!$I$2:$J$50,2,0),"求和")="最新值",IFERROR(LOOKUP(9.99E+307,G1292:R1292),""),SUM(G1292:R1292))))</f>
        <v/>
      </c>
      <c r="T1292" s="33" t="n"/>
      <c r="U1292" s="33" t="n"/>
    </row>
    <row r="1293">
      <c r="A1293" s="26">
        <f>IF($B1293="","",ROW()-3)</f>
        <v/>
      </c>
      <c r="B1293" s="27" t="n"/>
      <c r="C1293" s="27" t="n"/>
      <c r="D1293" s="28" t="n"/>
      <c r="E1293" s="29" t="n"/>
      <c r="F1293" s="30" t="n"/>
      <c r="G1293" s="31" t="n"/>
      <c r="H1293" s="31" t="n"/>
      <c r="I1293" s="31" t="n"/>
      <c r="J1293" s="31" t="n"/>
      <c r="K1293" s="31" t="n"/>
      <c r="L1293" s="31" t="n"/>
      <c r="M1293" s="31" t="n"/>
      <c r="N1293" s="31" t="n"/>
      <c r="O1293" s="31" t="n"/>
      <c r="P1293" s="31" t="n"/>
      <c r="Q1293" s="31" t="n"/>
      <c r="R1293" s="31" t="n"/>
      <c r="S1293" s="32">
        <f>IF($F1293="","",IF(IFERROR(VLOOKUP($F1293,'维度字典'!$I$2:$J$50,2,0),"求和")="手工录入","",IF(IFERROR(VLOOKUP($F1293,'维度字典'!$I$2:$J$50,2,0),"求和")="最新值",IFERROR(LOOKUP(9.99E+307,G1293:R1293),""),SUM(G1293:R1293))))</f>
        <v/>
      </c>
      <c r="T1293" s="33" t="n"/>
      <c r="U1293" s="33" t="n"/>
    </row>
    <row r="1294">
      <c r="A1294" s="26">
        <f>IF($B1294="","",ROW()-3)</f>
        <v/>
      </c>
      <c r="B1294" s="27" t="n"/>
      <c r="C1294" s="27" t="n"/>
      <c r="D1294" s="28" t="n"/>
      <c r="E1294" s="29" t="n"/>
      <c r="F1294" s="30" t="n"/>
      <c r="G1294" s="31" t="n"/>
      <c r="H1294" s="31" t="n"/>
      <c r="I1294" s="31" t="n"/>
      <c r="J1294" s="31" t="n"/>
      <c r="K1294" s="31" t="n"/>
      <c r="L1294" s="31" t="n"/>
      <c r="M1294" s="31" t="n"/>
      <c r="N1294" s="31" t="n"/>
      <c r="O1294" s="31" t="n"/>
      <c r="P1294" s="31" t="n"/>
      <c r="Q1294" s="31" t="n"/>
      <c r="R1294" s="31" t="n"/>
      <c r="S1294" s="32">
        <f>IF($F1294="","",IF(IFERROR(VLOOKUP($F1294,'维度字典'!$I$2:$J$50,2,0),"求和")="手工录入","",IF(IFERROR(VLOOKUP($F1294,'维度字典'!$I$2:$J$50,2,0),"求和")="最新值",IFERROR(LOOKUP(9.99E+307,G1294:R1294),""),SUM(G1294:R1294))))</f>
        <v/>
      </c>
      <c r="T1294" s="33" t="n"/>
      <c r="U1294" s="33" t="n"/>
    </row>
    <row r="1295">
      <c r="A1295" s="26">
        <f>IF($B1295="","",ROW()-3)</f>
        <v/>
      </c>
      <c r="B1295" s="27" t="n"/>
      <c r="C1295" s="27" t="n"/>
      <c r="D1295" s="28" t="n"/>
      <c r="E1295" s="29" t="n"/>
      <c r="F1295" s="30" t="n"/>
      <c r="G1295" s="31" t="n"/>
      <c r="H1295" s="31" t="n"/>
      <c r="I1295" s="31" t="n"/>
      <c r="J1295" s="31" t="n"/>
      <c r="K1295" s="31" t="n"/>
      <c r="L1295" s="31" t="n"/>
      <c r="M1295" s="31" t="n"/>
      <c r="N1295" s="31" t="n"/>
      <c r="O1295" s="31" t="n"/>
      <c r="P1295" s="31" t="n"/>
      <c r="Q1295" s="31" t="n"/>
      <c r="R1295" s="31" t="n"/>
      <c r="S1295" s="32">
        <f>IF($F1295="","",IF(IFERROR(VLOOKUP($F1295,'维度字典'!$I$2:$J$50,2,0),"求和")="手工录入","",IF(IFERROR(VLOOKUP($F1295,'维度字典'!$I$2:$J$50,2,0),"求和")="最新值",IFERROR(LOOKUP(9.99E+307,G1295:R1295),""),SUM(G1295:R1295))))</f>
        <v/>
      </c>
      <c r="T1295" s="33" t="n"/>
      <c r="U1295" s="33" t="n"/>
    </row>
    <row r="1296">
      <c r="A1296" s="26">
        <f>IF($B1296="","",ROW()-3)</f>
        <v/>
      </c>
      <c r="B1296" s="27" t="n"/>
      <c r="C1296" s="27" t="n"/>
      <c r="D1296" s="28" t="n"/>
      <c r="E1296" s="29" t="n"/>
      <c r="F1296" s="30" t="n"/>
      <c r="G1296" s="31" t="n"/>
      <c r="H1296" s="31" t="n"/>
      <c r="I1296" s="31" t="n"/>
      <c r="J1296" s="31" t="n"/>
      <c r="K1296" s="31" t="n"/>
      <c r="L1296" s="31" t="n"/>
      <c r="M1296" s="31" t="n"/>
      <c r="N1296" s="31" t="n"/>
      <c r="O1296" s="31" t="n"/>
      <c r="P1296" s="31" t="n"/>
      <c r="Q1296" s="31" t="n"/>
      <c r="R1296" s="31" t="n"/>
      <c r="S1296" s="32">
        <f>IF($F1296="","",IF(IFERROR(VLOOKUP($F1296,'维度字典'!$I$2:$J$50,2,0),"求和")="手工录入","",IF(IFERROR(VLOOKUP($F1296,'维度字典'!$I$2:$J$50,2,0),"求和")="最新值",IFERROR(LOOKUP(9.99E+307,G1296:R1296),""),SUM(G1296:R1296))))</f>
        <v/>
      </c>
      <c r="T1296" s="33" t="n"/>
      <c r="U1296" s="33" t="n"/>
    </row>
    <row r="1297">
      <c r="A1297" s="26">
        <f>IF($B1297="","",ROW()-3)</f>
        <v/>
      </c>
      <c r="B1297" s="27" t="n"/>
      <c r="C1297" s="27" t="n"/>
      <c r="D1297" s="28" t="n"/>
      <c r="E1297" s="29" t="n"/>
      <c r="F1297" s="30" t="n"/>
      <c r="G1297" s="31" t="n"/>
      <c r="H1297" s="31" t="n"/>
      <c r="I1297" s="31" t="n"/>
      <c r="J1297" s="31" t="n"/>
      <c r="K1297" s="31" t="n"/>
      <c r="L1297" s="31" t="n"/>
      <c r="M1297" s="31" t="n"/>
      <c r="N1297" s="31" t="n"/>
      <c r="O1297" s="31" t="n"/>
      <c r="P1297" s="31" t="n"/>
      <c r="Q1297" s="31" t="n"/>
      <c r="R1297" s="31" t="n"/>
      <c r="S1297" s="32">
        <f>IF($F1297="","",IF(IFERROR(VLOOKUP($F1297,'维度字典'!$I$2:$J$50,2,0),"求和")="手工录入","",IF(IFERROR(VLOOKUP($F1297,'维度字典'!$I$2:$J$50,2,0),"求和")="最新值",IFERROR(LOOKUP(9.99E+307,G1297:R1297),""),SUM(G1297:R1297))))</f>
        <v/>
      </c>
      <c r="T1297" s="33" t="n"/>
      <c r="U1297" s="33" t="n"/>
    </row>
    <row r="1298">
      <c r="A1298" s="26">
        <f>IF($B1298="","",ROW()-3)</f>
        <v/>
      </c>
      <c r="B1298" s="27" t="n"/>
      <c r="C1298" s="27" t="n"/>
      <c r="D1298" s="28" t="n"/>
      <c r="E1298" s="29" t="n"/>
      <c r="F1298" s="30" t="n"/>
      <c r="G1298" s="31" t="n"/>
      <c r="H1298" s="31" t="n"/>
      <c r="I1298" s="31" t="n"/>
      <c r="J1298" s="31" t="n"/>
      <c r="K1298" s="31" t="n"/>
      <c r="L1298" s="31" t="n"/>
      <c r="M1298" s="31" t="n"/>
      <c r="N1298" s="31" t="n"/>
      <c r="O1298" s="31" t="n"/>
      <c r="P1298" s="31" t="n"/>
      <c r="Q1298" s="31" t="n"/>
      <c r="R1298" s="31" t="n"/>
      <c r="S1298" s="32">
        <f>IF($F1298="","",IF(IFERROR(VLOOKUP($F1298,'维度字典'!$I$2:$J$50,2,0),"求和")="手工录入","",IF(IFERROR(VLOOKUP($F1298,'维度字典'!$I$2:$J$50,2,0),"求和")="最新值",IFERROR(LOOKUP(9.99E+307,G1298:R1298),""),SUM(G1298:R1298))))</f>
        <v/>
      </c>
      <c r="T1298" s="33" t="n"/>
      <c r="U1298" s="33" t="n"/>
    </row>
    <row r="1299">
      <c r="A1299" s="26">
        <f>IF($B1299="","",ROW()-3)</f>
        <v/>
      </c>
      <c r="B1299" s="27" t="n"/>
      <c r="C1299" s="27" t="n"/>
      <c r="D1299" s="28" t="n"/>
      <c r="E1299" s="29" t="n"/>
      <c r="F1299" s="30" t="n"/>
      <c r="G1299" s="31" t="n"/>
      <c r="H1299" s="31" t="n"/>
      <c r="I1299" s="31" t="n"/>
      <c r="J1299" s="31" t="n"/>
      <c r="K1299" s="31" t="n"/>
      <c r="L1299" s="31" t="n"/>
      <c r="M1299" s="31" t="n"/>
      <c r="N1299" s="31" t="n"/>
      <c r="O1299" s="31" t="n"/>
      <c r="P1299" s="31" t="n"/>
      <c r="Q1299" s="31" t="n"/>
      <c r="R1299" s="31" t="n"/>
      <c r="S1299" s="32">
        <f>IF($F1299="","",IF(IFERROR(VLOOKUP($F1299,'维度字典'!$I$2:$J$50,2,0),"求和")="手工录入","",IF(IFERROR(VLOOKUP($F1299,'维度字典'!$I$2:$J$50,2,0),"求和")="最新值",IFERROR(LOOKUP(9.99E+307,G1299:R1299),""),SUM(G1299:R1299))))</f>
        <v/>
      </c>
      <c r="T1299" s="33" t="n"/>
      <c r="U1299" s="33" t="n"/>
    </row>
    <row r="1300">
      <c r="A1300" s="26">
        <f>IF($B1300="","",ROW()-3)</f>
        <v/>
      </c>
      <c r="B1300" s="27" t="n"/>
      <c r="C1300" s="27" t="n"/>
      <c r="D1300" s="28" t="n"/>
      <c r="E1300" s="29" t="n"/>
      <c r="F1300" s="30" t="n"/>
      <c r="G1300" s="31" t="n"/>
      <c r="H1300" s="31" t="n"/>
      <c r="I1300" s="31" t="n"/>
      <c r="J1300" s="31" t="n"/>
      <c r="K1300" s="31" t="n"/>
      <c r="L1300" s="31" t="n"/>
      <c r="M1300" s="31" t="n"/>
      <c r="N1300" s="31" t="n"/>
      <c r="O1300" s="31" t="n"/>
      <c r="P1300" s="31" t="n"/>
      <c r="Q1300" s="31" t="n"/>
      <c r="R1300" s="31" t="n"/>
      <c r="S1300" s="32">
        <f>IF($F1300="","",IF(IFERROR(VLOOKUP($F1300,'维度字典'!$I$2:$J$50,2,0),"求和")="手工录入","",IF(IFERROR(VLOOKUP($F1300,'维度字典'!$I$2:$J$50,2,0),"求和")="最新值",IFERROR(LOOKUP(9.99E+307,G1300:R1300),""),SUM(G1300:R1300))))</f>
        <v/>
      </c>
      <c r="T1300" s="33" t="n"/>
      <c r="U1300" s="33" t="n"/>
    </row>
    <row r="1301">
      <c r="A1301" s="26">
        <f>IF($B1301="","",ROW()-3)</f>
        <v/>
      </c>
      <c r="B1301" s="27" t="n"/>
      <c r="C1301" s="27" t="n"/>
      <c r="D1301" s="28" t="n"/>
      <c r="E1301" s="29" t="n"/>
      <c r="F1301" s="30" t="n"/>
      <c r="G1301" s="31" t="n"/>
      <c r="H1301" s="31" t="n"/>
      <c r="I1301" s="31" t="n"/>
      <c r="J1301" s="31" t="n"/>
      <c r="K1301" s="31" t="n"/>
      <c r="L1301" s="31" t="n"/>
      <c r="M1301" s="31" t="n"/>
      <c r="N1301" s="31" t="n"/>
      <c r="O1301" s="31" t="n"/>
      <c r="P1301" s="31" t="n"/>
      <c r="Q1301" s="31" t="n"/>
      <c r="R1301" s="31" t="n"/>
      <c r="S1301" s="32">
        <f>IF($F1301="","",IF(IFERROR(VLOOKUP($F1301,'维度字典'!$I$2:$J$50,2,0),"求和")="手工录入","",IF(IFERROR(VLOOKUP($F1301,'维度字典'!$I$2:$J$50,2,0),"求和")="最新值",IFERROR(LOOKUP(9.99E+307,G1301:R1301),""),SUM(G1301:R1301))))</f>
        <v/>
      </c>
      <c r="T1301" s="33" t="n"/>
      <c r="U1301" s="33" t="n"/>
    </row>
    <row r="1302">
      <c r="A1302" s="26">
        <f>IF($B1302="","",ROW()-3)</f>
        <v/>
      </c>
      <c r="B1302" s="27" t="n"/>
      <c r="C1302" s="27" t="n"/>
      <c r="D1302" s="28" t="n"/>
      <c r="E1302" s="29" t="n"/>
      <c r="F1302" s="30" t="n"/>
      <c r="G1302" s="31" t="n"/>
      <c r="H1302" s="31" t="n"/>
      <c r="I1302" s="31" t="n"/>
      <c r="J1302" s="31" t="n"/>
      <c r="K1302" s="31" t="n"/>
      <c r="L1302" s="31" t="n"/>
      <c r="M1302" s="31" t="n"/>
      <c r="N1302" s="31" t="n"/>
      <c r="O1302" s="31" t="n"/>
      <c r="P1302" s="31" t="n"/>
      <c r="Q1302" s="31" t="n"/>
      <c r="R1302" s="31" t="n"/>
      <c r="S1302" s="32">
        <f>IF($F1302="","",IF(IFERROR(VLOOKUP($F1302,'维度字典'!$I$2:$J$50,2,0),"求和")="手工录入","",IF(IFERROR(VLOOKUP($F1302,'维度字典'!$I$2:$J$50,2,0),"求和")="最新值",IFERROR(LOOKUP(9.99E+307,G1302:R1302),""),SUM(G1302:R1302))))</f>
        <v/>
      </c>
      <c r="T1302" s="33" t="n"/>
      <c r="U1302" s="33" t="n"/>
    </row>
    <row r="1303">
      <c r="A1303" s="26">
        <f>IF($B1303="","",ROW()-3)</f>
        <v/>
      </c>
      <c r="B1303" s="27" t="n"/>
      <c r="C1303" s="27" t="n"/>
      <c r="D1303" s="28" t="n"/>
      <c r="E1303" s="29" t="n"/>
      <c r="F1303" s="30" t="n"/>
      <c r="G1303" s="31" t="n"/>
      <c r="H1303" s="31" t="n"/>
      <c r="I1303" s="31" t="n"/>
      <c r="J1303" s="31" t="n"/>
      <c r="K1303" s="31" t="n"/>
      <c r="L1303" s="31" t="n"/>
      <c r="M1303" s="31" t="n"/>
      <c r="N1303" s="31" t="n"/>
      <c r="O1303" s="31" t="n"/>
      <c r="P1303" s="31" t="n"/>
      <c r="Q1303" s="31" t="n"/>
      <c r="R1303" s="31" t="n"/>
      <c r="S1303" s="32">
        <f>IF($F1303="","",IF(IFERROR(VLOOKUP($F1303,'维度字典'!$I$2:$J$50,2,0),"求和")="手工录入","",IF(IFERROR(VLOOKUP($F1303,'维度字典'!$I$2:$J$50,2,0),"求和")="最新值",IFERROR(LOOKUP(9.99E+307,G1303:R1303),""),SUM(G1303:R1303))))</f>
        <v/>
      </c>
      <c r="T1303" s="33" t="n"/>
      <c r="U1303" s="33" t="n"/>
    </row>
    <row r="1304">
      <c r="A1304" s="26">
        <f>IF($B1304="","",ROW()-3)</f>
        <v/>
      </c>
      <c r="B1304" s="27" t="n"/>
      <c r="C1304" s="27" t="n"/>
      <c r="D1304" s="28" t="n"/>
      <c r="E1304" s="29" t="n"/>
      <c r="F1304" s="30" t="n"/>
      <c r="G1304" s="31" t="n"/>
      <c r="H1304" s="31" t="n"/>
      <c r="I1304" s="31" t="n"/>
      <c r="J1304" s="31" t="n"/>
      <c r="K1304" s="31" t="n"/>
      <c r="L1304" s="31" t="n"/>
      <c r="M1304" s="31" t="n"/>
      <c r="N1304" s="31" t="n"/>
      <c r="O1304" s="31" t="n"/>
      <c r="P1304" s="31" t="n"/>
      <c r="Q1304" s="31" t="n"/>
      <c r="R1304" s="31" t="n"/>
      <c r="S1304" s="32">
        <f>IF($F1304="","",IF(IFERROR(VLOOKUP($F1304,'维度字典'!$I$2:$J$50,2,0),"求和")="手工录入","",IF(IFERROR(VLOOKUP($F1304,'维度字典'!$I$2:$J$50,2,0),"求和")="最新值",IFERROR(LOOKUP(9.99E+307,G1304:R1304),""),SUM(G1304:R1304))))</f>
        <v/>
      </c>
      <c r="T1304" s="33" t="n"/>
      <c r="U1304" s="33" t="n"/>
    </row>
    <row r="1305">
      <c r="A1305" s="26">
        <f>IF($B1305="","",ROW()-3)</f>
        <v/>
      </c>
      <c r="B1305" s="27" t="n"/>
      <c r="C1305" s="27" t="n"/>
      <c r="D1305" s="28" t="n"/>
      <c r="E1305" s="29" t="n"/>
      <c r="F1305" s="30" t="n"/>
      <c r="G1305" s="31" t="n"/>
      <c r="H1305" s="31" t="n"/>
      <c r="I1305" s="31" t="n"/>
      <c r="J1305" s="31" t="n"/>
      <c r="K1305" s="31" t="n"/>
      <c r="L1305" s="31" t="n"/>
      <c r="M1305" s="31" t="n"/>
      <c r="N1305" s="31" t="n"/>
      <c r="O1305" s="31" t="n"/>
      <c r="P1305" s="31" t="n"/>
      <c r="Q1305" s="31" t="n"/>
      <c r="R1305" s="31" t="n"/>
      <c r="S1305" s="32">
        <f>IF($F1305="","",IF(IFERROR(VLOOKUP($F1305,'维度字典'!$I$2:$J$50,2,0),"求和")="手工录入","",IF(IFERROR(VLOOKUP($F1305,'维度字典'!$I$2:$J$50,2,0),"求和")="最新值",IFERROR(LOOKUP(9.99E+307,G1305:R1305),""),SUM(G1305:R1305))))</f>
        <v/>
      </c>
      <c r="T1305" s="33" t="n"/>
      <c r="U1305" s="33" t="n"/>
    </row>
    <row r="1306">
      <c r="A1306" s="26">
        <f>IF($B1306="","",ROW()-3)</f>
        <v/>
      </c>
      <c r="B1306" s="27" t="n"/>
      <c r="C1306" s="27" t="n"/>
      <c r="D1306" s="28" t="n"/>
      <c r="E1306" s="29" t="n"/>
      <c r="F1306" s="30" t="n"/>
      <c r="G1306" s="31" t="n"/>
      <c r="H1306" s="31" t="n"/>
      <c r="I1306" s="31" t="n"/>
      <c r="J1306" s="31" t="n"/>
      <c r="K1306" s="31" t="n"/>
      <c r="L1306" s="31" t="n"/>
      <c r="M1306" s="31" t="n"/>
      <c r="N1306" s="31" t="n"/>
      <c r="O1306" s="31" t="n"/>
      <c r="P1306" s="31" t="n"/>
      <c r="Q1306" s="31" t="n"/>
      <c r="R1306" s="31" t="n"/>
      <c r="S1306" s="32">
        <f>IF($F1306="","",IF(IFERROR(VLOOKUP($F1306,'维度字典'!$I$2:$J$50,2,0),"求和")="手工录入","",IF(IFERROR(VLOOKUP($F1306,'维度字典'!$I$2:$J$50,2,0),"求和")="最新值",IFERROR(LOOKUP(9.99E+307,G1306:R1306),""),SUM(G1306:R1306))))</f>
        <v/>
      </c>
      <c r="T1306" s="33" t="n"/>
      <c r="U1306" s="33" t="n"/>
    </row>
    <row r="1307">
      <c r="A1307" s="26">
        <f>IF($B1307="","",ROW()-3)</f>
        <v/>
      </c>
      <c r="B1307" s="27" t="n"/>
      <c r="C1307" s="27" t="n"/>
      <c r="D1307" s="28" t="n"/>
      <c r="E1307" s="29" t="n"/>
      <c r="F1307" s="30" t="n"/>
      <c r="G1307" s="31" t="n"/>
      <c r="H1307" s="31" t="n"/>
      <c r="I1307" s="31" t="n"/>
      <c r="J1307" s="31" t="n"/>
      <c r="K1307" s="31" t="n"/>
      <c r="L1307" s="31" t="n"/>
      <c r="M1307" s="31" t="n"/>
      <c r="N1307" s="31" t="n"/>
      <c r="O1307" s="31" t="n"/>
      <c r="P1307" s="31" t="n"/>
      <c r="Q1307" s="31" t="n"/>
      <c r="R1307" s="31" t="n"/>
      <c r="S1307" s="32">
        <f>IF($F1307="","",IF(IFERROR(VLOOKUP($F1307,'维度字典'!$I$2:$J$50,2,0),"求和")="手工录入","",IF(IFERROR(VLOOKUP($F1307,'维度字典'!$I$2:$J$50,2,0),"求和")="最新值",IFERROR(LOOKUP(9.99E+307,G1307:R1307),""),SUM(G1307:R1307))))</f>
        <v/>
      </c>
      <c r="T1307" s="33" t="n"/>
      <c r="U1307" s="33" t="n"/>
    </row>
    <row r="1308">
      <c r="A1308" s="26">
        <f>IF($B1308="","",ROW()-3)</f>
        <v/>
      </c>
      <c r="B1308" s="27" t="n"/>
      <c r="C1308" s="27" t="n"/>
      <c r="D1308" s="28" t="n"/>
      <c r="E1308" s="29" t="n"/>
      <c r="F1308" s="30" t="n"/>
      <c r="G1308" s="31" t="n"/>
      <c r="H1308" s="31" t="n"/>
      <c r="I1308" s="31" t="n"/>
      <c r="J1308" s="31" t="n"/>
      <c r="K1308" s="31" t="n"/>
      <c r="L1308" s="31" t="n"/>
      <c r="M1308" s="31" t="n"/>
      <c r="N1308" s="31" t="n"/>
      <c r="O1308" s="31" t="n"/>
      <c r="P1308" s="31" t="n"/>
      <c r="Q1308" s="31" t="n"/>
      <c r="R1308" s="31" t="n"/>
      <c r="S1308" s="32">
        <f>IF($F1308="","",IF(IFERROR(VLOOKUP($F1308,'维度字典'!$I$2:$J$50,2,0),"求和")="手工录入","",IF(IFERROR(VLOOKUP($F1308,'维度字典'!$I$2:$J$50,2,0),"求和")="最新值",IFERROR(LOOKUP(9.99E+307,G1308:R1308),""),SUM(G1308:R1308))))</f>
        <v/>
      </c>
      <c r="T1308" s="33" t="n"/>
      <c r="U1308" s="33" t="n"/>
    </row>
    <row r="1309">
      <c r="A1309" s="26">
        <f>IF($B1309="","",ROW()-3)</f>
        <v/>
      </c>
      <c r="B1309" s="27" t="n"/>
      <c r="C1309" s="27" t="n"/>
      <c r="D1309" s="28" t="n"/>
      <c r="E1309" s="29" t="n"/>
      <c r="F1309" s="30" t="n"/>
      <c r="G1309" s="31" t="n"/>
      <c r="H1309" s="31" t="n"/>
      <c r="I1309" s="31" t="n"/>
      <c r="J1309" s="31" t="n"/>
      <c r="K1309" s="31" t="n"/>
      <c r="L1309" s="31" t="n"/>
      <c r="M1309" s="31" t="n"/>
      <c r="N1309" s="31" t="n"/>
      <c r="O1309" s="31" t="n"/>
      <c r="P1309" s="31" t="n"/>
      <c r="Q1309" s="31" t="n"/>
      <c r="R1309" s="31" t="n"/>
      <c r="S1309" s="32">
        <f>IF($F1309="","",IF(IFERROR(VLOOKUP($F1309,'维度字典'!$I$2:$J$50,2,0),"求和")="手工录入","",IF(IFERROR(VLOOKUP($F1309,'维度字典'!$I$2:$J$50,2,0),"求和")="最新值",IFERROR(LOOKUP(9.99E+307,G1309:R1309),""),SUM(G1309:R1309))))</f>
        <v/>
      </c>
      <c r="T1309" s="33" t="n"/>
      <c r="U1309" s="33" t="n"/>
    </row>
    <row r="1310">
      <c r="A1310" s="26">
        <f>IF($B1310="","",ROW()-3)</f>
        <v/>
      </c>
      <c r="B1310" s="27" t="n"/>
      <c r="C1310" s="27" t="n"/>
      <c r="D1310" s="28" t="n"/>
      <c r="E1310" s="29" t="n"/>
      <c r="F1310" s="30" t="n"/>
      <c r="G1310" s="31" t="n"/>
      <c r="H1310" s="31" t="n"/>
      <c r="I1310" s="31" t="n"/>
      <c r="J1310" s="31" t="n"/>
      <c r="K1310" s="31" t="n"/>
      <c r="L1310" s="31" t="n"/>
      <c r="M1310" s="31" t="n"/>
      <c r="N1310" s="31" t="n"/>
      <c r="O1310" s="31" t="n"/>
      <c r="P1310" s="31" t="n"/>
      <c r="Q1310" s="31" t="n"/>
      <c r="R1310" s="31" t="n"/>
      <c r="S1310" s="32">
        <f>IF($F1310="","",IF(IFERROR(VLOOKUP($F1310,'维度字典'!$I$2:$J$50,2,0),"求和")="手工录入","",IF(IFERROR(VLOOKUP($F1310,'维度字典'!$I$2:$J$50,2,0),"求和")="最新值",IFERROR(LOOKUP(9.99E+307,G1310:R1310),""),SUM(G1310:R1310))))</f>
        <v/>
      </c>
      <c r="T1310" s="33" t="n"/>
      <c r="U1310" s="33" t="n"/>
    </row>
    <row r="1311">
      <c r="A1311" s="26">
        <f>IF($B1311="","",ROW()-3)</f>
        <v/>
      </c>
      <c r="B1311" s="27" t="n"/>
      <c r="C1311" s="27" t="n"/>
      <c r="D1311" s="28" t="n"/>
      <c r="E1311" s="29" t="n"/>
      <c r="F1311" s="30" t="n"/>
      <c r="G1311" s="31" t="n"/>
      <c r="H1311" s="31" t="n"/>
      <c r="I1311" s="31" t="n"/>
      <c r="J1311" s="31" t="n"/>
      <c r="K1311" s="31" t="n"/>
      <c r="L1311" s="31" t="n"/>
      <c r="M1311" s="31" t="n"/>
      <c r="N1311" s="31" t="n"/>
      <c r="O1311" s="31" t="n"/>
      <c r="P1311" s="31" t="n"/>
      <c r="Q1311" s="31" t="n"/>
      <c r="R1311" s="31" t="n"/>
      <c r="S1311" s="32">
        <f>IF($F1311="","",IF(IFERROR(VLOOKUP($F1311,'维度字典'!$I$2:$J$50,2,0),"求和")="手工录入","",IF(IFERROR(VLOOKUP($F1311,'维度字典'!$I$2:$J$50,2,0),"求和")="最新值",IFERROR(LOOKUP(9.99E+307,G1311:R1311),""),SUM(G1311:R1311))))</f>
        <v/>
      </c>
      <c r="T1311" s="33" t="n"/>
      <c r="U1311" s="33" t="n"/>
    </row>
    <row r="1312">
      <c r="A1312" s="26">
        <f>IF($B1312="","",ROW()-3)</f>
        <v/>
      </c>
      <c r="B1312" s="27" t="n"/>
      <c r="C1312" s="27" t="n"/>
      <c r="D1312" s="28" t="n"/>
      <c r="E1312" s="29" t="n"/>
      <c r="F1312" s="30" t="n"/>
      <c r="G1312" s="31" t="n"/>
      <c r="H1312" s="31" t="n"/>
      <c r="I1312" s="31" t="n"/>
      <c r="J1312" s="31" t="n"/>
      <c r="K1312" s="31" t="n"/>
      <c r="L1312" s="31" t="n"/>
      <c r="M1312" s="31" t="n"/>
      <c r="N1312" s="31" t="n"/>
      <c r="O1312" s="31" t="n"/>
      <c r="P1312" s="31" t="n"/>
      <c r="Q1312" s="31" t="n"/>
      <c r="R1312" s="31" t="n"/>
      <c r="S1312" s="32">
        <f>IF($F1312="","",IF(IFERROR(VLOOKUP($F1312,'维度字典'!$I$2:$J$50,2,0),"求和")="手工录入","",IF(IFERROR(VLOOKUP($F1312,'维度字典'!$I$2:$J$50,2,0),"求和")="最新值",IFERROR(LOOKUP(9.99E+307,G1312:R1312),""),SUM(G1312:R1312))))</f>
        <v/>
      </c>
      <c r="T1312" s="33" t="n"/>
      <c r="U1312" s="33" t="n"/>
    </row>
    <row r="1313">
      <c r="A1313" s="26">
        <f>IF($B1313="","",ROW()-3)</f>
        <v/>
      </c>
      <c r="B1313" s="27" t="n"/>
      <c r="C1313" s="27" t="n"/>
      <c r="D1313" s="28" t="n"/>
      <c r="E1313" s="29" t="n"/>
      <c r="F1313" s="30" t="n"/>
      <c r="G1313" s="31" t="n"/>
      <c r="H1313" s="31" t="n"/>
      <c r="I1313" s="31" t="n"/>
      <c r="J1313" s="31" t="n"/>
      <c r="K1313" s="31" t="n"/>
      <c r="L1313" s="31" t="n"/>
      <c r="M1313" s="31" t="n"/>
      <c r="N1313" s="31" t="n"/>
      <c r="O1313" s="31" t="n"/>
      <c r="P1313" s="31" t="n"/>
      <c r="Q1313" s="31" t="n"/>
      <c r="R1313" s="31" t="n"/>
      <c r="S1313" s="32">
        <f>IF($F1313="","",IF(IFERROR(VLOOKUP($F1313,'维度字典'!$I$2:$J$50,2,0),"求和")="手工录入","",IF(IFERROR(VLOOKUP($F1313,'维度字典'!$I$2:$J$50,2,0),"求和")="最新值",IFERROR(LOOKUP(9.99E+307,G1313:R1313),""),SUM(G1313:R1313))))</f>
        <v/>
      </c>
      <c r="T1313" s="33" t="n"/>
      <c r="U1313" s="33" t="n"/>
    </row>
    <row r="1314">
      <c r="A1314" s="26">
        <f>IF($B1314="","",ROW()-3)</f>
        <v/>
      </c>
      <c r="B1314" s="27" t="n"/>
      <c r="C1314" s="27" t="n"/>
      <c r="D1314" s="28" t="n"/>
      <c r="E1314" s="29" t="n"/>
      <c r="F1314" s="30" t="n"/>
      <c r="G1314" s="31" t="n"/>
      <c r="H1314" s="31" t="n"/>
      <c r="I1314" s="31" t="n"/>
      <c r="J1314" s="31" t="n"/>
      <c r="K1314" s="31" t="n"/>
      <c r="L1314" s="31" t="n"/>
      <c r="M1314" s="31" t="n"/>
      <c r="N1314" s="31" t="n"/>
      <c r="O1314" s="31" t="n"/>
      <c r="P1314" s="31" t="n"/>
      <c r="Q1314" s="31" t="n"/>
      <c r="R1314" s="31" t="n"/>
      <c r="S1314" s="32">
        <f>IF($F1314="","",IF(IFERROR(VLOOKUP($F1314,'维度字典'!$I$2:$J$50,2,0),"求和")="手工录入","",IF(IFERROR(VLOOKUP($F1314,'维度字典'!$I$2:$J$50,2,0),"求和")="最新值",IFERROR(LOOKUP(9.99E+307,G1314:R1314),""),SUM(G1314:R1314))))</f>
        <v/>
      </c>
      <c r="T1314" s="33" t="n"/>
      <c r="U1314" s="33" t="n"/>
    </row>
    <row r="1315">
      <c r="A1315" s="26">
        <f>IF($B1315="","",ROW()-3)</f>
        <v/>
      </c>
      <c r="B1315" s="27" t="n"/>
      <c r="C1315" s="27" t="n"/>
      <c r="D1315" s="28" t="n"/>
      <c r="E1315" s="29" t="n"/>
      <c r="F1315" s="30" t="n"/>
      <c r="G1315" s="31" t="n"/>
      <c r="H1315" s="31" t="n"/>
      <c r="I1315" s="31" t="n"/>
      <c r="J1315" s="31" t="n"/>
      <c r="K1315" s="31" t="n"/>
      <c r="L1315" s="31" t="n"/>
      <c r="M1315" s="31" t="n"/>
      <c r="N1315" s="31" t="n"/>
      <c r="O1315" s="31" t="n"/>
      <c r="P1315" s="31" t="n"/>
      <c r="Q1315" s="31" t="n"/>
      <c r="R1315" s="31" t="n"/>
      <c r="S1315" s="32">
        <f>IF($F1315="","",IF(IFERROR(VLOOKUP($F1315,'维度字典'!$I$2:$J$50,2,0),"求和")="手工录入","",IF(IFERROR(VLOOKUP($F1315,'维度字典'!$I$2:$J$50,2,0),"求和")="最新值",IFERROR(LOOKUP(9.99E+307,G1315:R1315),""),SUM(G1315:R1315))))</f>
        <v/>
      </c>
      <c r="T1315" s="33" t="n"/>
      <c r="U1315" s="33" t="n"/>
    </row>
    <row r="1316">
      <c r="A1316" s="26">
        <f>IF($B1316="","",ROW()-3)</f>
        <v/>
      </c>
      <c r="B1316" s="27" t="n"/>
      <c r="C1316" s="27" t="n"/>
      <c r="D1316" s="28" t="n"/>
      <c r="E1316" s="29" t="n"/>
      <c r="F1316" s="30" t="n"/>
      <c r="G1316" s="31" t="n"/>
      <c r="H1316" s="31" t="n"/>
      <c r="I1316" s="31" t="n"/>
      <c r="J1316" s="31" t="n"/>
      <c r="K1316" s="31" t="n"/>
      <c r="L1316" s="31" t="n"/>
      <c r="M1316" s="31" t="n"/>
      <c r="N1316" s="31" t="n"/>
      <c r="O1316" s="31" t="n"/>
      <c r="P1316" s="31" t="n"/>
      <c r="Q1316" s="31" t="n"/>
      <c r="R1316" s="31" t="n"/>
      <c r="S1316" s="32">
        <f>IF($F1316="","",IF(IFERROR(VLOOKUP($F1316,'维度字典'!$I$2:$J$50,2,0),"求和")="手工录入","",IF(IFERROR(VLOOKUP($F1316,'维度字典'!$I$2:$J$50,2,0),"求和")="最新值",IFERROR(LOOKUP(9.99E+307,G1316:R1316),""),SUM(G1316:R1316))))</f>
        <v/>
      </c>
      <c r="T1316" s="33" t="n"/>
      <c r="U1316" s="33" t="n"/>
    </row>
    <row r="1317">
      <c r="A1317" s="26">
        <f>IF($B1317="","",ROW()-3)</f>
        <v/>
      </c>
      <c r="B1317" s="27" t="n"/>
      <c r="C1317" s="27" t="n"/>
      <c r="D1317" s="28" t="n"/>
      <c r="E1317" s="29" t="n"/>
      <c r="F1317" s="30" t="n"/>
      <c r="G1317" s="31" t="n"/>
      <c r="H1317" s="31" t="n"/>
      <c r="I1317" s="31" t="n"/>
      <c r="J1317" s="31" t="n"/>
      <c r="K1317" s="31" t="n"/>
      <c r="L1317" s="31" t="n"/>
      <c r="M1317" s="31" t="n"/>
      <c r="N1317" s="31" t="n"/>
      <c r="O1317" s="31" t="n"/>
      <c r="P1317" s="31" t="n"/>
      <c r="Q1317" s="31" t="n"/>
      <c r="R1317" s="31" t="n"/>
      <c r="S1317" s="32">
        <f>IF($F1317="","",IF(IFERROR(VLOOKUP($F1317,'维度字典'!$I$2:$J$50,2,0),"求和")="手工录入","",IF(IFERROR(VLOOKUP($F1317,'维度字典'!$I$2:$J$50,2,0),"求和")="最新值",IFERROR(LOOKUP(9.99E+307,G1317:R1317),""),SUM(G1317:R1317))))</f>
        <v/>
      </c>
      <c r="T1317" s="33" t="n"/>
      <c r="U1317" s="33" t="n"/>
    </row>
    <row r="1318">
      <c r="A1318" s="26">
        <f>IF($B1318="","",ROW()-3)</f>
        <v/>
      </c>
      <c r="B1318" s="27" t="n"/>
      <c r="C1318" s="27" t="n"/>
      <c r="D1318" s="28" t="n"/>
      <c r="E1318" s="29" t="n"/>
      <c r="F1318" s="30" t="n"/>
      <c r="G1318" s="31" t="n"/>
      <c r="H1318" s="31" t="n"/>
      <c r="I1318" s="31" t="n"/>
      <c r="J1318" s="31" t="n"/>
      <c r="K1318" s="31" t="n"/>
      <c r="L1318" s="31" t="n"/>
      <c r="M1318" s="31" t="n"/>
      <c r="N1318" s="31" t="n"/>
      <c r="O1318" s="31" t="n"/>
      <c r="P1318" s="31" t="n"/>
      <c r="Q1318" s="31" t="n"/>
      <c r="R1318" s="31" t="n"/>
      <c r="S1318" s="32">
        <f>IF($F1318="","",IF(IFERROR(VLOOKUP($F1318,'维度字典'!$I$2:$J$50,2,0),"求和")="手工录入","",IF(IFERROR(VLOOKUP($F1318,'维度字典'!$I$2:$J$50,2,0),"求和")="最新值",IFERROR(LOOKUP(9.99E+307,G1318:R1318),""),SUM(G1318:R1318))))</f>
        <v/>
      </c>
      <c r="T1318" s="33" t="n"/>
      <c r="U1318" s="33" t="n"/>
    </row>
    <row r="1319">
      <c r="A1319" s="26">
        <f>IF($B1319="","",ROW()-3)</f>
        <v/>
      </c>
      <c r="B1319" s="27" t="n"/>
      <c r="C1319" s="27" t="n"/>
      <c r="D1319" s="28" t="n"/>
      <c r="E1319" s="29" t="n"/>
      <c r="F1319" s="30" t="n"/>
      <c r="G1319" s="31" t="n"/>
      <c r="H1319" s="31" t="n"/>
      <c r="I1319" s="31" t="n"/>
      <c r="J1319" s="31" t="n"/>
      <c r="K1319" s="31" t="n"/>
      <c r="L1319" s="31" t="n"/>
      <c r="M1319" s="31" t="n"/>
      <c r="N1319" s="31" t="n"/>
      <c r="O1319" s="31" t="n"/>
      <c r="P1319" s="31" t="n"/>
      <c r="Q1319" s="31" t="n"/>
      <c r="R1319" s="31" t="n"/>
      <c r="S1319" s="32">
        <f>IF($F1319="","",IF(IFERROR(VLOOKUP($F1319,'维度字典'!$I$2:$J$50,2,0),"求和")="手工录入","",IF(IFERROR(VLOOKUP($F1319,'维度字典'!$I$2:$J$50,2,0),"求和")="最新值",IFERROR(LOOKUP(9.99E+307,G1319:R1319),""),SUM(G1319:R1319))))</f>
        <v/>
      </c>
      <c r="T1319" s="33" t="n"/>
      <c r="U1319" s="33" t="n"/>
    </row>
    <row r="1320">
      <c r="A1320" s="26">
        <f>IF($B1320="","",ROW()-3)</f>
        <v/>
      </c>
      <c r="B1320" s="27" t="n"/>
      <c r="C1320" s="27" t="n"/>
      <c r="D1320" s="28" t="n"/>
      <c r="E1320" s="29" t="n"/>
      <c r="F1320" s="30" t="n"/>
      <c r="G1320" s="31" t="n"/>
      <c r="H1320" s="31" t="n"/>
      <c r="I1320" s="31" t="n"/>
      <c r="J1320" s="31" t="n"/>
      <c r="K1320" s="31" t="n"/>
      <c r="L1320" s="31" t="n"/>
      <c r="M1320" s="31" t="n"/>
      <c r="N1320" s="31" t="n"/>
      <c r="O1320" s="31" t="n"/>
      <c r="P1320" s="31" t="n"/>
      <c r="Q1320" s="31" t="n"/>
      <c r="R1320" s="31" t="n"/>
      <c r="S1320" s="32">
        <f>IF($F1320="","",IF(IFERROR(VLOOKUP($F1320,'维度字典'!$I$2:$J$50,2,0),"求和")="手工录入","",IF(IFERROR(VLOOKUP($F1320,'维度字典'!$I$2:$J$50,2,0),"求和")="最新值",IFERROR(LOOKUP(9.99E+307,G1320:R1320),""),SUM(G1320:R1320))))</f>
        <v/>
      </c>
      <c r="T1320" s="33" t="n"/>
      <c r="U1320" s="33" t="n"/>
    </row>
    <row r="1321">
      <c r="A1321" s="26">
        <f>IF($B1321="","",ROW()-3)</f>
        <v/>
      </c>
      <c r="B1321" s="27" t="n"/>
      <c r="C1321" s="27" t="n"/>
      <c r="D1321" s="28" t="n"/>
      <c r="E1321" s="29" t="n"/>
      <c r="F1321" s="30" t="n"/>
      <c r="G1321" s="31" t="n"/>
      <c r="H1321" s="31" t="n"/>
      <c r="I1321" s="31" t="n"/>
      <c r="J1321" s="31" t="n"/>
      <c r="K1321" s="31" t="n"/>
      <c r="L1321" s="31" t="n"/>
      <c r="M1321" s="31" t="n"/>
      <c r="N1321" s="31" t="n"/>
      <c r="O1321" s="31" t="n"/>
      <c r="P1321" s="31" t="n"/>
      <c r="Q1321" s="31" t="n"/>
      <c r="R1321" s="31" t="n"/>
      <c r="S1321" s="32">
        <f>IF($F1321="","",IF(IFERROR(VLOOKUP($F1321,'维度字典'!$I$2:$J$50,2,0),"求和")="手工录入","",IF(IFERROR(VLOOKUP($F1321,'维度字典'!$I$2:$J$50,2,0),"求和")="最新值",IFERROR(LOOKUP(9.99E+307,G1321:R1321),""),SUM(G1321:R1321))))</f>
        <v/>
      </c>
      <c r="T1321" s="33" t="n"/>
      <c r="U1321" s="33" t="n"/>
    </row>
    <row r="1322">
      <c r="A1322" s="26">
        <f>IF($B1322="","",ROW()-3)</f>
        <v/>
      </c>
      <c r="B1322" s="27" t="n"/>
      <c r="C1322" s="27" t="n"/>
      <c r="D1322" s="28" t="n"/>
      <c r="E1322" s="29" t="n"/>
      <c r="F1322" s="30" t="n"/>
      <c r="G1322" s="31" t="n"/>
      <c r="H1322" s="31" t="n"/>
      <c r="I1322" s="31" t="n"/>
      <c r="J1322" s="31" t="n"/>
      <c r="K1322" s="31" t="n"/>
      <c r="L1322" s="31" t="n"/>
      <c r="M1322" s="31" t="n"/>
      <c r="N1322" s="31" t="n"/>
      <c r="O1322" s="31" t="n"/>
      <c r="P1322" s="31" t="n"/>
      <c r="Q1322" s="31" t="n"/>
      <c r="R1322" s="31" t="n"/>
      <c r="S1322" s="32">
        <f>IF($F1322="","",IF(IFERROR(VLOOKUP($F1322,'维度字典'!$I$2:$J$50,2,0),"求和")="手工录入","",IF(IFERROR(VLOOKUP($F1322,'维度字典'!$I$2:$J$50,2,0),"求和")="最新值",IFERROR(LOOKUP(9.99E+307,G1322:R1322),""),SUM(G1322:R1322))))</f>
        <v/>
      </c>
      <c r="T1322" s="33" t="n"/>
      <c r="U1322" s="33" t="n"/>
    </row>
    <row r="1323">
      <c r="A1323" s="26">
        <f>IF($B1323="","",ROW()-3)</f>
        <v/>
      </c>
      <c r="B1323" s="27" t="n"/>
      <c r="C1323" s="27" t="n"/>
      <c r="D1323" s="28" t="n"/>
      <c r="E1323" s="29" t="n"/>
      <c r="F1323" s="30" t="n"/>
      <c r="G1323" s="31" t="n"/>
      <c r="H1323" s="31" t="n"/>
      <c r="I1323" s="31" t="n"/>
      <c r="J1323" s="31" t="n"/>
      <c r="K1323" s="31" t="n"/>
      <c r="L1323" s="31" t="n"/>
      <c r="M1323" s="31" t="n"/>
      <c r="N1323" s="31" t="n"/>
      <c r="O1323" s="31" t="n"/>
      <c r="P1323" s="31" t="n"/>
      <c r="Q1323" s="31" t="n"/>
      <c r="R1323" s="31" t="n"/>
      <c r="S1323" s="32">
        <f>IF($F1323="","",IF(IFERROR(VLOOKUP($F1323,'维度字典'!$I$2:$J$50,2,0),"求和")="手工录入","",IF(IFERROR(VLOOKUP($F1323,'维度字典'!$I$2:$J$50,2,0),"求和")="最新值",IFERROR(LOOKUP(9.99E+307,G1323:R1323),""),SUM(G1323:R1323))))</f>
        <v/>
      </c>
      <c r="T1323" s="33" t="n"/>
      <c r="U1323" s="33" t="n"/>
    </row>
    <row r="1324">
      <c r="A1324" s="26">
        <f>IF($B1324="","",ROW()-3)</f>
        <v/>
      </c>
      <c r="B1324" s="27" t="n"/>
      <c r="C1324" s="27" t="n"/>
      <c r="D1324" s="28" t="n"/>
      <c r="E1324" s="29" t="n"/>
      <c r="F1324" s="30" t="n"/>
      <c r="G1324" s="31" t="n"/>
      <c r="H1324" s="31" t="n"/>
      <c r="I1324" s="31" t="n"/>
      <c r="J1324" s="31" t="n"/>
      <c r="K1324" s="31" t="n"/>
      <c r="L1324" s="31" t="n"/>
      <c r="M1324" s="31" t="n"/>
      <c r="N1324" s="31" t="n"/>
      <c r="O1324" s="31" t="n"/>
      <c r="P1324" s="31" t="n"/>
      <c r="Q1324" s="31" t="n"/>
      <c r="R1324" s="31" t="n"/>
      <c r="S1324" s="32">
        <f>IF($F1324="","",IF(IFERROR(VLOOKUP($F1324,'维度字典'!$I$2:$J$50,2,0),"求和")="手工录入","",IF(IFERROR(VLOOKUP($F1324,'维度字典'!$I$2:$J$50,2,0),"求和")="最新值",IFERROR(LOOKUP(9.99E+307,G1324:R1324),""),SUM(G1324:R1324))))</f>
        <v/>
      </c>
      <c r="T1324" s="33" t="n"/>
      <c r="U1324" s="33" t="n"/>
    </row>
    <row r="1325">
      <c r="A1325" s="26">
        <f>IF($B1325="","",ROW()-3)</f>
        <v/>
      </c>
      <c r="B1325" s="27" t="n"/>
      <c r="C1325" s="27" t="n"/>
      <c r="D1325" s="28" t="n"/>
      <c r="E1325" s="29" t="n"/>
      <c r="F1325" s="30" t="n"/>
      <c r="G1325" s="31" t="n"/>
      <c r="H1325" s="31" t="n"/>
      <c r="I1325" s="31" t="n"/>
      <c r="J1325" s="31" t="n"/>
      <c r="K1325" s="31" t="n"/>
      <c r="L1325" s="31" t="n"/>
      <c r="M1325" s="31" t="n"/>
      <c r="N1325" s="31" t="n"/>
      <c r="O1325" s="31" t="n"/>
      <c r="P1325" s="31" t="n"/>
      <c r="Q1325" s="31" t="n"/>
      <c r="R1325" s="31" t="n"/>
      <c r="S1325" s="32">
        <f>IF($F1325="","",IF(IFERROR(VLOOKUP($F1325,'维度字典'!$I$2:$J$50,2,0),"求和")="手工录入","",IF(IFERROR(VLOOKUP($F1325,'维度字典'!$I$2:$J$50,2,0),"求和")="最新值",IFERROR(LOOKUP(9.99E+307,G1325:R1325),""),SUM(G1325:R1325))))</f>
        <v/>
      </c>
      <c r="T1325" s="33" t="n"/>
      <c r="U1325" s="33" t="n"/>
    </row>
    <row r="1326">
      <c r="A1326" s="26">
        <f>IF($B1326="","",ROW()-3)</f>
        <v/>
      </c>
      <c r="B1326" s="27" t="n"/>
      <c r="C1326" s="27" t="n"/>
      <c r="D1326" s="28" t="n"/>
      <c r="E1326" s="29" t="n"/>
      <c r="F1326" s="30" t="n"/>
      <c r="G1326" s="31" t="n"/>
      <c r="H1326" s="31" t="n"/>
      <c r="I1326" s="31" t="n"/>
      <c r="J1326" s="31" t="n"/>
      <c r="K1326" s="31" t="n"/>
      <c r="L1326" s="31" t="n"/>
      <c r="M1326" s="31" t="n"/>
      <c r="N1326" s="31" t="n"/>
      <c r="O1326" s="31" t="n"/>
      <c r="P1326" s="31" t="n"/>
      <c r="Q1326" s="31" t="n"/>
      <c r="R1326" s="31" t="n"/>
      <c r="S1326" s="32">
        <f>IF($F1326="","",IF(IFERROR(VLOOKUP($F1326,'维度字典'!$I$2:$J$50,2,0),"求和")="手工录入","",IF(IFERROR(VLOOKUP($F1326,'维度字典'!$I$2:$J$50,2,0),"求和")="最新值",IFERROR(LOOKUP(9.99E+307,G1326:R1326),""),SUM(G1326:R1326))))</f>
        <v/>
      </c>
      <c r="T1326" s="33" t="n"/>
      <c r="U1326" s="33" t="n"/>
    </row>
    <row r="1327">
      <c r="A1327" s="26">
        <f>IF($B1327="","",ROW()-3)</f>
        <v/>
      </c>
      <c r="B1327" s="27" t="n"/>
      <c r="C1327" s="27" t="n"/>
      <c r="D1327" s="28" t="n"/>
      <c r="E1327" s="29" t="n"/>
      <c r="F1327" s="30" t="n"/>
      <c r="G1327" s="31" t="n"/>
      <c r="H1327" s="31" t="n"/>
      <c r="I1327" s="31" t="n"/>
      <c r="J1327" s="31" t="n"/>
      <c r="K1327" s="31" t="n"/>
      <c r="L1327" s="31" t="n"/>
      <c r="M1327" s="31" t="n"/>
      <c r="N1327" s="31" t="n"/>
      <c r="O1327" s="31" t="n"/>
      <c r="P1327" s="31" t="n"/>
      <c r="Q1327" s="31" t="n"/>
      <c r="R1327" s="31" t="n"/>
      <c r="S1327" s="32">
        <f>IF($F1327="","",IF(IFERROR(VLOOKUP($F1327,'维度字典'!$I$2:$J$50,2,0),"求和")="手工录入","",IF(IFERROR(VLOOKUP($F1327,'维度字典'!$I$2:$J$50,2,0),"求和")="最新值",IFERROR(LOOKUP(9.99E+307,G1327:R1327),""),SUM(G1327:R1327))))</f>
        <v/>
      </c>
      <c r="T1327" s="33" t="n"/>
      <c r="U1327" s="33" t="n"/>
    </row>
    <row r="1328">
      <c r="A1328" s="26">
        <f>IF($B1328="","",ROW()-3)</f>
        <v/>
      </c>
      <c r="B1328" s="27" t="n"/>
      <c r="C1328" s="27" t="n"/>
      <c r="D1328" s="28" t="n"/>
      <c r="E1328" s="29" t="n"/>
      <c r="F1328" s="30" t="n"/>
      <c r="G1328" s="31" t="n"/>
      <c r="H1328" s="31" t="n"/>
      <c r="I1328" s="31" t="n"/>
      <c r="J1328" s="31" t="n"/>
      <c r="K1328" s="31" t="n"/>
      <c r="L1328" s="31" t="n"/>
      <c r="M1328" s="31" t="n"/>
      <c r="N1328" s="31" t="n"/>
      <c r="O1328" s="31" t="n"/>
      <c r="P1328" s="31" t="n"/>
      <c r="Q1328" s="31" t="n"/>
      <c r="R1328" s="31" t="n"/>
      <c r="S1328" s="32">
        <f>IF($F1328="","",IF(IFERROR(VLOOKUP($F1328,'维度字典'!$I$2:$J$50,2,0),"求和")="手工录入","",IF(IFERROR(VLOOKUP($F1328,'维度字典'!$I$2:$J$50,2,0),"求和")="最新值",IFERROR(LOOKUP(9.99E+307,G1328:R1328),""),SUM(G1328:R1328))))</f>
        <v/>
      </c>
      <c r="T1328" s="33" t="n"/>
      <c r="U1328" s="33" t="n"/>
    </row>
    <row r="1329">
      <c r="A1329" s="26">
        <f>IF($B1329="","",ROW()-3)</f>
        <v/>
      </c>
      <c r="B1329" s="27" t="n"/>
      <c r="C1329" s="27" t="n"/>
      <c r="D1329" s="28" t="n"/>
      <c r="E1329" s="29" t="n"/>
      <c r="F1329" s="30" t="n"/>
      <c r="G1329" s="31" t="n"/>
      <c r="H1329" s="31" t="n"/>
      <c r="I1329" s="31" t="n"/>
      <c r="J1329" s="31" t="n"/>
      <c r="K1329" s="31" t="n"/>
      <c r="L1329" s="31" t="n"/>
      <c r="M1329" s="31" t="n"/>
      <c r="N1329" s="31" t="n"/>
      <c r="O1329" s="31" t="n"/>
      <c r="P1329" s="31" t="n"/>
      <c r="Q1329" s="31" t="n"/>
      <c r="R1329" s="31" t="n"/>
      <c r="S1329" s="32">
        <f>IF($F1329="","",IF(IFERROR(VLOOKUP($F1329,'维度字典'!$I$2:$J$50,2,0),"求和")="手工录入","",IF(IFERROR(VLOOKUP($F1329,'维度字典'!$I$2:$J$50,2,0),"求和")="最新值",IFERROR(LOOKUP(9.99E+307,G1329:R1329),""),SUM(G1329:R1329))))</f>
        <v/>
      </c>
      <c r="T1329" s="33" t="n"/>
      <c r="U1329" s="33" t="n"/>
    </row>
    <row r="1330">
      <c r="A1330" s="26">
        <f>IF($B1330="","",ROW()-3)</f>
        <v/>
      </c>
      <c r="B1330" s="27" t="n"/>
      <c r="C1330" s="27" t="n"/>
      <c r="D1330" s="28" t="n"/>
      <c r="E1330" s="29" t="n"/>
      <c r="F1330" s="30" t="n"/>
      <c r="G1330" s="31" t="n"/>
      <c r="H1330" s="31" t="n"/>
      <c r="I1330" s="31" t="n"/>
      <c r="J1330" s="31" t="n"/>
      <c r="K1330" s="31" t="n"/>
      <c r="L1330" s="31" t="n"/>
      <c r="M1330" s="31" t="n"/>
      <c r="N1330" s="31" t="n"/>
      <c r="O1330" s="31" t="n"/>
      <c r="P1330" s="31" t="n"/>
      <c r="Q1330" s="31" t="n"/>
      <c r="R1330" s="31" t="n"/>
      <c r="S1330" s="32">
        <f>IF($F1330="","",IF(IFERROR(VLOOKUP($F1330,'维度字典'!$I$2:$J$50,2,0),"求和")="手工录入","",IF(IFERROR(VLOOKUP($F1330,'维度字典'!$I$2:$J$50,2,0),"求和")="最新值",IFERROR(LOOKUP(9.99E+307,G1330:R1330),""),SUM(G1330:R1330))))</f>
        <v/>
      </c>
      <c r="T1330" s="33" t="n"/>
      <c r="U1330" s="33" t="n"/>
    </row>
    <row r="1331">
      <c r="A1331" s="26">
        <f>IF($B1331="","",ROW()-3)</f>
        <v/>
      </c>
      <c r="B1331" s="27" t="n"/>
      <c r="C1331" s="27" t="n"/>
      <c r="D1331" s="28" t="n"/>
      <c r="E1331" s="29" t="n"/>
      <c r="F1331" s="30" t="n"/>
      <c r="G1331" s="31" t="n"/>
      <c r="H1331" s="31" t="n"/>
      <c r="I1331" s="31" t="n"/>
      <c r="J1331" s="31" t="n"/>
      <c r="K1331" s="31" t="n"/>
      <c r="L1331" s="31" t="n"/>
      <c r="M1331" s="31" t="n"/>
      <c r="N1331" s="31" t="n"/>
      <c r="O1331" s="31" t="n"/>
      <c r="P1331" s="31" t="n"/>
      <c r="Q1331" s="31" t="n"/>
      <c r="R1331" s="31" t="n"/>
      <c r="S1331" s="32">
        <f>IF($F1331="","",IF(IFERROR(VLOOKUP($F1331,'维度字典'!$I$2:$J$50,2,0),"求和")="手工录入","",IF(IFERROR(VLOOKUP($F1331,'维度字典'!$I$2:$J$50,2,0),"求和")="最新值",IFERROR(LOOKUP(9.99E+307,G1331:R1331),""),SUM(G1331:R1331))))</f>
        <v/>
      </c>
      <c r="T1331" s="33" t="n"/>
      <c r="U1331" s="33" t="n"/>
    </row>
    <row r="1332">
      <c r="A1332" s="26">
        <f>IF($B1332="","",ROW()-3)</f>
        <v/>
      </c>
      <c r="B1332" s="27" t="n"/>
      <c r="C1332" s="27" t="n"/>
      <c r="D1332" s="28" t="n"/>
      <c r="E1332" s="29" t="n"/>
      <c r="F1332" s="30" t="n"/>
      <c r="G1332" s="31" t="n"/>
      <c r="H1332" s="31" t="n"/>
      <c r="I1332" s="31" t="n"/>
      <c r="J1332" s="31" t="n"/>
      <c r="K1332" s="31" t="n"/>
      <c r="L1332" s="31" t="n"/>
      <c r="M1332" s="31" t="n"/>
      <c r="N1332" s="31" t="n"/>
      <c r="O1332" s="31" t="n"/>
      <c r="P1332" s="31" t="n"/>
      <c r="Q1332" s="31" t="n"/>
      <c r="R1332" s="31" t="n"/>
      <c r="S1332" s="32">
        <f>IF($F1332="","",IF(IFERROR(VLOOKUP($F1332,'维度字典'!$I$2:$J$50,2,0),"求和")="手工录入","",IF(IFERROR(VLOOKUP($F1332,'维度字典'!$I$2:$J$50,2,0),"求和")="最新值",IFERROR(LOOKUP(9.99E+307,G1332:R1332),""),SUM(G1332:R1332))))</f>
        <v/>
      </c>
      <c r="T1332" s="33" t="n"/>
      <c r="U1332" s="33" t="n"/>
    </row>
    <row r="1333">
      <c r="A1333" s="26">
        <f>IF($B1333="","",ROW()-3)</f>
        <v/>
      </c>
      <c r="B1333" s="27" t="n"/>
      <c r="C1333" s="27" t="n"/>
      <c r="D1333" s="28" t="n"/>
      <c r="E1333" s="29" t="n"/>
      <c r="F1333" s="30" t="n"/>
      <c r="G1333" s="31" t="n"/>
      <c r="H1333" s="31" t="n"/>
      <c r="I1333" s="31" t="n"/>
      <c r="J1333" s="31" t="n"/>
      <c r="K1333" s="31" t="n"/>
      <c r="L1333" s="31" t="n"/>
      <c r="M1333" s="31" t="n"/>
      <c r="N1333" s="31" t="n"/>
      <c r="O1333" s="31" t="n"/>
      <c r="P1333" s="31" t="n"/>
      <c r="Q1333" s="31" t="n"/>
      <c r="R1333" s="31" t="n"/>
      <c r="S1333" s="32">
        <f>IF($F1333="","",IF(IFERROR(VLOOKUP($F1333,'维度字典'!$I$2:$J$50,2,0),"求和")="手工录入","",IF(IFERROR(VLOOKUP($F1333,'维度字典'!$I$2:$J$50,2,0),"求和")="最新值",IFERROR(LOOKUP(9.99E+307,G1333:R1333),""),SUM(G1333:R1333))))</f>
        <v/>
      </c>
      <c r="T1333" s="33" t="n"/>
      <c r="U1333" s="33" t="n"/>
    </row>
    <row r="1334">
      <c r="A1334" s="26">
        <f>IF($B1334="","",ROW()-3)</f>
        <v/>
      </c>
      <c r="B1334" s="27" t="n"/>
      <c r="C1334" s="27" t="n"/>
      <c r="D1334" s="28" t="n"/>
      <c r="E1334" s="29" t="n"/>
      <c r="F1334" s="30" t="n"/>
      <c r="G1334" s="31" t="n"/>
      <c r="H1334" s="31" t="n"/>
      <c r="I1334" s="31" t="n"/>
      <c r="J1334" s="31" t="n"/>
      <c r="K1334" s="31" t="n"/>
      <c r="L1334" s="31" t="n"/>
      <c r="M1334" s="31" t="n"/>
      <c r="N1334" s="31" t="n"/>
      <c r="O1334" s="31" t="n"/>
      <c r="P1334" s="31" t="n"/>
      <c r="Q1334" s="31" t="n"/>
      <c r="R1334" s="31" t="n"/>
      <c r="S1334" s="32">
        <f>IF($F1334="","",IF(IFERROR(VLOOKUP($F1334,'维度字典'!$I$2:$J$50,2,0),"求和")="手工录入","",IF(IFERROR(VLOOKUP($F1334,'维度字典'!$I$2:$J$50,2,0),"求和")="最新值",IFERROR(LOOKUP(9.99E+307,G1334:R1334),""),SUM(G1334:R1334))))</f>
        <v/>
      </c>
      <c r="T1334" s="33" t="n"/>
      <c r="U1334" s="33" t="n"/>
    </row>
    <row r="1335">
      <c r="A1335" s="26">
        <f>IF($B1335="","",ROW()-3)</f>
        <v/>
      </c>
      <c r="B1335" s="27" t="n"/>
      <c r="C1335" s="27" t="n"/>
      <c r="D1335" s="28" t="n"/>
      <c r="E1335" s="29" t="n"/>
      <c r="F1335" s="30" t="n"/>
      <c r="G1335" s="31" t="n"/>
      <c r="H1335" s="31" t="n"/>
      <c r="I1335" s="31" t="n"/>
      <c r="J1335" s="31" t="n"/>
      <c r="K1335" s="31" t="n"/>
      <c r="L1335" s="31" t="n"/>
      <c r="M1335" s="31" t="n"/>
      <c r="N1335" s="31" t="n"/>
      <c r="O1335" s="31" t="n"/>
      <c r="P1335" s="31" t="n"/>
      <c r="Q1335" s="31" t="n"/>
      <c r="R1335" s="31" t="n"/>
      <c r="S1335" s="32">
        <f>IF($F1335="","",IF(IFERROR(VLOOKUP($F1335,'维度字典'!$I$2:$J$50,2,0),"求和")="手工录入","",IF(IFERROR(VLOOKUP($F1335,'维度字典'!$I$2:$J$50,2,0),"求和")="最新值",IFERROR(LOOKUP(9.99E+307,G1335:R1335),""),SUM(G1335:R1335))))</f>
        <v/>
      </c>
      <c r="T1335" s="33" t="n"/>
      <c r="U1335" s="33" t="n"/>
    </row>
    <row r="1336">
      <c r="A1336" s="26">
        <f>IF($B1336="","",ROW()-3)</f>
        <v/>
      </c>
      <c r="B1336" s="27" t="n"/>
      <c r="C1336" s="27" t="n"/>
      <c r="D1336" s="28" t="n"/>
      <c r="E1336" s="29" t="n"/>
      <c r="F1336" s="30" t="n"/>
      <c r="G1336" s="31" t="n"/>
      <c r="H1336" s="31" t="n"/>
      <c r="I1336" s="31" t="n"/>
      <c r="J1336" s="31" t="n"/>
      <c r="K1336" s="31" t="n"/>
      <c r="L1336" s="31" t="n"/>
      <c r="M1336" s="31" t="n"/>
      <c r="N1336" s="31" t="n"/>
      <c r="O1336" s="31" t="n"/>
      <c r="P1336" s="31" t="n"/>
      <c r="Q1336" s="31" t="n"/>
      <c r="R1336" s="31" t="n"/>
      <c r="S1336" s="32">
        <f>IF($F1336="","",IF(IFERROR(VLOOKUP($F1336,'维度字典'!$I$2:$J$50,2,0),"求和")="手工录入","",IF(IFERROR(VLOOKUP($F1336,'维度字典'!$I$2:$J$50,2,0),"求和")="最新值",IFERROR(LOOKUP(9.99E+307,G1336:R1336),""),SUM(G1336:R1336))))</f>
        <v/>
      </c>
      <c r="T1336" s="33" t="n"/>
      <c r="U1336" s="33" t="n"/>
    </row>
    <row r="1337">
      <c r="A1337" s="26">
        <f>IF($B1337="","",ROW()-3)</f>
        <v/>
      </c>
      <c r="B1337" s="27" t="n"/>
      <c r="C1337" s="27" t="n"/>
      <c r="D1337" s="28" t="n"/>
      <c r="E1337" s="29" t="n"/>
      <c r="F1337" s="30" t="n"/>
      <c r="G1337" s="31" t="n"/>
      <c r="H1337" s="31" t="n"/>
      <c r="I1337" s="31" t="n"/>
      <c r="J1337" s="31" t="n"/>
      <c r="K1337" s="31" t="n"/>
      <c r="L1337" s="31" t="n"/>
      <c r="M1337" s="31" t="n"/>
      <c r="N1337" s="31" t="n"/>
      <c r="O1337" s="31" t="n"/>
      <c r="P1337" s="31" t="n"/>
      <c r="Q1337" s="31" t="n"/>
      <c r="R1337" s="31" t="n"/>
      <c r="S1337" s="32">
        <f>IF($F1337="","",IF(IFERROR(VLOOKUP($F1337,'维度字典'!$I$2:$J$50,2,0),"求和")="手工录入","",IF(IFERROR(VLOOKUP($F1337,'维度字典'!$I$2:$J$50,2,0),"求和")="最新值",IFERROR(LOOKUP(9.99E+307,G1337:R1337),""),SUM(G1337:R1337))))</f>
        <v/>
      </c>
      <c r="T1337" s="33" t="n"/>
      <c r="U1337" s="33" t="n"/>
    </row>
    <row r="1338">
      <c r="A1338" s="26">
        <f>IF($B1338="","",ROW()-3)</f>
        <v/>
      </c>
      <c r="B1338" s="27" t="n"/>
      <c r="C1338" s="27" t="n"/>
      <c r="D1338" s="28" t="n"/>
      <c r="E1338" s="29" t="n"/>
      <c r="F1338" s="30" t="n"/>
      <c r="G1338" s="31" t="n"/>
      <c r="H1338" s="31" t="n"/>
      <c r="I1338" s="31" t="n"/>
      <c r="J1338" s="31" t="n"/>
      <c r="K1338" s="31" t="n"/>
      <c r="L1338" s="31" t="n"/>
      <c r="M1338" s="31" t="n"/>
      <c r="N1338" s="31" t="n"/>
      <c r="O1338" s="31" t="n"/>
      <c r="P1338" s="31" t="n"/>
      <c r="Q1338" s="31" t="n"/>
      <c r="R1338" s="31" t="n"/>
      <c r="S1338" s="32">
        <f>IF($F1338="","",IF(IFERROR(VLOOKUP($F1338,'维度字典'!$I$2:$J$50,2,0),"求和")="手工录入","",IF(IFERROR(VLOOKUP($F1338,'维度字典'!$I$2:$J$50,2,0),"求和")="最新值",IFERROR(LOOKUP(9.99E+307,G1338:R1338),""),SUM(G1338:R1338))))</f>
        <v/>
      </c>
      <c r="T1338" s="33" t="n"/>
      <c r="U1338" s="33" t="n"/>
    </row>
    <row r="1339">
      <c r="A1339" s="26">
        <f>IF($B1339="","",ROW()-3)</f>
        <v/>
      </c>
      <c r="B1339" s="27" t="n"/>
      <c r="C1339" s="27" t="n"/>
      <c r="D1339" s="28" t="n"/>
      <c r="E1339" s="29" t="n"/>
      <c r="F1339" s="30" t="n"/>
      <c r="G1339" s="31" t="n"/>
      <c r="H1339" s="31" t="n"/>
      <c r="I1339" s="31" t="n"/>
      <c r="J1339" s="31" t="n"/>
      <c r="K1339" s="31" t="n"/>
      <c r="L1339" s="31" t="n"/>
      <c r="M1339" s="31" t="n"/>
      <c r="N1339" s="31" t="n"/>
      <c r="O1339" s="31" t="n"/>
      <c r="P1339" s="31" t="n"/>
      <c r="Q1339" s="31" t="n"/>
      <c r="R1339" s="31" t="n"/>
      <c r="S1339" s="32">
        <f>IF($F1339="","",IF(IFERROR(VLOOKUP($F1339,'维度字典'!$I$2:$J$50,2,0),"求和")="手工录入","",IF(IFERROR(VLOOKUP($F1339,'维度字典'!$I$2:$J$50,2,0),"求和")="最新值",IFERROR(LOOKUP(9.99E+307,G1339:R1339),""),SUM(G1339:R1339))))</f>
        <v/>
      </c>
      <c r="T1339" s="33" t="n"/>
      <c r="U1339" s="33" t="n"/>
    </row>
    <row r="1340">
      <c r="A1340" s="26">
        <f>IF($B1340="","",ROW()-3)</f>
        <v/>
      </c>
      <c r="B1340" s="27" t="n"/>
      <c r="C1340" s="27" t="n"/>
      <c r="D1340" s="28" t="n"/>
      <c r="E1340" s="29" t="n"/>
      <c r="F1340" s="30" t="n"/>
      <c r="G1340" s="31" t="n"/>
      <c r="H1340" s="31" t="n"/>
      <c r="I1340" s="31" t="n"/>
      <c r="J1340" s="31" t="n"/>
      <c r="K1340" s="31" t="n"/>
      <c r="L1340" s="31" t="n"/>
      <c r="M1340" s="31" t="n"/>
      <c r="N1340" s="31" t="n"/>
      <c r="O1340" s="31" t="n"/>
      <c r="P1340" s="31" t="n"/>
      <c r="Q1340" s="31" t="n"/>
      <c r="R1340" s="31" t="n"/>
      <c r="S1340" s="32">
        <f>IF($F1340="","",IF(IFERROR(VLOOKUP($F1340,'维度字典'!$I$2:$J$50,2,0),"求和")="手工录入","",IF(IFERROR(VLOOKUP($F1340,'维度字典'!$I$2:$J$50,2,0),"求和")="最新值",IFERROR(LOOKUP(9.99E+307,G1340:R1340),""),SUM(G1340:R1340))))</f>
        <v/>
      </c>
      <c r="T1340" s="33" t="n"/>
      <c r="U1340" s="33" t="n"/>
    </row>
    <row r="1341">
      <c r="A1341" s="26">
        <f>IF($B1341="","",ROW()-3)</f>
        <v/>
      </c>
      <c r="B1341" s="27" t="n"/>
      <c r="C1341" s="27" t="n"/>
      <c r="D1341" s="28" t="n"/>
      <c r="E1341" s="29" t="n"/>
      <c r="F1341" s="30" t="n"/>
      <c r="G1341" s="31" t="n"/>
      <c r="H1341" s="31" t="n"/>
      <c r="I1341" s="31" t="n"/>
      <c r="J1341" s="31" t="n"/>
      <c r="K1341" s="31" t="n"/>
      <c r="L1341" s="31" t="n"/>
      <c r="M1341" s="31" t="n"/>
      <c r="N1341" s="31" t="n"/>
      <c r="O1341" s="31" t="n"/>
      <c r="P1341" s="31" t="n"/>
      <c r="Q1341" s="31" t="n"/>
      <c r="R1341" s="31" t="n"/>
      <c r="S1341" s="32">
        <f>IF($F1341="","",IF(IFERROR(VLOOKUP($F1341,'维度字典'!$I$2:$J$50,2,0),"求和")="手工录入","",IF(IFERROR(VLOOKUP($F1341,'维度字典'!$I$2:$J$50,2,0),"求和")="最新值",IFERROR(LOOKUP(9.99E+307,G1341:R1341),""),SUM(G1341:R1341))))</f>
        <v/>
      </c>
      <c r="T1341" s="33" t="n"/>
      <c r="U1341" s="33" t="n"/>
    </row>
    <row r="1342">
      <c r="A1342" s="26">
        <f>IF($B1342="","",ROW()-3)</f>
        <v/>
      </c>
      <c r="B1342" s="27" t="n"/>
      <c r="C1342" s="27" t="n"/>
      <c r="D1342" s="28" t="n"/>
      <c r="E1342" s="29" t="n"/>
      <c r="F1342" s="30" t="n"/>
      <c r="G1342" s="31" t="n"/>
      <c r="H1342" s="31" t="n"/>
      <c r="I1342" s="31" t="n"/>
      <c r="J1342" s="31" t="n"/>
      <c r="K1342" s="31" t="n"/>
      <c r="L1342" s="31" t="n"/>
      <c r="M1342" s="31" t="n"/>
      <c r="N1342" s="31" t="n"/>
      <c r="O1342" s="31" t="n"/>
      <c r="P1342" s="31" t="n"/>
      <c r="Q1342" s="31" t="n"/>
      <c r="R1342" s="31" t="n"/>
      <c r="S1342" s="32">
        <f>IF($F1342="","",IF(IFERROR(VLOOKUP($F1342,'维度字典'!$I$2:$J$50,2,0),"求和")="手工录入","",IF(IFERROR(VLOOKUP($F1342,'维度字典'!$I$2:$J$50,2,0),"求和")="最新值",IFERROR(LOOKUP(9.99E+307,G1342:R1342),""),SUM(G1342:R1342))))</f>
        <v/>
      </c>
      <c r="T1342" s="33" t="n"/>
      <c r="U1342" s="33" t="n"/>
    </row>
    <row r="1343">
      <c r="A1343" s="26">
        <f>IF($B1343="","",ROW()-3)</f>
        <v/>
      </c>
      <c r="B1343" s="27" t="n"/>
      <c r="C1343" s="27" t="n"/>
      <c r="D1343" s="28" t="n"/>
      <c r="E1343" s="29" t="n"/>
      <c r="F1343" s="30" t="n"/>
      <c r="G1343" s="31" t="n"/>
      <c r="H1343" s="31" t="n"/>
      <c r="I1343" s="31" t="n"/>
      <c r="J1343" s="31" t="n"/>
      <c r="K1343" s="31" t="n"/>
      <c r="L1343" s="31" t="n"/>
      <c r="M1343" s="31" t="n"/>
      <c r="N1343" s="31" t="n"/>
      <c r="O1343" s="31" t="n"/>
      <c r="P1343" s="31" t="n"/>
      <c r="Q1343" s="31" t="n"/>
      <c r="R1343" s="31" t="n"/>
      <c r="S1343" s="32">
        <f>IF($F1343="","",IF(IFERROR(VLOOKUP($F1343,'维度字典'!$I$2:$J$50,2,0),"求和")="手工录入","",IF(IFERROR(VLOOKUP($F1343,'维度字典'!$I$2:$J$50,2,0),"求和")="最新值",IFERROR(LOOKUP(9.99E+307,G1343:R1343),""),SUM(G1343:R1343))))</f>
        <v/>
      </c>
      <c r="T1343" s="33" t="n"/>
      <c r="U1343" s="33" t="n"/>
    </row>
    <row r="1344">
      <c r="A1344" s="26">
        <f>IF($B1344="","",ROW()-3)</f>
        <v/>
      </c>
      <c r="B1344" s="27" t="n"/>
      <c r="C1344" s="27" t="n"/>
      <c r="D1344" s="28" t="n"/>
      <c r="E1344" s="29" t="n"/>
      <c r="F1344" s="30" t="n"/>
      <c r="G1344" s="31" t="n"/>
      <c r="H1344" s="31" t="n"/>
      <c r="I1344" s="31" t="n"/>
      <c r="J1344" s="31" t="n"/>
      <c r="K1344" s="31" t="n"/>
      <c r="L1344" s="31" t="n"/>
      <c r="M1344" s="31" t="n"/>
      <c r="N1344" s="31" t="n"/>
      <c r="O1344" s="31" t="n"/>
      <c r="P1344" s="31" t="n"/>
      <c r="Q1344" s="31" t="n"/>
      <c r="R1344" s="31" t="n"/>
      <c r="S1344" s="32">
        <f>IF($F1344="","",IF(IFERROR(VLOOKUP($F1344,'维度字典'!$I$2:$J$50,2,0),"求和")="手工录入","",IF(IFERROR(VLOOKUP($F1344,'维度字典'!$I$2:$J$50,2,0),"求和")="最新值",IFERROR(LOOKUP(9.99E+307,G1344:R1344),""),SUM(G1344:R1344))))</f>
        <v/>
      </c>
      <c r="T1344" s="33" t="n"/>
      <c r="U1344" s="33" t="n"/>
    </row>
    <row r="1345">
      <c r="A1345" s="26">
        <f>IF($B1345="","",ROW()-3)</f>
        <v/>
      </c>
      <c r="B1345" s="27" t="n"/>
      <c r="C1345" s="27" t="n"/>
      <c r="D1345" s="28" t="n"/>
      <c r="E1345" s="29" t="n"/>
      <c r="F1345" s="30" t="n"/>
      <c r="G1345" s="31" t="n"/>
      <c r="H1345" s="31" t="n"/>
      <c r="I1345" s="31" t="n"/>
      <c r="J1345" s="31" t="n"/>
      <c r="K1345" s="31" t="n"/>
      <c r="L1345" s="31" t="n"/>
      <c r="M1345" s="31" t="n"/>
      <c r="N1345" s="31" t="n"/>
      <c r="O1345" s="31" t="n"/>
      <c r="P1345" s="31" t="n"/>
      <c r="Q1345" s="31" t="n"/>
      <c r="R1345" s="31" t="n"/>
      <c r="S1345" s="32">
        <f>IF($F1345="","",IF(IFERROR(VLOOKUP($F1345,'维度字典'!$I$2:$J$50,2,0),"求和")="手工录入","",IF(IFERROR(VLOOKUP($F1345,'维度字典'!$I$2:$J$50,2,0),"求和")="最新值",IFERROR(LOOKUP(9.99E+307,G1345:R1345),""),SUM(G1345:R1345))))</f>
        <v/>
      </c>
      <c r="T1345" s="33" t="n"/>
      <c r="U1345" s="33" t="n"/>
    </row>
    <row r="1346">
      <c r="A1346" s="26">
        <f>IF($B1346="","",ROW()-3)</f>
        <v/>
      </c>
      <c r="B1346" s="27" t="n"/>
      <c r="C1346" s="27" t="n"/>
      <c r="D1346" s="28" t="n"/>
      <c r="E1346" s="29" t="n"/>
      <c r="F1346" s="30" t="n"/>
      <c r="G1346" s="31" t="n"/>
      <c r="H1346" s="31" t="n"/>
      <c r="I1346" s="31" t="n"/>
      <c r="J1346" s="31" t="n"/>
      <c r="K1346" s="31" t="n"/>
      <c r="L1346" s="31" t="n"/>
      <c r="M1346" s="31" t="n"/>
      <c r="N1346" s="31" t="n"/>
      <c r="O1346" s="31" t="n"/>
      <c r="P1346" s="31" t="n"/>
      <c r="Q1346" s="31" t="n"/>
      <c r="R1346" s="31" t="n"/>
      <c r="S1346" s="32">
        <f>IF($F1346="","",IF(IFERROR(VLOOKUP($F1346,'维度字典'!$I$2:$J$50,2,0),"求和")="手工录入","",IF(IFERROR(VLOOKUP($F1346,'维度字典'!$I$2:$J$50,2,0),"求和")="最新值",IFERROR(LOOKUP(9.99E+307,G1346:R1346),""),SUM(G1346:R1346))))</f>
        <v/>
      </c>
      <c r="T1346" s="33" t="n"/>
      <c r="U1346" s="33" t="n"/>
    </row>
    <row r="1347">
      <c r="A1347" s="26">
        <f>IF($B1347="","",ROW()-3)</f>
        <v/>
      </c>
      <c r="B1347" s="27" t="n"/>
      <c r="C1347" s="27" t="n"/>
      <c r="D1347" s="28" t="n"/>
      <c r="E1347" s="29" t="n"/>
      <c r="F1347" s="30" t="n"/>
      <c r="G1347" s="31" t="n"/>
      <c r="H1347" s="31" t="n"/>
      <c r="I1347" s="31" t="n"/>
      <c r="J1347" s="31" t="n"/>
      <c r="K1347" s="31" t="n"/>
      <c r="L1347" s="31" t="n"/>
      <c r="M1347" s="31" t="n"/>
      <c r="N1347" s="31" t="n"/>
      <c r="O1347" s="31" t="n"/>
      <c r="P1347" s="31" t="n"/>
      <c r="Q1347" s="31" t="n"/>
      <c r="R1347" s="31" t="n"/>
      <c r="S1347" s="32">
        <f>IF($F1347="","",IF(IFERROR(VLOOKUP($F1347,'维度字典'!$I$2:$J$50,2,0),"求和")="手工录入","",IF(IFERROR(VLOOKUP($F1347,'维度字典'!$I$2:$J$50,2,0),"求和")="最新值",IFERROR(LOOKUP(9.99E+307,G1347:R1347),""),SUM(G1347:R1347))))</f>
        <v/>
      </c>
      <c r="T1347" s="33" t="n"/>
      <c r="U1347" s="33" t="n"/>
    </row>
    <row r="1348">
      <c r="A1348" s="26">
        <f>IF($B1348="","",ROW()-3)</f>
        <v/>
      </c>
      <c r="B1348" s="27" t="n"/>
      <c r="C1348" s="27" t="n"/>
      <c r="D1348" s="28" t="n"/>
      <c r="E1348" s="29" t="n"/>
      <c r="F1348" s="30" t="n"/>
      <c r="G1348" s="31" t="n"/>
      <c r="H1348" s="31" t="n"/>
      <c r="I1348" s="31" t="n"/>
      <c r="J1348" s="31" t="n"/>
      <c r="K1348" s="31" t="n"/>
      <c r="L1348" s="31" t="n"/>
      <c r="M1348" s="31" t="n"/>
      <c r="N1348" s="31" t="n"/>
      <c r="O1348" s="31" t="n"/>
      <c r="P1348" s="31" t="n"/>
      <c r="Q1348" s="31" t="n"/>
      <c r="R1348" s="31" t="n"/>
      <c r="S1348" s="32">
        <f>IF($F1348="","",IF(IFERROR(VLOOKUP($F1348,'维度字典'!$I$2:$J$50,2,0),"求和")="手工录入","",IF(IFERROR(VLOOKUP($F1348,'维度字典'!$I$2:$J$50,2,0),"求和")="最新值",IFERROR(LOOKUP(9.99E+307,G1348:R1348),""),SUM(G1348:R1348))))</f>
        <v/>
      </c>
      <c r="T1348" s="33" t="n"/>
      <c r="U1348" s="33" t="n"/>
    </row>
    <row r="1349">
      <c r="A1349" s="26">
        <f>IF($B1349="","",ROW()-3)</f>
        <v/>
      </c>
      <c r="B1349" s="27" t="n"/>
      <c r="C1349" s="27" t="n"/>
      <c r="D1349" s="28" t="n"/>
      <c r="E1349" s="29" t="n"/>
      <c r="F1349" s="30" t="n"/>
      <c r="G1349" s="31" t="n"/>
      <c r="H1349" s="31" t="n"/>
      <c r="I1349" s="31" t="n"/>
      <c r="J1349" s="31" t="n"/>
      <c r="K1349" s="31" t="n"/>
      <c r="L1349" s="31" t="n"/>
      <c r="M1349" s="31" t="n"/>
      <c r="N1349" s="31" t="n"/>
      <c r="O1349" s="31" t="n"/>
      <c r="P1349" s="31" t="n"/>
      <c r="Q1349" s="31" t="n"/>
      <c r="R1349" s="31" t="n"/>
      <c r="S1349" s="32">
        <f>IF($F1349="","",IF(IFERROR(VLOOKUP($F1349,'维度字典'!$I$2:$J$50,2,0),"求和")="手工录入","",IF(IFERROR(VLOOKUP($F1349,'维度字典'!$I$2:$J$50,2,0),"求和")="最新值",IFERROR(LOOKUP(9.99E+307,G1349:R1349),""),SUM(G1349:R1349))))</f>
        <v/>
      </c>
      <c r="T1349" s="33" t="n"/>
      <c r="U1349" s="33" t="n"/>
    </row>
    <row r="1350">
      <c r="A1350" s="26">
        <f>IF($B1350="","",ROW()-3)</f>
        <v/>
      </c>
      <c r="B1350" s="27" t="n"/>
      <c r="C1350" s="27" t="n"/>
      <c r="D1350" s="28" t="n"/>
      <c r="E1350" s="29" t="n"/>
      <c r="F1350" s="30" t="n"/>
      <c r="G1350" s="31" t="n"/>
      <c r="H1350" s="31" t="n"/>
      <c r="I1350" s="31" t="n"/>
      <c r="J1350" s="31" t="n"/>
      <c r="K1350" s="31" t="n"/>
      <c r="L1350" s="31" t="n"/>
      <c r="M1350" s="31" t="n"/>
      <c r="N1350" s="31" t="n"/>
      <c r="O1350" s="31" t="n"/>
      <c r="P1350" s="31" t="n"/>
      <c r="Q1350" s="31" t="n"/>
      <c r="R1350" s="31" t="n"/>
      <c r="S1350" s="32">
        <f>IF($F1350="","",IF(IFERROR(VLOOKUP($F1350,'维度字典'!$I$2:$J$50,2,0),"求和")="手工录入","",IF(IFERROR(VLOOKUP($F1350,'维度字典'!$I$2:$J$50,2,0),"求和")="最新值",IFERROR(LOOKUP(9.99E+307,G1350:R1350),""),SUM(G1350:R1350))))</f>
        <v/>
      </c>
      <c r="T1350" s="33" t="n"/>
      <c r="U1350" s="33" t="n"/>
    </row>
    <row r="1351">
      <c r="A1351" s="26">
        <f>IF($B1351="","",ROW()-3)</f>
        <v/>
      </c>
      <c r="B1351" s="27" t="n"/>
      <c r="C1351" s="27" t="n"/>
      <c r="D1351" s="28" t="n"/>
      <c r="E1351" s="29" t="n"/>
      <c r="F1351" s="30" t="n"/>
      <c r="G1351" s="31" t="n"/>
      <c r="H1351" s="31" t="n"/>
      <c r="I1351" s="31" t="n"/>
      <c r="J1351" s="31" t="n"/>
      <c r="K1351" s="31" t="n"/>
      <c r="L1351" s="31" t="n"/>
      <c r="M1351" s="31" t="n"/>
      <c r="N1351" s="31" t="n"/>
      <c r="O1351" s="31" t="n"/>
      <c r="P1351" s="31" t="n"/>
      <c r="Q1351" s="31" t="n"/>
      <c r="R1351" s="31" t="n"/>
      <c r="S1351" s="32">
        <f>IF($F1351="","",IF(IFERROR(VLOOKUP($F1351,'维度字典'!$I$2:$J$50,2,0),"求和")="手工录入","",IF(IFERROR(VLOOKUP($F1351,'维度字典'!$I$2:$J$50,2,0),"求和")="最新值",IFERROR(LOOKUP(9.99E+307,G1351:R1351),""),SUM(G1351:R1351))))</f>
        <v/>
      </c>
      <c r="T1351" s="33" t="n"/>
      <c r="U1351" s="33" t="n"/>
    </row>
    <row r="1352">
      <c r="A1352" s="26">
        <f>IF($B1352="","",ROW()-3)</f>
        <v/>
      </c>
      <c r="B1352" s="27" t="n"/>
      <c r="C1352" s="27" t="n"/>
      <c r="D1352" s="28" t="n"/>
      <c r="E1352" s="29" t="n"/>
      <c r="F1352" s="30" t="n"/>
      <c r="G1352" s="31" t="n"/>
      <c r="H1352" s="31" t="n"/>
      <c r="I1352" s="31" t="n"/>
      <c r="J1352" s="31" t="n"/>
      <c r="K1352" s="31" t="n"/>
      <c r="L1352" s="31" t="n"/>
      <c r="M1352" s="31" t="n"/>
      <c r="N1352" s="31" t="n"/>
      <c r="O1352" s="31" t="n"/>
      <c r="P1352" s="31" t="n"/>
      <c r="Q1352" s="31" t="n"/>
      <c r="R1352" s="31" t="n"/>
      <c r="S1352" s="32">
        <f>IF($F1352="","",IF(IFERROR(VLOOKUP($F1352,'维度字典'!$I$2:$J$50,2,0),"求和")="手工录入","",IF(IFERROR(VLOOKUP($F1352,'维度字典'!$I$2:$J$50,2,0),"求和")="最新值",IFERROR(LOOKUP(9.99E+307,G1352:R1352),""),SUM(G1352:R1352))))</f>
        <v/>
      </c>
      <c r="T1352" s="33" t="n"/>
      <c r="U1352" s="33" t="n"/>
    </row>
    <row r="1353">
      <c r="A1353" s="26">
        <f>IF($B1353="","",ROW()-3)</f>
        <v/>
      </c>
      <c r="B1353" s="27" t="n"/>
      <c r="C1353" s="27" t="n"/>
      <c r="D1353" s="28" t="n"/>
      <c r="E1353" s="29" t="n"/>
      <c r="F1353" s="30" t="n"/>
      <c r="G1353" s="31" t="n"/>
      <c r="H1353" s="31" t="n"/>
      <c r="I1353" s="31" t="n"/>
      <c r="J1353" s="31" t="n"/>
      <c r="K1353" s="31" t="n"/>
      <c r="L1353" s="31" t="n"/>
      <c r="M1353" s="31" t="n"/>
      <c r="N1353" s="31" t="n"/>
      <c r="O1353" s="31" t="n"/>
      <c r="P1353" s="31" t="n"/>
      <c r="Q1353" s="31" t="n"/>
      <c r="R1353" s="31" t="n"/>
      <c r="S1353" s="32">
        <f>IF($F1353="","",IF(IFERROR(VLOOKUP($F1353,'维度字典'!$I$2:$J$50,2,0),"求和")="手工录入","",IF(IFERROR(VLOOKUP($F1353,'维度字典'!$I$2:$J$50,2,0),"求和")="最新值",IFERROR(LOOKUP(9.99E+307,G1353:R1353),""),SUM(G1353:R1353))))</f>
        <v/>
      </c>
      <c r="T1353" s="33" t="n"/>
      <c r="U1353" s="33" t="n"/>
    </row>
    <row r="1354">
      <c r="A1354" s="26">
        <f>IF($B1354="","",ROW()-3)</f>
        <v/>
      </c>
      <c r="B1354" s="27" t="n"/>
      <c r="C1354" s="27" t="n"/>
      <c r="D1354" s="28" t="n"/>
      <c r="E1354" s="29" t="n"/>
      <c r="F1354" s="30" t="n"/>
      <c r="G1354" s="31" t="n"/>
      <c r="H1354" s="31" t="n"/>
      <c r="I1354" s="31" t="n"/>
      <c r="J1354" s="31" t="n"/>
      <c r="K1354" s="31" t="n"/>
      <c r="L1354" s="31" t="n"/>
      <c r="M1354" s="31" t="n"/>
      <c r="N1354" s="31" t="n"/>
      <c r="O1354" s="31" t="n"/>
      <c r="P1354" s="31" t="n"/>
      <c r="Q1354" s="31" t="n"/>
      <c r="R1354" s="31" t="n"/>
      <c r="S1354" s="32">
        <f>IF($F1354="","",IF(IFERROR(VLOOKUP($F1354,'维度字典'!$I$2:$J$50,2,0),"求和")="手工录入","",IF(IFERROR(VLOOKUP($F1354,'维度字典'!$I$2:$J$50,2,0),"求和")="最新值",IFERROR(LOOKUP(9.99E+307,G1354:R1354),""),SUM(G1354:R1354))))</f>
        <v/>
      </c>
      <c r="T1354" s="33" t="n"/>
      <c r="U1354" s="33" t="n"/>
    </row>
    <row r="1355">
      <c r="A1355" s="26">
        <f>IF($B1355="","",ROW()-3)</f>
        <v/>
      </c>
      <c r="B1355" s="27" t="n"/>
      <c r="C1355" s="27" t="n"/>
      <c r="D1355" s="28" t="n"/>
      <c r="E1355" s="29" t="n"/>
      <c r="F1355" s="30" t="n"/>
      <c r="G1355" s="31" t="n"/>
      <c r="H1355" s="31" t="n"/>
      <c r="I1355" s="31" t="n"/>
      <c r="J1355" s="31" t="n"/>
      <c r="K1355" s="31" t="n"/>
      <c r="L1355" s="31" t="n"/>
      <c r="M1355" s="31" t="n"/>
      <c r="N1355" s="31" t="n"/>
      <c r="O1355" s="31" t="n"/>
      <c r="P1355" s="31" t="n"/>
      <c r="Q1355" s="31" t="n"/>
      <c r="R1355" s="31" t="n"/>
      <c r="S1355" s="32">
        <f>IF($F1355="","",IF(IFERROR(VLOOKUP($F1355,'维度字典'!$I$2:$J$50,2,0),"求和")="手工录入","",IF(IFERROR(VLOOKUP($F1355,'维度字典'!$I$2:$J$50,2,0),"求和")="最新值",IFERROR(LOOKUP(9.99E+307,G1355:R1355),""),SUM(G1355:R1355))))</f>
        <v/>
      </c>
      <c r="T1355" s="33" t="n"/>
      <c r="U1355" s="33" t="n"/>
    </row>
    <row r="1356">
      <c r="A1356" s="26">
        <f>IF($B1356="","",ROW()-3)</f>
        <v/>
      </c>
      <c r="B1356" s="27" t="n"/>
      <c r="C1356" s="27" t="n"/>
      <c r="D1356" s="28" t="n"/>
      <c r="E1356" s="29" t="n"/>
      <c r="F1356" s="30" t="n"/>
      <c r="G1356" s="31" t="n"/>
      <c r="H1356" s="31" t="n"/>
      <c r="I1356" s="31" t="n"/>
      <c r="J1356" s="31" t="n"/>
      <c r="K1356" s="31" t="n"/>
      <c r="L1356" s="31" t="n"/>
      <c r="M1356" s="31" t="n"/>
      <c r="N1356" s="31" t="n"/>
      <c r="O1356" s="31" t="n"/>
      <c r="P1356" s="31" t="n"/>
      <c r="Q1356" s="31" t="n"/>
      <c r="R1356" s="31" t="n"/>
      <c r="S1356" s="32">
        <f>IF($F1356="","",IF(IFERROR(VLOOKUP($F1356,'维度字典'!$I$2:$J$50,2,0),"求和")="手工录入","",IF(IFERROR(VLOOKUP($F1356,'维度字典'!$I$2:$J$50,2,0),"求和")="最新值",IFERROR(LOOKUP(9.99E+307,G1356:R1356),""),SUM(G1356:R1356))))</f>
        <v/>
      </c>
      <c r="T1356" s="33" t="n"/>
      <c r="U1356" s="33" t="n"/>
    </row>
    <row r="1357">
      <c r="A1357" s="26">
        <f>IF($B1357="","",ROW()-3)</f>
        <v/>
      </c>
      <c r="B1357" s="27" t="n"/>
      <c r="C1357" s="27" t="n"/>
      <c r="D1357" s="28" t="n"/>
      <c r="E1357" s="29" t="n"/>
      <c r="F1357" s="30" t="n"/>
      <c r="G1357" s="31" t="n"/>
      <c r="H1357" s="31" t="n"/>
      <c r="I1357" s="31" t="n"/>
      <c r="J1357" s="31" t="n"/>
      <c r="K1357" s="31" t="n"/>
      <c r="L1357" s="31" t="n"/>
      <c r="M1357" s="31" t="n"/>
      <c r="N1357" s="31" t="n"/>
      <c r="O1357" s="31" t="n"/>
      <c r="P1357" s="31" t="n"/>
      <c r="Q1357" s="31" t="n"/>
      <c r="R1357" s="31" t="n"/>
      <c r="S1357" s="32">
        <f>IF($F1357="","",IF(IFERROR(VLOOKUP($F1357,'维度字典'!$I$2:$J$50,2,0),"求和")="手工录入","",IF(IFERROR(VLOOKUP($F1357,'维度字典'!$I$2:$J$50,2,0),"求和")="最新值",IFERROR(LOOKUP(9.99E+307,G1357:R1357),""),SUM(G1357:R1357))))</f>
        <v/>
      </c>
      <c r="T1357" s="33" t="n"/>
      <c r="U1357" s="33" t="n"/>
    </row>
    <row r="1358">
      <c r="A1358" s="26">
        <f>IF($B1358="","",ROW()-3)</f>
        <v/>
      </c>
      <c r="B1358" s="27" t="n"/>
      <c r="C1358" s="27" t="n"/>
      <c r="D1358" s="28" t="n"/>
      <c r="E1358" s="29" t="n"/>
      <c r="F1358" s="30" t="n"/>
      <c r="G1358" s="31" t="n"/>
      <c r="H1358" s="31" t="n"/>
      <c r="I1358" s="31" t="n"/>
      <c r="J1358" s="31" t="n"/>
      <c r="K1358" s="31" t="n"/>
      <c r="L1358" s="31" t="n"/>
      <c r="M1358" s="31" t="n"/>
      <c r="N1358" s="31" t="n"/>
      <c r="O1358" s="31" t="n"/>
      <c r="P1358" s="31" t="n"/>
      <c r="Q1358" s="31" t="n"/>
      <c r="R1358" s="31" t="n"/>
      <c r="S1358" s="32">
        <f>IF($F1358="","",IF(IFERROR(VLOOKUP($F1358,'维度字典'!$I$2:$J$50,2,0),"求和")="手工录入","",IF(IFERROR(VLOOKUP($F1358,'维度字典'!$I$2:$J$50,2,0),"求和")="最新值",IFERROR(LOOKUP(9.99E+307,G1358:R1358),""),SUM(G1358:R1358))))</f>
        <v/>
      </c>
      <c r="T1358" s="33" t="n"/>
      <c r="U1358" s="33" t="n"/>
    </row>
    <row r="1359">
      <c r="A1359" s="26">
        <f>IF($B1359="","",ROW()-3)</f>
        <v/>
      </c>
      <c r="B1359" s="27" t="n"/>
      <c r="C1359" s="27" t="n"/>
      <c r="D1359" s="28" t="n"/>
      <c r="E1359" s="29" t="n"/>
      <c r="F1359" s="30" t="n"/>
      <c r="G1359" s="31" t="n"/>
      <c r="H1359" s="31" t="n"/>
      <c r="I1359" s="31" t="n"/>
      <c r="J1359" s="31" t="n"/>
      <c r="K1359" s="31" t="n"/>
      <c r="L1359" s="31" t="n"/>
      <c r="M1359" s="31" t="n"/>
      <c r="N1359" s="31" t="n"/>
      <c r="O1359" s="31" t="n"/>
      <c r="P1359" s="31" t="n"/>
      <c r="Q1359" s="31" t="n"/>
      <c r="R1359" s="31" t="n"/>
      <c r="S1359" s="32">
        <f>IF($F1359="","",IF(IFERROR(VLOOKUP($F1359,'维度字典'!$I$2:$J$50,2,0),"求和")="手工录入","",IF(IFERROR(VLOOKUP($F1359,'维度字典'!$I$2:$J$50,2,0),"求和")="最新值",IFERROR(LOOKUP(9.99E+307,G1359:R1359),""),SUM(G1359:R1359))))</f>
        <v/>
      </c>
      <c r="T1359" s="33" t="n"/>
      <c r="U1359" s="33" t="n"/>
    </row>
    <row r="1360">
      <c r="A1360" s="26">
        <f>IF($B1360="","",ROW()-3)</f>
        <v/>
      </c>
      <c r="B1360" s="27" t="n"/>
      <c r="C1360" s="27" t="n"/>
      <c r="D1360" s="28" t="n"/>
      <c r="E1360" s="29" t="n"/>
      <c r="F1360" s="30" t="n"/>
      <c r="G1360" s="31" t="n"/>
      <c r="H1360" s="31" t="n"/>
      <c r="I1360" s="31" t="n"/>
      <c r="J1360" s="31" t="n"/>
      <c r="K1360" s="31" t="n"/>
      <c r="L1360" s="31" t="n"/>
      <c r="M1360" s="31" t="n"/>
      <c r="N1360" s="31" t="n"/>
      <c r="O1360" s="31" t="n"/>
      <c r="P1360" s="31" t="n"/>
      <c r="Q1360" s="31" t="n"/>
      <c r="R1360" s="31" t="n"/>
      <c r="S1360" s="32">
        <f>IF($F1360="","",IF(IFERROR(VLOOKUP($F1360,'维度字典'!$I$2:$J$50,2,0),"求和")="手工录入","",IF(IFERROR(VLOOKUP($F1360,'维度字典'!$I$2:$J$50,2,0),"求和")="最新值",IFERROR(LOOKUP(9.99E+307,G1360:R1360),""),SUM(G1360:R1360))))</f>
        <v/>
      </c>
      <c r="T1360" s="33" t="n"/>
      <c r="U1360" s="33" t="n"/>
    </row>
    <row r="1361">
      <c r="A1361" s="26">
        <f>IF($B1361="","",ROW()-3)</f>
        <v/>
      </c>
      <c r="B1361" s="27" t="n"/>
      <c r="C1361" s="27" t="n"/>
      <c r="D1361" s="28" t="n"/>
      <c r="E1361" s="29" t="n"/>
      <c r="F1361" s="30" t="n"/>
      <c r="G1361" s="31" t="n"/>
      <c r="H1361" s="31" t="n"/>
      <c r="I1361" s="31" t="n"/>
      <c r="J1361" s="31" t="n"/>
      <c r="K1361" s="31" t="n"/>
      <c r="L1361" s="31" t="n"/>
      <c r="M1361" s="31" t="n"/>
      <c r="N1361" s="31" t="n"/>
      <c r="O1361" s="31" t="n"/>
      <c r="P1361" s="31" t="n"/>
      <c r="Q1361" s="31" t="n"/>
      <c r="R1361" s="31" t="n"/>
      <c r="S1361" s="32">
        <f>IF($F1361="","",IF(IFERROR(VLOOKUP($F1361,'维度字典'!$I$2:$J$50,2,0),"求和")="手工录入","",IF(IFERROR(VLOOKUP($F1361,'维度字典'!$I$2:$J$50,2,0),"求和")="最新值",IFERROR(LOOKUP(9.99E+307,G1361:R1361),""),SUM(G1361:R1361))))</f>
        <v/>
      </c>
      <c r="T1361" s="33" t="n"/>
      <c r="U1361" s="33" t="n"/>
    </row>
    <row r="1362">
      <c r="A1362" s="26">
        <f>IF($B1362="","",ROW()-3)</f>
        <v/>
      </c>
      <c r="B1362" s="27" t="n"/>
      <c r="C1362" s="27" t="n"/>
      <c r="D1362" s="28" t="n"/>
      <c r="E1362" s="29" t="n"/>
      <c r="F1362" s="30" t="n"/>
      <c r="G1362" s="31" t="n"/>
      <c r="H1362" s="31" t="n"/>
      <c r="I1362" s="31" t="n"/>
      <c r="J1362" s="31" t="n"/>
      <c r="K1362" s="31" t="n"/>
      <c r="L1362" s="31" t="n"/>
      <c r="M1362" s="31" t="n"/>
      <c r="N1362" s="31" t="n"/>
      <c r="O1362" s="31" t="n"/>
      <c r="P1362" s="31" t="n"/>
      <c r="Q1362" s="31" t="n"/>
      <c r="R1362" s="31" t="n"/>
      <c r="S1362" s="32">
        <f>IF($F1362="","",IF(IFERROR(VLOOKUP($F1362,'维度字典'!$I$2:$J$50,2,0),"求和")="手工录入","",IF(IFERROR(VLOOKUP($F1362,'维度字典'!$I$2:$J$50,2,0),"求和")="最新值",IFERROR(LOOKUP(9.99E+307,G1362:R1362),""),SUM(G1362:R1362))))</f>
        <v/>
      </c>
      <c r="T1362" s="33" t="n"/>
      <c r="U1362" s="33" t="n"/>
    </row>
    <row r="1363">
      <c r="A1363" s="26">
        <f>IF($B1363="","",ROW()-3)</f>
        <v/>
      </c>
      <c r="B1363" s="27" t="n"/>
      <c r="C1363" s="27" t="n"/>
      <c r="D1363" s="28" t="n"/>
      <c r="E1363" s="29" t="n"/>
      <c r="F1363" s="30" t="n"/>
      <c r="G1363" s="31" t="n"/>
      <c r="H1363" s="31" t="n"/>
      <c r="I1363" s="31" t="n"/>
      <c r="J1363" s="31" t="n"/>
      <c r="K1363" s="31" t="n"/>
      <c r="L1363" s="31" t="n"/>
      <c r="M1363" s="31" t="n"/>
      <c r="N1363" s="31" t="n"/>
      <c r="O1363" s="31" t="n"/>
      <c r="P1363" s="31" t="n"/>
      <c r="Q1363" s="31" t="n"/>
      <c r="R1363" s="31" t="n"/>
      <c r="S1363" s="32">
        <f>IF($F1363="","",IF(IFERROR(VLOOKUP($F1363,'维度字典'!$I$2:$J$50,2,0),"求和")="手工录入","",IF(IFERROR(VLOOKUP($F1363,'维度字典'!$I$2:$J$50,2,0),"求和")="最新值",IFERROR(LOOKUP(9.99E+307,G1363:R1363),""),SUM(G1363:R1363))))</f>
        <v/>
      </c>
      <c r="T1363" s="33" t="n"/>
      <c r="U1363" s="33" t="n"/>
    </row>
    <row r="1364">
      <c r="A1364" s="26">
        <f>IF($B1364="","",ROW()-3)</f>
        <v/>
      </c>
      <c r="B1364" s="27" t="n"/>
      <c r="C1364" s="27" t="n"/>
      <c r="D1364" s="28" t="n"/>
      <c r="E1364" s="29" t="n"/>
      <c r="F1364" s="30" t="n"/>
      <c r="G1364" s="31" t="n"/>
      <c r="H1364" s="31" t="n"/>
      <c r="I1364" s="31" t="n"/>
      <c r="J1364" s="31" t="n"/>
      <c r="K1364" s="31" t="n"/>
      <c r="L1364" s="31" t="n"/>
      <c r="M1364" s="31" t="n"/>
      <c r="N1364" s="31" t="n"/>
      <c r="O1364" s="31" t="n"/>
      <c r="P1364" s="31" t="n"/>
      <c r="Q1364" s="31" t="n"/>
      <c r="R1364" s="31" t="n"/>
      <c r="S1364" s="32">
        <f>IF($F1364="","",IF(IFERROR(VLOOKUP($F1364,'维度字典'!$I$2:$J$50,2,0),"求和")="手工录入","",IF(IFERROR(VLOOKUP($F1364,'维度字典'!$I$2:$J$50,2,0),"求和")="最新值",IFERROR(LOOKUP(9.99E+307,G1364:R1364),""),SUM(G1364:R1364))))</f>
        <v/>
      </c>
      <c r="T1364" s="33" t="n"/>
      <c r="U1364" s="33" t="n"/>
    </row>
    <row r="1365">
      <c r="A1365" s="26">
        <f>IF($B1365="","",ROW()-3)</f>
        <v/>
      </c>
      <c r="B1365" s="27" t="n"/>
      <c r="C1365" s="27" t="n"/>
      <c r="D1365" s="28" t="n"/>
      <c r="E1365" s="29" t="n"/>
      <c r="F1365" s="30" t="n"/>
      <c r="G1365" s="31" t="n"/>
      <c r="H1365" s="31" t="n"/>
      <c r="I1365" s="31" t="n"/>
      <c r="J1365" s="31" t="n"/>
      <c r="K1365" s="31" t="n"/>
      <c r="L1365" s="31" t="n"/>
      <c r="M1365" s="31" t="n"/>
      <c r="N1365" s="31" t="n"/>
      <c r="O1365" s="31" t="n"/>
      <c r="P1365" s="31" t="n"/>
      <c r="Q1365" s="31" t="n"/>
      <c r="R1365" s="31" t="n"/>
      <c r="S1365" s="32">
        <f>IF($F1365="","",IF(IFERROR(VLOOKUP($F1365,'维度字典'!$I$2:$J$50,2,0),"求和")="手工录入","",IF(IFERROR(VLOOKUP($F1365,'维度字典'!$I$2:$J$50,2,0),"求和")="最新值",IFERROR(LOOKUP(9.99E+307,G1365:R1365),""),SUM(G1365:R1365))))</f>
        <v/>
      </c>
      <c r="T1365" s="33" t="n"/>
      <c r="U1365" s="33" t="n"/>
    </row>
    <row r="1366">
      <c r="A1366" s="26">
        <f>IF($B1366="","",ROW()-3)</f>
        <v/>
      </c>
      <c r="B1366" s="27" t="n"/>
      <c r="C1366" s="27" t="n"/>
      <c r="D1366" s="28" t="n"/>
      <c r="E1366" s="29" t="n"/>
      <c r="F1366" s="30" t="n"/>
      <c r="G1366" s="31" t="n"/>
      <c r="H1366" s="31" t="n"/>
      <c r="I1366" s="31" t="n"/>
      <c r="J1366" s="31" t="n"/>
      <c r="K1366" s="31" t="n"/>
      <c r="L1366" s="31" t="n"/>
      <c r="M1366" s="31" t="n"/>
      <c r="N1366" s="31" t="n"/>
      <c r="O1366" s="31" t="n"/>
      <c r="P1366" s="31" t="n"/>
      <c r="Q1366" s="31" t="n"/>
      <c r="R1366" s="31" t="n"/>
      <c r="S1366" s="32">
        <f>IF($F1366="","",IF(IFERROR(VLOOKUP($F1366,'维度字典'!$I$2:$J$50,2,0),"求和")="手工录入","",IF(IFERROR(VLOOKUP($F1366,'维度字典'!$I$2:$J$50,2,0),"求和")="最新值",IFERROR(LOOKUP(9.99E+307,G1366:R1366),""),SUM(G1366:R1366))))</f>
        <v/>
      </c>
      <c r="T1366" s="33" t="n"/>
      <c r="U1366" s="33" t="n"/>
    </row>
    <row r="1367">
      <c r="A1367" s="26">
        <f>IF($B1367="","",ROW()-3)</f>
        <v/>
      </c>
      <c r="B1367" s="27" t="n"/>
      <c r="C1367" s="27" t="n"/>
      <c r="D1367" s="28" t="n"/>
      <c r="E1367" s="29" t="n"/>
      <c r="F1367" s="30" t="n"/>
      <c r="G1367" s="31" t="n"/>
      <c r="H1367" s="31" t="n"/>
      <c r="I1367" s="31" t="n"/>
      <c r="J1367" s="31" t="n"/>
      <c r="K1367" s="31" t="n"/>
      <c r="L1367" s="31" t="n"/>
      <c r="M1367" s="31" t="n"/>
      <c r="N1367" s="31" t="n"/>
      <c r="O1367" s="31" t="n"/>
      <c r="P1367" s="31" t="n"/>
      <c r="Q1367" s="31" t="n"/>
      <c r="R1367" s="31" t="n"/>
      <c r="S1367" s="32">
        <f>IF($F1367="","",IF(IFERROR(VLOOKUP($F1367,'维度字典'!$I$2:$J$50,2,0),"求和")="手工录入","",IF(IFERROR(VLOOKUP($F1367,'维度字典'!$I$2:$J$50,2,0),"求和")="最新值",IFERROR(LOOKUP(9.99E+307,G1367:R1367),""),SUM(G1367:R1367))))</f>
        <v/>
      </c>
      <c r="T1367" s="33" t="n"/>
      <c r="U1367" s="33" t="n"/>
    </row>
    <row r="1368">
      <c r="A1368" s="26">
        <f>IF($B1368="","",ROW()-3)</f>
        <v/>
      </c>
      <c r="B1368" s="27" t="n"/>
      <c r="C1368" s="27" t="n"/>
      <c r="D1368" s="28" t="n"/>
      <c r="E1368" s="29" t="n"/>
      <c r="F1368" s="30" t="n"/>
      <c r="G1368" s="31" t="n"/>
      <c r="H1368" s="31" t="n"/>
      <c r="I1368" s="31" t="n"/>
      <c r="J1368" s="31" t="n"/>
      <c r="K1368" s="31" t="n"/>
      <c r="L1368" s="31" t="n"/>
      <c r="M1368" s="31" t="n"/>
      <c r="N1368" s="31" t="n"/>
      <c r="O1368" s="31" t="n"/>
      <c r="P1368" s="31" t="n"/>
      <c r="Q1368" s="31" t="n"/>
      <c r="R1368" s="31" t="n"/>
      <c r="S1368" s="32">
        <f>IF($F1368="","",IF(IFERROR(VLOOKUP($F1368,'维度字典'!$I$2:$J$50,2,0),"求和")="手工录入","",IF(IFERROR(VLOOKUP($F1368,'维度字典'!$I$2:$J$50,2,0),"求和")="最新值",IFERROR(LOOKUP(9.99E+307,G1368:R1368),""),SUM(G1368:R1368))))</f>
        <v/>
      </c>
      <c r="T1368" s="33" t="n"/>
      <c r="U1368" s="33" t="n"/>
    </row>
    <row r="1369">
      <c r="A1369" s="26">
        <f>IF($B1369="","",ROW()-3)</f>
        <v/>
      </c>
      <c r="B1369" s="27" t="n"/>
      <c r="C1369" s="27" t="n"/>
      <c r="D1369" s="28" t="n"/>
      <c r="E1369" s="29" t="n"/>
      <c r="F1369" s="30" t="n"/>
      <c r="G1369" s="31" t="n"/>
      <c r="H1369" s="31" t="n"/>
      <c r="I1369" s="31" t="n"/>
      <c r="J1369" s="31" t="n"/>
      <c r="K1369" s="31" t="n"/>
      <c r="L1369" s="31" t="n"/>
      <c r="M1369" s="31" t="n"/>
      <c r="N1369" s="31" t="n"/>
      <c r="O1369" s="31" t="n"/>
      <c r="P1369" s="31" t="n"/>
      <c r="Q1369" s="31" t="n"/>
      <c r="R1369" s="31" t="n"/>
      <c r="S1369" s="32">
        <f>IF($F1369="","",IF(IFERROR(VLOOKUP($F1369,'维度字典'!$I$2:$J$50,2,0),"求和")="手工录入","",IF(IFERROR(VLOOKUP($F1369,'维度字典'!$I$2:$J$50,2,0),"求和")="最新值",IFERROR(LOOKUP(9.99E+307,G1369:R1369),""),SUM(G1369:R1369))))</f>
        <v/>
      </c>
      <c r="T1369" s="33" t="n"/>
      <c r="U1369" s="33" t="n"/>
    </row>
    <row r="1370">
      <c r="A1370" s="26">
        <f>IF($B1370="","",ROW()-3)</f>
        <v/>
      </c>
      <c r="B1370" s="27" t="n"/>
      <c r="C1370" s="27" t="n"/>
      <c r="D1370" s="28" t="n"/>
      <c r="E1370" s="29" t="n"/>
      <c r="F1370" s="30" t="n"/>
      <c r="G1370" s="31" t="n"/>
      <c r="H1370" s="31" t="n"/>
      <c r="I1370" s="31" t="n"/>
      <c r="J1370" s="31" t="n"/>
      <c r="K1370" s="31" t="n"/>
      <c r="L1370" s="31" t="n"/>
      <c r="M1370" s="31" t="n"/>
      <c r="N1370" s="31" t="n"/>
      <c r="O1370" s="31" t="n"/>
      <c r="P1370" s="31" t="n"/>
      <c r="Q1370" s="31" t="n"/>
      <c r="R1370" s="31" t="n"/>
      <c r="S1370" s="32">
        <f>IF($F1370="","",IF(IFERROR(VLOOKUP($F1370,'维度字典'!$I$2:$J$50,2,0),"求和")="手工录入","",IF(IFERROR(VLOOKUP($F1370,'维度字典'!$I$2:$J$50,2,0),"求和")="最新值",IFERROR(LOOKUP(9.99E+307,G1370:R1370),""),SUM(G1370:R1370))))</f>
        <v/>
      </c>
      <c r="T1370" s="33" t="n"/>
      <c r="U1370" s="33" t="n"/>
    </row>
    <row r="1371">
      <c r="A1371" s="26">
        <f>IF($B1371="","",ROW()-3)</f>
        <v/>
      </c>
      <c r="B1371" s="27" t="n"/>
      <c r="C1371" s="27" t="n"/>
      <c r="D1371" s="28" t="n"/>
      <c r="E1371" s="29" t="n"/>
      <c r="F1371" s="30" t="n"/>
      <c r="G1371" s="31" t="n"/>
      <c r="H1371" s="31" t="n"/>
      <c r="I1371" s="31" t="n"/>
      <c r="J1371" s="31" t="n"/>
      <c r="K1371" s="31" t="n"/>
      <c r="L1371" s="31" t="n"/>
      <c r="M1371" s="31" t="n"/>
      <c r="N1371" s="31" t="n"/>
      <c r="O1371" s="31" t="n"/>
      <c r="P1371" s="31" t="n"/>
      <c r="Q1371" s="31" t="n"/>
      <c r="R1371" s="31" t="n"/>
      <c r="S1371" s="32">
        <f>IF($F1371="","",IF(IFERROR(VLOOKUP($F1371,'维度字典'!$I$2:$J$50,2,0),"求和")="手工录入","",IF(IFERROR(VLOOKUP($F1371,'维度字典'!$I$2:$J$50,2,0),"求和")="最新值",IFERROR(LOOKUP(9.99E+307,G1371:R1371),""),SUM(G1371:R1371))))</f>
        <v/>
      </c>
      <c r="T1371" s="33" t="n"/>
      <c r="U1371" s="33" t="n"/>
    </row>
    <row r="1372">
      <c r="A1372" s="26">
        <f>IF($B1372="","",ROW()-3)</f>
        <v/>
      </c>
      <c r="B1372" s="27" t="n"/>
      <c r="C1372" s="27" t="n"/>
      <c r="D1372" s="28" t="n"/>
      <c r="E1372" s="29" t="n"/>
      <c r="F1372" s="30" t="n"/>
      <c r="G1372" s="31" t="n"/>
      <c r="H1372" s="31" t="n"/>
      <c r="I1372" s="31" t="n"/>
      <c r="J1372" s="31" t="n"/>
      <c r="K1372" s="31" t="n"/>
      <c r="L1372" s="31" t="n"/>
      <c r="M1372" s="31" t="n"/>
      <c r="N1372" s="31" t="n"/>
      <c r="O1372" s="31" t="n"/>
      <c r="P1372" s="31" t="n"/>
      <c r="Q1372" s="31" t="n"/>
      <c r="R1372" s="31" t="n"/>
      <c r="S1372" s="32">
        <f>IF($F1372="","",IF(IFERROR(VLOOKUP($F1372,'维度字典'!$I$2:$J$50,2,0),"求和")="手工录入","",IF(IFERROR(VLOOKUP($F1372,'维度字典'!$I$2:$J$50,2,0),"求和")="最新值",IFERROR(LOOKUP(9.99E+307,G1372:R1372),""),SUM(G1372:R1372))))</f>
        <v/>
      </c>
      <c r="T1372" s="33" t="n"/>
      <c r="U1372" s="33" t="n"/>
    </row>
    <row r="1373">
      <c r="A1373" s="26">
        <f>IF($B1373="","",ROW()-3)</f>
        <v/>
      </c>
      <c r="B1373" s="27" t="n"/>
      <c r="C1373" s="27" t="n"/>
      <c r="D1373" s="28" t="n"/>
      <c r="E1373" s="29" t="n"/>
      <c r="F1373" s="30" t="n"/>
      <c r="G1373" s="31" t="n"/>
      <c r="H1373" s="31" t="n"/>
      <c r="I1373" s="31" t="n"/>
      <c r="J1373" s="31" t="n"/>
      <c r="K1373" s="31" t="n"/>
      <c r="L1373" s="31" t="n"/>
      <c r="M1373" s="31" t="n"/>
      <c r="N1373" s="31" t="n"/>
      <c r="O1373" s="31" t="n"/>
      <c r="P1373" s="31" t="n"/>
      <c r="Q1373" s="31" t="n"/>
      <c r="R1373" s="31" t="n"/>
      <c r="S1373" s="32">
        <f>IF($F1373="","",IF(IFERROR(VLOOKUP($F1373,'维度字典'!$I$2:$J$50,2,0),"求和")="手工录入","",IF(IFERROR(VLOOKUP($F1373,'维度字典'!$I$2:$J$50,2,0),"求和")="最新值",IFERROR(LOOKUP(9.99E+307,G1373:R1373),""),SUM(G1373:R1373))))</f>
        <v/>
      </c>
      <c r="T1373" s="33" t="n"/>
      <c r="U1373" s="33" t="n"/>
    </row>
    <row r="1374">
      <c r="A1374" s="26">
        <f>IF($B1374="","",ROW()-3)</f>
        <v/>
      </c>
      <c r="B1374" s="27" t="n"/>
      <c r="C1374" s="27" t="n"/>
      <c r="D1374" s="28" t="n"/>
      <c r="E1374" s="29" t="n"/>
      <c r="F1374" s="30" t="n"/>
      <c r="G1374" s="31" t="n"/>
      <c r="H1374" s="31" t="n"/>
      <c r="I1374" s="31" t="n"/>
      <c r="J1374" s="31" t="n"/>
      <c r="K1374" s="31" t="n"/>
      <c r="L1374" s="31" t="n"/>
      <c r="M1374" s="31" t="n"/>
      <c r="N1374" s="31" t="n"/>
      <c r="O1374" s="31" t="n"/>
      <c r="P1374" s="31" t="n"/>
      <c r="Q1374" s="31" t="n"/>
      <c r="R1374" s="31" t="n"/>
      <c r="S1374" s="32">
        <f>IF($F1374="","",IF(IFERROR(VLOOKUP($F1374,'维度字典'!$I$2:$J$50,2,0),"求和")="手工录入","",IF(IFERROR(VLOOKUP($F1374,'维度字典'!$I$2:$J$50,2,0),"求和")="最新值",IFERROR(LOOKUP(9.99E+307,G1374:R1374),""),SUM(G1374:R1374))))</f>
        <v/>
      </c>
      <c r="T1374" s="33" t="n"/>
      <c r="U1374" s="33" t="n"/>
    </row>
    <row r="1375">
      <c r="A1375" s="26">
        <f>IF($B1375="","",ROW()-3)</f>
        <v/>
      </c>
      <c r="B1375" s="27" t="n"/>
      <c r="C1375" s="27" t="n"/>
      <c r="D1375" s="28" t="n"/>
      <c r="E1375" s="29" t="n"/>
      <c r="F1375" s="30" t="n"/>
      <c r="G1375" s="31" t="n"/>
      <c r="H1375" s="31" t="n"/>
      <c r="I1375" s="31" t="n"/>
      <c r="J1375" s="31" t="n"/>
      <c r="K1375" s="31" t="n"/>
      <c r="L1375" s="31" t="n"/>
      <c r="M1375" s="31" t="n"/>
      <c r="N1375" s="31" t="n"/>
      <c r="O1375" s="31" t="n"/>
      <c r="P1375" s="31" t="n"/>
      <c r="Q1375" s="31" t="n"/>
      <c r="R1375" s="31" t="n"/>
      <c r="S1375" s="32">
        <f>IF($F1375="","",IF(IFERROR(VLOOKUP($F1375,'维度字典'!$I$2:$J$50,2,0),"求和")="手工录入","",IF(IFERROR(VLOOKUP($F1375,'维度字典'!$I$2:$J$50,2,0),"求和")="最新值",IFERROR(LOOKUP(9.99E+307,G1375:R1375),""),SUM(G1375:R1375))))</f>
        <v/>
      </c>
      <c r="T1375" s="33" t="n"/>
      <c r="U1375" s="33" t="n"/>
    </row>
    <row r="1376">
      <c r="A1376" s="26">
        <f>IF($B1376="","",ROW()-3)</f>
        <v/>
      </c>
      <c r="B1376" s="27" t="n"/>
      <c r="C1376" s="27" t="n"/>
      <c r="D1376" s="28" t="n"/>
      <c r="E1376" s="29" t="n"/>
      <c r="F1376" s="30" t="n"/>
      <c r="G1376" s="31" t="n"/>
      <c r="H1376" s="31" t="n"/>
      <c r="I1376" s="31" t="n"/>
      <c r="J1376" s="31" t="n"/>
      <c r="K1376" s="31" t="n"/>
      <c r="L1376" s="31" t="n"/>
      <c r="M1376" s="31" t="n"/>
      <c r="N1376" s="31" t="n"/>
      <c r="O1376" s="31" t="n"/>
      <c r="P1376" s="31" t="n"/>
      <c r="Q1376" s="31" t="n"/>
      <c r="R1376" s="31" t="n"/>
      <c r="S1376" s="32">
        <f>IF($F1376="","",IF(IFERROR(VLOOKUP($F1376,'维度字典'!$I$2:$J$50,2,0),"求和")="手工录入","",IF(IFERROR(VLOOKUP($F1376,'维度字典'!$I$2:$J$50,2,0),"求和")="最新值",IFERROR(LOOKUP(9.99E+307,G1376:R1376),""),SUM(G1376:R1376))))</f>
        <v/>
      </c>
      <c r="T1376" s="33" t="n"/>
      <c r="U1376" s="33" t="n"/>
    </row>
    <row r="1377">
      <c r="A1377" s="26">
        <f>IF($B1377="","",ROW()-3)</f>
        <v/>
      </c>
      <c r="B1377" s="27" t="n"/>
      <c r="C1377" s="27" t="n"/>
      <c r="D1377" s="28" t="n"/>
      <c r="E1377" s="29" t="n"/>
      <c r="F1377" s="30" t="n"/>
      <c r="G1377" s="31" t="n"/>
      <c r="H1377" s="31" t="n"/>
      <c r="I1377" s="31" t="n"/>
      <c r="J1377" s="31" t="n"/>
      <c r="K1377" s="31" t="n"/>
      <c r="L1377" s="31" t="n"/>
      <c r="M1377" s="31" t="n"/>
      <c r="N1377" s="31" t="n"/>
      <c r="O1377" s="31" t="n"/>
      <c r="P1377" s="31" t="n"/>
      <c r="Q1377" s="31" t="n"/>
      <c r="R1377" s="31" t="n"/>
      <c r="S1377" s="32">
        <f>IF($F1377="","",IF(IFERROR(VLOOKUP($F1377,'维度字典'!$I$2:$J$50,2,0),"求和")="手工录入","",IF(IFERROR(VLOOKUP($F1377,'维度字典'!$I$2:$J$50,2,0),"求和")="最新值",IFERROR(LOOKUP(9.99E+307,G1377:R1377),""),SUM(G1377:R1377))))</f>
        <v/>
      </c>
      <c r="T1377" s="33" t="n"/>
      <c r="U1377" s="33" t="n"/>
    </row>
    <row r="1378">
      <c r="A1378" s="26">
        <f>IF($B1378="","",ROW()-3)</f>
        <v/>
      </c>
      <c r="B1378" s="27" t="n"/>
      <c r="C1378" s="27" t="n"/>
      <c r="D1378" s="28" t="n"/>
      <c r="E1378" s="29" t="n"/>
      <c r="F1378" s="30" t="n"/>
      <c r="G1378" s="31" t="n"/>
      <c r="H1378" s="31" t="n"/>
      <c r="I1378" s="31" t="n"/>
      <c r="J1378" s="31" t="n"/>
      <c r="K1378" s="31" t="n"/>
      <c r="L1378" s="31" t="n"/>
      <c r="M1378" s="31" t="n"/>
      <c r="N1378" s="31" t="n"/>
      <c r="O1378" s="31" t="n"/>
      <c r="P1378" s="31" t="n"/>
      <c r="Q1378" s="31" t="n"/>
      <c r="R1378" s="31" t="n"/>
      <c r="S1378" s="32">
        <f>IF($F1378="","",IF(IFERROR(VLOOKUP($F1378,'维度字典'!$I$2:$J$50,2,0),"求和")="手工录入","",IF(IFERROR(VLOOKUP($F1378,'维度字典'!$I$2:$J$50,2,0),"求和")="最新值",IFERROR(LOOKUP(9.99E+307,G1378:R1378),""),SUM(G1378:R1378))))</f>
        <v/>
      </c>
      <c r="T1378" s="33" t="n"/>
      <c r="U1378" s="33" t="n"/>
    </row>
    <row r="1379">
      <c r="A1379" s="26">
        <f>IF($B1379="","",ROW()-3)</f>
        <v/>
      </c>
      <c r="B1379" s="27" t="n"/>
      <c r="C1379" s="27" t="n"/>
      <c r="D1379" s="28" t="n"/>
      <c r="E1379" s="29" t="n"/>
      <c r="F1379" s="30" t="n"/>
      <c r="G1379" s="31" t="n"/>
      <c r="H1379" s="31" t="n"/>
      <c r="I1379" s="31" t="n"/>
      <c r="J1379" s="31" t="n"/>
      <c r="K1379" s="31" t="n"/>
      <c r="L1379" s="31" t="n"/>
      <c r="M1379" s="31" t="n"/>
      <c r="N1379" s="31" t="n"/>
      <c r="O1379" s="31" t="n"/>
      <c r="P1379" s="31" t="n"/>
      <c r="Q1379" s="31" t="n"/>
      <c r="R1379" s="31" t="n"/>
      <c r="S1379" s="32">
        <f>IF($F1379="","",IF(IFERROR(VLOOKUP($F1379,'维度字典'!$I$2:$J$50,2,0),"求和")="手工录入","",IF(IFERROR(VLOOKUP($F1379,'维度字典'!$I$2:$J$50,2,0),"求和")="最新值",IFERROR(LOOKUP(9.99E+307,G1379:R1379),""),SUM(G1379:R1379))))</f>
        <v/>
      </c>
      <c r="T1379" s="33" t="n"/>
      <c r="U1379" s="33" t="n"/>
    </row>
    <row r="1380">
      <c r="A1380" s="26">
        <f>IF($B1380="","",ROW()-3)</f>
        <v/>
      </c>
      <c r="B1380" s="27" t="n"/>
      <c r="C1380" s="27" t="n"/>
      <c r="D1380" s="28" t="n"/>
      <c r="E1380" s="29" t="n"/>
      <c r="F1380" s="30" t="n"/>
      <c r="G1380" s="31" t="n"/>
      <c r="H1380" s="31" t="n"/>
      <c r="I1380" s="31" t="n"/>
      <c r="J1380" s="31" t="n"/>
      <c r="K1380" s="31" t="n"/>
      <c r="L1380" s="31" t="n"/>
      <c r="M1380" s="31" t="n"/>
      <c r="N1380" s="31" t="n"/>
      <c r="O1380" s="31" t="n"/>
      <c r="P1380" s="31" t="n"/>
      <c r="Q1380" s="31" t="n"/>
      <c r="R1380" s="31" t="n"/>
      <c r="S1380" s="32">
        <f>IF($F1380="","",IF(IFERROR(VLOOKUP($F1380,'维度字典'!$I$2:$J$50,2,0),"求和")="手工录入","",IF(IFERROR(VLOOKUP($F1380,'维度字典'!$I$2:$J$50,2,0),"求和")="最新值",IFERROR(LOOKUP(9.99E+307,G1380:R1380),""),SUM(G1380:R1380))))</f>
        <v/>
      </c>
      <c r="T1380" s="33" t="n"/>
      <c r="U1380" s="33" t="n"/>
    </row>
    <row r="1381">
      <c r="A1381" s="26">
        <f>IF($B1381="","",ROW()-3)</f>
        <v/>
      </c>
      <c r="B1381" s="27" t="n"/>
      <c r="C1381" s="27" t="n"/>
      <c r="D1381" s="28" t="n"/>
      <c r="E1381" s="29" t="n"/>
      <c r="F1381" s="30" t="n"/>
      <c r="G1381" s="31" t="n"/>
      <c r="H1381" s="31" t="n"/>
      <c r="I1381" s="31" t="n"/>
      <c r="J1381" s="31" t="n"/>
      <c r="K1381" s="31" t="n"/>
      <c r="L1381" s="31" t="n"/>
      <c r="M1381" s="31" t="n"/>
      <c r="N1381" s="31" t="n"/>
      <c r="O1381" s="31" t="n"/>
      <c r="P1381" s="31" t="n"/>
      <c r="Q1381" s="31" t="n"/>
      <c r="R1381" s="31" t="n"/>
      <c r="S1381" s="32">
        <f>IF($F1381="","",IF(IFERROR(VLOOKUP($F1381,'维度字典'!$I$2:$J$50,2,0),"求和")="手工录入","",IF(IFERROR(VLOOKUP($F1381,'维度字典'!$I$2:$J$50,2,0),"求和")="最新值",IFERROR(LOOKUP(9.99E+307,G1381:R1381),""),SUM(G1381:R1381))))</f>
        <v/>
      </c>
      <c r="T1381" s="33" t="n"/>
      <c r="U1381" s="33" t="n"/>
    </row>
    <row r="1382">
      <c r="A1382" s="26">
        <f>IF($B1382="","",ROW()-3)</f>
        <v/>
      </c>
      <c r="B1382" s="27" t="n"/>
      <c r="C1382" s="27" t="n"/>
      <c r="D1382" s="28" t="n"/>
      <c r="E1382" s="29" t="n"/>
      <c r="F1382" s="30" t="n"/>
      <c r="G1382" s="31" t="n"/>
      <c r="H1382" s="31" t="n"/>
      <c r="I1382" s="31" t="n"/>
      <c r="J1382" s="31" t="n"/>
      <c r="K1382" s="31" t="n"/>
      <c r="L1382" s="31" t="n"/>
      <c r="M1382" s="31" t="n"/>
      <c r="N1382" s="31" t="n"/>
      <c r="O1382" s="31" t="n"/>
      <c r="P1382" s="31" t="n"/>
      <c r="Q1382" s="31" t="n"/>
      <c r="R1382" s="31" t="n"/>
      <c r="S1382" s="32">
        <f>IF($F1382="","",IF(IFERROR(VLOOKUP($F1382,'维度字典'!$I$2:$J$50,2,0),"求和")="手工录入","",IF(IFERROR(VLOOKUP($F1382,'维度字典'!$I$2:$J$50,2,0),"求和")="最新值",IFERROR(LOOKUP(9.99E+307,G1382:R1382),""),SUM(G1382:R1382))))</f>
        <v/>
      </c>
      <c r="T1382" s="33" t="n"/>
      <c r="U1382" s="33" t="n"/>
    </row>
    <row r="1383">
      <c r="A1383" s="26">
        <f>IF($B1383="","",ROW()-3)</f>
        <v/>
      </c>
      <c r="B1383" s="27" t="n"/>
      <c r="C1383" s="27" t="n"/>
      <c r="D1383" s="28" t="n"/>
      <c r="E1383" s="29" t="n"/>
      <c r="F1383" s="30" t="n"/>
      <c r="G1383" s="31" t="n"/>
      <c r="H1383" s="31" t="n"/>
      <c r="I1383" s="31" t="n"/>
      <c r="J1383" s="31" t="n"/>
      <c r="K1383" s="31" t="n"/>
      <c r="L1383" s="31" t="n"/>
      <c r="M1383" s="31" t="n"/>
      <c r="N1383" s="31" t="n"/>
      <c r="O1383" s="31" t="n"/>
      <c r="P1383" s="31" t="n"/>
      <c r="Q1383" s="31" t="n"/>
      <c r="R1383" s="31" t="n"/>
      <c r="S1383" s="32">
        <f>IF($F1383="","",IF(IFERROR(VLOOKUP($F1383,'维度字典'!$I$2:$J$50,2,0),"求和")="手工录入","",IF(IFERROR(VLOOKUP($F1383,'维度字典'!$I$2:$J$50,2,0),"求和")="最新值",IFERROR(LOOKUP(9.99E+307,G1383:R1383),""),SUM(G1383:R1383))))</f>
        <v/>
      </c>
      <c r="T1383" s="33" t="n"/>
      <c r="U1383" s="33" t="n"/>
    </row>
    <row r="1384">
      <c r="A1384" s="26">
        <f>IF($B1384="","",ROW()-3)</f>
        <v/>
      </c>
      <c r="B1384" s="27" t="n"/>
      <c r="C1384" s="27" t="n"/>
      <c r="D1384" s="28" t="n"/>
      <c r="E1384" s="29" t="n"/>
      <c r="F1384" s="30" t="n"/>
      <c r="G1384" s="31" t="n"/>
      <c r="H1384" s="31" t="n"/>
      <c r="I1384" s="31" t="n"/>
      <c r="J1384" s="31" t="n"/>
      <c r="K1384" s="31" t="n"/>
      <c r="L1384" s="31" t="n"/>
      <c r="M1384" s="31" t="n"/>
      <c r="N1384" s="31" t="n"/>
      <c r="O1384" s="31" t="n"/>
      <c r="P1384" s="31" t="n"/>
      <c r="Q1384" s="31" t="n"/>
      <c r="R1384" s="31" t="n"/>
      <c r="S1384" s="32">
        <f>IF($F1384="","",IF(IFERROR(VLOOKUP($F1384,'维度字典'!$I$2:$J$50,2,0),"求和")="手工录入","",IF(IFERROR(VLOOKUP($F1384,'维度字典'!$I$2:$J$50,2,0),"求和")="最新值",IFERROR(LOOKUP(9.99E+307,G1384:R1384),""),SUM(G1384:R1384))))</f>
        <v/>
      </c>
      <c r="T1384" s="33" t="n"/>
      <c r="U1384" s="33" t="n"/>
    </row>
    <row r="1385">
      <c r="A1385" s="26">
        <f>IF($B1385="","",ROW()-3)</f>
        <v/>
      </c>
      <c r="B1385" s="27" t="n"/>
      <c r="C1385" s="27" t="n"/>
      <c r="D1385" s="28" t="n"/>
      <c r="E1385" s="29" t="n"/>
      <c r="F1385" s="30" t="n"/>
      <c r="G1385" s="31" t="n"/>
      <c r="H1385" s="31" t="n"/>
      <c r="I1385" s="31" t="n"/>
      <c r="J1385" s="31" t="n"/>
      <c r="K1385" s="31" t="n"/>
      <c r="L1385" s="31" t="n"/>
      <c r="M1385" s="31" t="n"/>
      <c r="N1385" s="31" t="n"/>
      <c r="O1385" s="31" t="n"/>
      <c r="P1385" s="31" t="n"/>
      <c r="Q1385" s="31" t="n"/>
      <c r="R1385" s="31" t="n"/>
      <c r="S1385" s="32">
        <f>IF($F1385="","",IF(IFERROR(VLOOKUP($F1385,'维度字典'!$I$2:$J$50,2,0),"求和")="手工录入","",IF(IFERROR(VLOOKUP($F1385,'维度字典'!$I$2:$J$50,2,0),"求和")="最新值",IFERROR(LOOKUP(9.99E+307,G1385:R1385),""),SUM(G1385:R1385))))</f>
        <v/>
      </c>
      <c r="T1385" s="33" t="n"/>
      <c r="U1385" s="33" t="n"/>
    </row>
    <row r="1386">
      <c r="A1386" s="26">
        <f>IF($B1386="","",ROW()-3)</f>
        <v/>
      </c>
      <c r="B1386" s="27" t="n"/>
      <c r="C1386" s="27" t="n"/>
      <c r="D1386" s="28" t="n"/>
      <c r="E1386" s="29" t="n"/>
      <c r="F1386" s="30" t="n"/>
      <c r="G1386" s="31" t="n"/>
      <c r="H1386" s="31" t="n"/>
      <c r="I1386" s="31" t="n"/>
      <c r="J1386" s="31" t="n"/>
      <c r="K1386" s="31" t="n"/>
      <c r="L1386" s="31" t="n"/>
      <c r="M1386" s="31" t="n"/>
      <c r="N1386" s="31" t="n"/>
      <c r="O1386" s="31" t="n"/>
      <c r="P1386" s="31" t="n"/>
      <c r="Q1386" s="31" t="n"/>
      <c r="R1386" s="31" t="n"/>
      <c r="S1386" s="32">
        <f>IF($F1386="","",IF(IFERROR(VLOOKUP($F1386,'维度字典'!$I$2:$J$50,2,0),"求和")="手工录入","",IF(IFERROR(VLOOKUP($F1386,'维度字典'!$I$2:$J$50,2,0),"求和")="最新值",IFERROR(LOOKUP(9.99E+307,G1386:R1386),""),SUM(G1386:R1386))))</f>
        <v/>
      </c>
      <c r="T1386" s="33" t="n"/>
      <c r="U1386" s="33" t="n"/>
    </row>
    <row r="1387">
      <c r="A1387" s="26">
        <f>IF($B1387="","",ROW()-3)</f>
        <v/>
      </c>
      <c r="B1387" s="27" t="n"/>
      <c r="C1387" s="27" t="n"/>
      <c r="D1387" s="28" t="n"/>
      <c r="E1387" s="29" t="n"/>
      <c r="F1387" s="30" t="n"/>
      <c r="G1387" s="31" t="n"/>
      <c r="H1387" s="31" t="n"/>
      <c r="I1387" s="31" t="n"/>
      <c r="J1387" s="31" t="n"/>
      <c r="K1387" s="31" t="n"/>
      <c r="L1387" s="31" t="n"/>
      <c r="M1387" s="31" t="n"/>
      <c r="N1387" s="31" t="n"/>
      <c r="O1387" s="31" t="n"/>
      <c r="P1387" s="31" t="n"/>
      <c r="Q1387" s="31" t="n"/>
      <c r="R1387" s="31" t="n"/>
      <c r="S1387" s="32">
        <f>IF($F1387="","",IF(IFERROR(VLOOKUP($F1387,'维度字典'!$I$2:$J$50,2,0),"求和")="手工录入","",IF(IFERROR(VLOOKUP($F1387,'维度字典'!$I$2:$J$50,2,0),"求和")="最新值",IFERROR(LOOKUP(9.99E+307,G1387:R1387),""),SUM(G1387:R1387))))</f>
        <v/>
      </c>
      <c r="T1387" s="33" t="n"/>
      <c r="U1387" s="33" t="n"/>
    </row>
    <row r="1388">
      <c r="A1388" s="26">
        <f>IF($B1388="","",ROW()-3)</f>
        <v/>
      </c>
      <c r="B1388" s="27" t="n"/>
      <c r="C1388" s="27" t="n"/>
      <c r="D1388" s="28" t="n"/>
      <c r="E1388" s="29" t="n"/>
      <c r="F1388" s="30" t="n"/>
      <c r="G1388" s="31" t="n"/>
      <c r="H1388" s="31" t="n"/>
      <c r="I1388" s="31" t="n"/>
      <c r="J1388" s="31" t="n"/>
      <c r="K1388" s="31" t="n"/>
      <c r="L1388" s="31" t="n"/>
      <c r="M1388" s="31" t="n"/>
      <c r="N1388" s="31" t="n"/>
      <c r="O1388" s="31" t="n"/>
      <c r="P1388" s="31" t="n"/>
      <c r="Q1388" s="31" t="n"/>
      <c r="R1388" s="31" t="n"/>
      <c r="S1388" s="32">
        <f>IF($F1388="","",IF(IFERROR(VLOOKUP($F1388,'维度字典'!$I$2:$J$50,2,0),"求和")="手工录入","",IF(IFERROR(VLOOKUP($F1388,'维度字典'!$I$2:$J$50,2,0),"求和")="最新值",IFERROR(LOOKUP(9.99E+307,G1388:R1388),""),SUM(G1388:R1388))))</f>
        <v/>
      </c>
      <c r="T1388" s="33" t="n"/>
      <c r="U1388" s="33" t="n"/>
    </row>
    <row r="1389">
      <c r="A1389" s="26">
        <f>IF($B1389="","",ROW()-3)</f>
        <v/>
      </c>
      <c r="B1389" s="27" t="n"/>
      <c r="C1389" s="27" t="n"/>
      <c r="D1389" s="28" t="n"/>
      <c r="E1389" s="29" t="n"/>
      <c r="F1389" s="30" t="n"/>
      <c r="G1389" s="31" t="n"/>
      <c r="H1389" s="31" t="n"/>
      <c r="I1389" s="31" t="n"/>
      <c r="J1389" s="31" t="n"/>
      <c r="K1389" s="31" t="n"/>
      <c r="L1389" s="31" t="n"/>
      <c r="M1389" s="31" t="n"/>
      <c r="N1389" s="31" t="n"/>
      <c r="O1389" s="31" t="n"/>
      <c r="P1389" s="31" t="n"/>
      <c r="Q1389" s="31" t="n"/>
      <c r="R1389" s="31" t="n"/>
      <c r="S1389" s="32">
        <f>IF($F1389="","",IF(IFERROR(VLOOKUP($F1389,'维度字典'!$I$2:$J$50,2,0),"求和")="手工录入","",IF(IFERROR(VLOOKUP($F1389,'维度字典'!$I$2:$J$50,2,0),"求和")="最新值",IFERROR(LOOKUP(9.99E+307,G1389:R1389),""),SUM(G1389:R1389))))</f>
        <v/>
      </c>
      <c r="T1389" s="33" t="n"/>
      <c r="U1389" s="33" t="n"/>
    </row>
    <row r="1390">
      <c r="A1390" s="26">
        <f>IF($B1390="","",ROW()-3)</f>
        <v/>
      </c>
      <c r="B1390" s="27" t="n"/>
      <c r="C1390" s="27" t="n"/>
      <c r="D1390" s="28" t="n"/>
      <c r="E1390" s="29" t="n"/>
      <c r="F1390" s="30" t="n"/>
      <c r="G1390" s="31" t="n"/>
      <c r="H1390" s="31" t="n"/>
      <c r="I1390" s="31" t="n"/>
      <c r="J1390" s="31" t="n"/>
      <c r="K1390" s="31" t="n"/>
      <c r="L1390" s="31" t="n"/>
      <c r="M1390" s="31" t="n"/>
      <c r="N1390" s="31" t="n"/>
      <c r="O1390" s="31" t="n"/>
      <c r="P1390" s="31" t="n"/>
      <c r="Q1390" s="31" t="n"/>
      <c r="R1390" s="31" t="n"/>
      <c r="S1390" s="32">
        <f>IF($F1390="","",IF(IFERROR(VLOOKUP($F1390,'维度字典'!$I$2:$J$50,2,0),"求和")="手工录入","",IF(IFERROR(VLOOKUP($F1390,'维度字典'!$I$2:$J$50,2,0),"求和")="最新值",IFERROR(LOOKUP(9.99E+307,G1390:R1390),""),SUM(G1390:R1390))))</f>
        <v/>
      </c>
      <c r="T1390" s="33" t="n"/>
      <c r="U1390" s="33" t="n"/>
    </row>
    <row r="1391">
      <c r="A1391" s="26">
        <f>IF($B1391="","",ROW()-3)</f>
        <v/>
      </c>
      <c r="B1391" s="27" t="n"/>
      <c r="C1391" s="27" t="n"/>
      <c r="D1391" s="28" t="n"/>
      <c r="E1391" s="29" t="n"/>
      <c r="F1391" s="30" t="n"/>
      <c r="G1391" s="31" t="n"/>
      <c r="H1391" s="31" t="n"/>
      <c r="I1391" s="31" t="n"/>
      <c r="J1391" s="31" t="n"/>
      <c r="K1391" s="31" t="n"/>
      <c r="L1391" s="31" t="n"/>
      <c r="M1391" s="31" t="n"/>
      <c r="N1391" s="31" t="n"/>
      <c r="O1391" s="31" t="n"/>
      <c r="P1391" s="31" t="n"/>
      <c r="Q1391" s="31" t="n"/>
      <c r="R1391" s="31" t="n"/>
      <c r="S1391" s="32">
        <f>IF($F1391="","",IF(IFERROR(VLOOKUP($F1391,'维度字典'!$I$2:$J$50,2,0),"求和")="手工录入","",IF(IFERROR(VLOOKUP($F1391,'维度字典'!$I$2:$J$50,2,0),"求和")="最新值",IFERROR(LOOKUP(9.99E+307,G1391:R1391),""),SUM(G1391:R1391))))</f>
        <v/>
      </c>
      <c r="T1391" s="33" t="n"/>
      <c r="U1391" s="33" t="n"/>
    </row>
    <row r="1392">
      <c r="A1392" s="26">
        <f>IF($B1392="","",ROW()-3)</f>
        <v/>
      </c>
      <c r="B1392" s="27" t="n"/>
      <c r="C1392" s="27" t="n"/>
      <c r="D1392" s="28" t="n"/>
      <c r="E1392" s="29" t="n"/>
      <c r="F1392" s="30" t="n"/>
      <c r="G1392" s="31" t="n"/>
      <c r="H1392" s="31" t="n"/>
      <c r="I1392" s="31" t="n"/>
      <c r="J1392" s="31" t="n"/>
      <c r="K1392" s="31" t="n"/>
      <c r="L1392" s="31" t="n"/>
      <c r="M1392" s="31" t="n"/>
      <c r="N1392" s="31" t="n"/>
      <c r="O1392" s="31" t="n"/>
      <c r="P1392" s="31" t="n"/>
      <c r="Q1392" s="31" t="n"/>
      <c r="R1392" s="31" t="n"/>
      <c r="S1392" s="32">
        <f>IF($F1392="","",IF(IFERROR(VLOOKUP($F1392,'维度字典'!$I$2:$J$50,2,0),"求和")="手工录入","",IF(IFERROR(VLOOKUP($F1392,'维度字典'!$I$2:$J$50,2,0),"求和")="最新值",IFERROR(LOOKUP(9.99E+307,G1392:R1392),""),SUM(G1392:R1392))))</f>
        <v/>
      </c>
      <c r="T1392" s="33" t="n"/>
      <c r="U1392" s="33" t="n"/>
    </row>
    <row r="1393">
      <c r="A1393" s="26">
        <f>IF($B1393="","",ROW()-3)</f>
        <v/>
      </c>
      <c r="B1393" s="27" t="n"/>
      <c r="C1393" s="27" t="n"/>
      <c r="D1393" s="28" t="n"/>
      <c r="E1393" s="29" t="n"/>
      <c r="F1393" s="30" t="n"/>
      <c r="G1393" s="31" t="n"/>
      <c r="H1393" s="31" t="n"/>
      <c r="I1393" s="31" t="n"/>
      <c r="J1393" s="31" t="n"/>
      <c r="K1393" s="31" t="n"/>
      <c r="L1393" s="31" t="n"/>
      <c r="M1393" s="31" t="n"/>
      <c r="N1393" s="31" t="n"/>
      <c r="O1393" s="31" t="n"/>
      <c r="P1393" s="31" t="n"/>
      <c r="Q1393" s="31" t="n"/>
      <c r="R1393" s="31" t="n"/>
      <c r="S1393" s="32">
        <f>IF($F1393="","",IF(IFERROR(VLOOKUP($F1393,'维度字典'!$I$2:$J$50,2,0),"求和")="手工录入","",IF(IFERROR(VLOOKUP($F1393,'维度字典'!$I$2:$J$50,2,0),"求和")="最新值",IFERROR(LOOKUP(9.99E+307,G1393:R1393),""),SUM(G1393:R1393))))</f>
        <v/>
      </c>
      <c r="T1393" s="33" t="n"/>
      <c r="U1393" s="33" t="n"/>
    </row>
    <row r="1394">
      <c r="A1394" s="26">
        <f>IF($B1394="","",ROW()-3)</f>
        <v/>
      </c>
      <c r="B1394" s="27" t="n"/>
      <c r="C1394" s="27" t="n"/>
      <c r="D1394" s="28" t="n"/>
      <c r="E1394" s="29" t="n"/>
      <c r="F1394" s="30" t="n"/>
      <c r="G1394" s="31" t="n"/>
      <c r="H1394" s="31" t="n"/>
      <c r="I1394" s="31" t="n"/>
      <c r="J1394" s="31" t="n"/>
      <c r="K1394" s="31" t="n"/>
      <c r="L1394" s="31" t="n"/>
      <c r="M1394" s="31" t="n"/>
      <c r="N1394" s="31" t="n"/>
      <c r="O1394" s="31" t="n"/>
      <c r="P1394" s="31" t="n"/>
      <c r="Q1394" s="31" t="n"/>
      <c r="R1394" s="31" t="n"/>
      <c r="S1394" s="32">
        <f>IF($F1394="","",IF(IFERROR(VLOOKUP($F1394,'维度字典'!$I$2:$J$50,2,0),"求和")="手工录入","",IF(IFERROR(VLOOKUP($F1394,'维度字典'!$I$2:$J$50,2,0),"求和")="最新值",IFERROR(LOOKUP(9.99E+307,G1394:R1394),""),SUM(G1394:R1394))))</f>
        <v/>
      </c>
      <c r="T1394" s="33" t="n"/>
      <c r="U1394" s="33" t="n"/>
    </row>
    <row r="1395">
      <c r="A1395" s="26">
        <f>IF($B1395="","",ROW()-3)</f>
        <v/>
      </c>
      <c r="B1395" s="27" t="n"/>
      <c r="C1395" s="27" t="n"/>
      <c r="D1395" s="28" t="n"/>
      <c r="E1395" s="29" t="n"/>
      <c r="F1395" s="30" t="n"/>
      <c r="G1395" s="31" t="n"/>
      <c r="H1395" s="31" t="n"/>
      <c r="I1395" s="31" t="n"/>
      <c r="J1395" s="31" t="n"/>
      <c r="K1395" s="31" t="n"/>
      <c r="L1395" s="31" t="n"/>
      <c r="M1395" s="31" t="n"/>
      <c r="N1395" s="31" t="n"/>
      <c r="O1395" s="31" t="n"/>
      <c r="P1395" s="31" t="n"/>
      <c r="Q1395" s="31" t="n"/>
      <c r="R1395" s="31" t="n"/>
      <c r="S1395" s="32">
        <f>IF($F1395="","",IF(IFERROR(VLOOKUP($F1395,'维度字典'!$I$2:$J$50,2,0),"求和")="手工录入","",IF(IFERROR(VLOOKUP($F1395,'维度字典'!$I$2:$J$50,2,0),"求和")="最新值",IFERROR(LOOKUP(9.99E+307,G1395:R1395),""),SUM(G1395:R1395))))</f>
        <v/>
      </c>
      <c r="T1395" s="33" t="n"/>
      <c r="U1395" s="33" t="n"/>
    </row>
    <row r="1396">
      <c r="A1396" s="26">
        <f>IF($B1396="","",ROW()-3)</f>
        <v/>
      </c>
      <c r="B1396" s="27" t="n"/>
      <c r="C1396" s="27" t="n"/>
      <c r="D1396" s="28" t="n"/>
      <c r="E1396" s="29" t="n"/>
      <c r="F1396" s="30" t="n"/>
      <c r="G1396" s="31" t="n"/>
      <c r="H1396" s="31" t="n"/>
      <c r="I1396" s="31" t="n"/>
      <c r="J1396" s="31" t="n"/>
      <c r="K1396" s="31" t="n"/>
      <c r="L1396" s="31" t="n"/>
      <c r="M1396" s="31" t="n"/>
      <c r="N1396" s="31" t="n"/>
      <c r="O1396" s="31" t="n"/>
      <c r="P1396" s="31" t="n"/>
      <c r="Q1396" s="31" t="n"/>
      <c r="R1396" s="31" t="n"/>
      <c r="S1396" s="32">
        <f>IF($F1396="","",IF(IFERROR(VLOOKUP($F1396,'维度字典'!$I$2:$J$50,2,0),"求和")="手工录入","",IF(IFERROR(VLOOKUP($F1396,'维度字典'!$I$2:$J$50,2,0),"求和")="最新值",IFERROR(LOOKUP(9.99E+307,G1396:R1396),""),SUM(G1396:R1396))))</f>
        <v/>
      </c>
      <c r="T1396" s="33" t="n"/>
      <c r="U1396" s="33" t="n"/>
    </row>
    <row r="1397">
      <c r="A1397" s="26">
        <f>IF($B1397="","",ROW()-3)</f>
        <v/>
      </c>
      <c r="B1397" s="27" t="n"/>
      <c r="C1397" s="27" t="n"/>
      <c r="D1397" s="28" t="n"/>
      <c r="E1397" s="29" t="n"/>
      <c r="F1397" s="30" t="n"/>
      <c r="G1397" s="31" t="n"/>
      <c r="H1397" s="31" t="n"/>
      <c r="I1397" s="31" t="n"/>
      <c r="J1397" s="31" t="n"/>
      <c r="K1397" s="31" t="n"/>
      <c r="L1397" s="31" t="n"/>
      <c r="M1397" s="31" t="n"/>
      <c r="N1397" s="31" t="n"/>
      <c r="O1397" s="31" t="n"/>
      <c r="P1397" s="31" t="n"/>
      <c r="Q1397" s="31" t="n"/>
      <c r="R1397" s="31" t="n"/>
      <c r="S1397" s="32">
        <f>IF($F1397="","",IF(IFERROR(VLOOKUP($F1397,'维度字典'!$I$2:$J$50,2,0),"求和")="手工录入","",IF(IFERROR(VLOOKUP($F1397,'维度字典'!$I$2:$J$50,2,0),"求和")="最新值",IFERROR(LOOKUP(9.99E+307,G1397:R1397),""),SUM(G1397:R1397))))</f>
        <v/>
      </c>
      <c r="T1397" s="33" t="n"/>
      <c r="U1397" s="33" t="n"/>
    </row>
    <row r="1398">
      <c r="A1398" s="26">
        <f>IF($B1398="","",ROW()-3)</f>
        <v/>
      </c>
      <c r="B1398" s="27" t="n"/>
      <c r="C1398" s="27" t="n"/>
      <c r="D1398" s="28" t="n"/>
      <c r="E1398" s="29" t="n"/>
      <c r="F1398" s="30" t="n"/>
      <c r="G1398" s="31" t="n"/>
      <c r="H1398" s="31" t="n"/>
      <c r="I1398" s="31" t="n"/>
      <c r="J1398" s="31" t="n"/>
      <c r="K1398" s="31" t="n"/>
      <c r="L1398" s="31" t="n"/>
      <c r="M1398" s="31" t="n"/>
      <c r="N1398" s="31" t="n"/>
      <c r="O1398" s="31" t="n"/>
      <c r="P1398" s="31" t="n"/>
      <c r="Q1398" s="31" t="n"/>
      <c r="R1398" s="31" t="n"/>
      <c r="S1398" s="32">
        <f>IF($F1398="","",IF(IFERROR(VLOOKUP($F1398,'维度字典'!$I$2:$J$50,2,0),"求和")="手工录入","",IF(IFERROR(VLOOKUP($F1398,'维度字典'!$I$2:$J$50,2,0),"求和")="最新值",IFERROR(LOOKUP(9.99E+307,G1398:R1398),""),SUM(G1398:R1398))))</f>
        <v/>
      </c>
      <c r="T1398" s="33" t="n"/>
      <c r="U1398" s="33" t="n"/>
    </row>
    <row r="1399">
      <c r="A1399" s="26">
        <f>IF($B1399="","",ROW()-3)</f>
        <v/>
      </c>
      <c r="B1399" s="27" t="n"/>
      <c r="C1399" s="27" t="n"/>
      <c r="D1399" s="28" t="n"/>
      <c r="E1399" s="29" t="n"/>
      <c r="F1399" s="30" t="n"/>
      <c r="G1399" s="31" t="n"/>
      <c r="H1399" s="31" t="n"/>
      <c r="I1399" s="31" t="n"/>
      <c r="J1399" s="31" t="n"/>
      <c r="K1399" s="31" t="n"/>
      <c r="L1399" s="31" t="n"/>
      <c r="M1399" s="31" t="n"/>
      <c r="N1399" s="31" t="n"/>
      <c r="O1399" s="31" t="n"/>
      <c r="P1399" s="31" t="n"/>
      <c r="Q1399" s="31" t="n"/>
      <c r="R1399" s="31" t="n"/>
      <c r="S1399" s="32">
        <f>IF($F1399="","",IF(IFERROR(VLOOKUP($F1399,'维度字典'!$I$2:$J$50,2,0),"求和")="手工录入","",IF(IFERROR(VLOOKUP($F1399,'维度字典'!$I$2:$J$50,2,0),"求和")="最新值",IFERROR(LOOKUP(9.99E+307,G1399:R1399),""),SUM(G1399:R1399))))</f>
        <v/>
      </c>
      <c r="T1399" s="33" t="n"/>
      <c r="U1399" s="33" t="n"/>
    </row>
    <row r="1400">
      <c r="A1400" s="26">
        <f>IF($B1400="","",ROW()-3)</f>
        <v/>
      </c>
      <c r="B1400" s="27" t="n"/>
      <c r="C1400" s="27" t="n"/>
      <c r="D1400" s="28" t="n"/>
      <c r="E1400" s="29" t="n"/>
      <c r="F1400" s="30" t="n"/>
      <c r="G1400" s="31" t="n"/>
      <c r="H1400" s="31" t="n"/>
      <c r="I1400" s="31" t="n"/>
      <c r="J1400" s="31" t="n"/>
      <c r="K1400" s="31" t="n"/>
      <c r="L1400" s="31" t="n"/>
      <c r="M1400" s="31" t="n"/>
      <c r="N1400" s="31" t="n"/>
      <c r="O1400" s="31" t="n"/>
      <c r="P1400" s="31" t="n"/>
      <c r="Q1400" s="31" t="n"/>
      <c r="R1400" s="31" t="n"/>
      <c r="S1400" s="32">
        <f>IF($F1400="","",IF(IFERROR(VLOOKUP($F1400,'维度字典'!$I$2:$J$50,2,0),"求和")="手工录入","",IF(IFERROR(VLOOKUP($F1400,'维度字典'!$I$2:$J$50,2,0),"求和")="最新值",IFERROR(LOOKUP(9.99E+307,G1400:R1400),""),SUM(G1400:R1400))))</f>
        <v/>
      </c>
      <c r="T1400" s="33" t="n"/>
      <c r="U1400" s="33" t="n"/>
    </row>
    <row r="1401">
      <c r="A1401" s="26">
        <f>IF($B1401="","",ROW()-3)</f>
        <v/>
      </c>
      <c r="B1401" s="27" t="n"/>
      <c r="C1401" s="27" t="n"/>
      <c r="D1401" s="28" t="n"/>
      <c r="E1401" s="29" t="n"/>
      <c r="F1401" s="30" t="n"/>
      <c r="G1401" s="31" t="n"/>
      <c r="H1401" s="31" t="n"/>
      <c r="I1401" s="31" t="n"/>
      <c r="J1401" s="31" t="n"/>
      <c r="K1401" s="31" t="n"/>
      <c r="L1401" s="31" t="n"/>
      <c r="M1401" s="31" t="n"/>
      <c r="N1401" s="31" t="n"/>
      <c r="O1401" s="31" t="n"/>
      <c r="P1401" s="31" t="n"/>
      <c r="Q1401" s="31" t="n"/>
      <c r="R1401" s="31" t="n"/>
      <c r="S1401" s="32">
        <f>IF($F1401="","",IF(IFERROR(VLOOKUP($F1401,'维度字典'!$I$2:$J$50,2,0),"求和")="手工录入","",IF(IFERROR(VLOOKUP($F1401,'维度字典'!$I$2:$J$50,2,0),"求和")="最新值",IFERROR(LOOKUP(9.99E+307,G1401:R1401),""),SUM(G1401:R1401))))</f>
        <v/>
      </c>
      <c r="T1401" s="33" t="n"/>
      <c r="U1401" s="33" t="n"/>
    </row>
    <row r="1402">
      <c r="A1402" s="26">
        <f>IF($B1402="","",ROW()-3)</f>
        <v/>
      </c>
      <c r="B1402" s="27" t="n"/>
      <c r="C1402" s="27" t="n"/>
      <c r="D1402" s="28" t="n"/>
      <c r="E1402" s="29" t="n"/>
      <c r="F1402" s="30" t="n"/>
      <c r="G1402" s="31" t="n"/>
      <c r="H1402" s="31" t="n"/>
      <c r="I1402" s="31" t="n"/>
      <c r="J1402" s="31" t="n"/>
      <c r="K1402" s="31" t="n"/>
      <c r="L1402" s="31" t="n"/>
      <c r="M1402" s="31" t="n"/>
      <c r="N1402" s="31" t="n"/>
      <c r="O1402" s="31" t="n"/>
      <c r="P1402" s="31" t="n"/>
      <c r="Q1402" s="31" t="n"/>
      <c r="R1402" s="31" t="n"/>
      <c r="S1402" s="32">
        <f>IF($F1402="","",IF(IFERROR(VLOOKUP($F1402,'维度字典'!$I$2:$J$50,2,0),"求和")="手工录入","",IF(IFERROR(VLOOKUP($F1402,'维度字典'!$I$2:$J$50,2,0),"求和")="最新值",IFERROR(LOOKUP(9.99E+307,G1402:R1402),""),SUM(G1402:R1402))))</f>
        <v/>
      </c>
      <c r="T1402" s="33" t="n"/>
      <c r="U1402" s="33" t="n"/>
    </row>
    <row r="1403">
      <c r="A1403" s="26">
        <f>IF($B1403="","",ROW()-3)</f>
        <v/>
      </c>
      <c r="B1403" s="27" t="n"/>
      <c r="C1403" s="27" t="n"/>
      <c r="D1403" s="28" t="n"/>
      <c r="E1403" s="29" t="n"/>
      <c r="F1403" s="30" t="n"/>
      <c r="G1403" s="31" t="n"/>
      <c r="H1403" s="31" t="n"/>
      <c r="I1403" s="31" t="n"/>
      <c r="J1403" s="31" t="n"/>
      <c r="K1403" s="31" t="n"/>
      <c r="L1403" s="31" t="n"/>
      <c r="M1403" s="31" t="n"/>
      <c r="N1403" s="31" t="n"/>
      <c r="O1403" s="31" t="n"/>
      <c r="P1403" s="31" t="n"/>
      <c r="Q1403" s="31" t="n"/>
      <c r="R1403" s="31" t="n"/>
      <c r="S1403" s="32">
        <f>IF($F1403="","",IF(IFERROR(VLOOKUP($F1403,'维度字典'!$I$2:$J$50,2,0),"求和")="手工录入","",IF(IFERROR(VLOOKUP($F1403,'维度字典'!$I$2:$J$50,2,0),"求和")="最新值",IFERROR(LOOKUP(9.99E+307,G1403:R1403),""),SUM(G1403:R1403))))</f>
        <v/>
      </c>
      <c r="T1403" s="33" t="n"/>
      <c r="U1403" s="33" t="n"/>
    </row>
    <row r="1404">
      <c r="A1404" s="26">
        <f>IF($B1404="","",ROW()-3)</f>
        <v/>
      </c>
      <c r="B1404" s="27" t="n"/>
      <c r="C1404" s="27" t="n"/>
      <c r="D1404" s="28" t="n"/>
      <c r="E1404" s="29" t="n"/>
      <c r="F1404" s="30" t="n"/>
      <c r="G1404" s="31" t="n"/>
      <c r="H1404" s="31" t="n"/>
      <c r="I1404" s="31" t="n"/>
      <c r="J1404" s="31" t="n"/>
      <c r="K1404" s="31" t="n"/>
      <c r="L1404" s="31" t="n"/>
      <c r="M1404" s="31" t="n"/>
      <c r="N1404" s="31" t="n"/>
      <c r="O1404" s="31" t="n"/>
      <c r="P1404" s="31" t="n"/>
      <c r="Q1404" s="31" t="n"/>
      <c r="R1404" s="31" t="n"/>
      <c r="S1404" s="32">
        <f>IF($F1404="","",IF(IFERROR(VLOOKUP($F1404,'维度字典'!$I$2:$J$50,2,0),"求和")="手工录入","",IF(IFERROR(VLOOKUP($F1404,'维度字典'!$I$2:$J$50,2,0),"求和")="最新值",IFERROR(LOOKUP(9.99E+307,G1404:R1404),""),SUM(G1404:R1404))))</f>
        <v/>
      </c>
      <c r="T1404" s="33" t="n"/>
      <c r="U1404" s="33" t="n"/>
    </row>
    <row r="1405">
      <c r="A1405" s="26">
        <f>IF($B1405="","",ROW()-3)</f>
        <v/>
      </c>
      <c r="B1405" s="27" t="n"/>
      <c r="C1405" s="27" t="n"/>
      <c r="D1405" s="28" t="n"/>
      <c r="E1405" s="29" t="n"/>
      <c r="F1405" s="30" t="n"/>
      <c r="G1405" s="31" t="n"/>
      <c r="H1405" s="31" t="n"/>
      <c r="I1405" s="31" t="n"/>
      <c r="J1405" s="31" t="n"/>
      <c r="K1405" s="31" t="n"/>
      <c r="L1405" s="31" t="n"/>
      <c r="M1405" s="31" t="n"/>
      <c r="N1405" s="31" t="n"/>
      <c r="O1405" s="31" t="n"/>
      <c r="P1405" s="31" t="n"/>
      <c r="Q1405" s="31" t="n"/>
      <c r="R1405" s="31" t="n"/>
      <c r="S1405" s="32">
        <f>IF($F1405="","",IF(IFERROR(VLOOKUP($F1405,'维度字典'!$I$2:$J$50,2,0),"求和")="手工录入","",IF(IFERROR(VLOOKUP($F1405,'维度字典'!$I$2:$J$50,2,0),"求和")="最新值",IFERROR(LOOKUP(9.99E+307,G1405:R1405),""),SUM(G1405:R1405))))</f>
        <v/>
      </c>
      <c r="T1405" s="33" t="n"/>
      <c r="U1405" s="33" t="n"/>
    </row>
    <row r="1406">
      <c r="A1406" s="26">
        <f>IF($B1406="","",ROW()-3)</f>
        <v/>
      </c>
      <c r="B1406" s="27" t="n"/>
      <c r="C1406" s="27" t="n"/>
      <c r="D1406" s="28" t="n"/>
      <c r="E1406" s="29" t="n"/>
      <c r="F1406" s="30" t="n"/>
      <c r="G1406" s="31" t="n"/>
      <c r="H1406" s="31" t="n"/>
      <c r="I1406" s="31" t="n"/>
      <c r="J1406" s="31" t="n"/>
      <c r="K1406" s="31" t="n"/>
      <c r="L1406" s="31" t="n"/>
      <c r="M1406" s="31" t="n"/>
      <c r="N1406" s="31" t="n"/>
      <c r="O1406" s="31" t="n"/>
      <c r="P1406" s="31" t="n"/>
      <c r="Q1406" s="31" t="n"/>
      <c r="R1406" s="31" t="n"/>
      <c r="S1406" s="32">
        <f>IF($F1406="","",IF(IFERROR(VLOOKUP($F1406,'维度字典'!$I$2:$J$50,2,0),"求和")="手工录入","",IF(IFERROR(VLOOKUP($F1406,'维度字典'!$I$2:$J$50,2,0),"求和")="最新值",IFERROR(LOOKUP(9.99E+307,G1406:R1406),""),SUM(G1406:R1406))))</f>
        <v/>
      </c>
      <c r="T1406" s="33" t="n"/>
      <c r="U1406" s="33" t="n"/>
    </row>
    <row r="1407">
      <c r="A1407" s="26">
        <f>IF($B1407="","",ROW()-3)</f>
        <v/>
      </c>
      <c r="B1407" s="27" t="n"/>
      <c r="C1407" s="27" t="n"/>
      <c r="D1407" s="28" t="n"/>
      <c r="E1407" s="29" t="n"/>
      <c r="F1407" s="30" t="n"/>
      <c r="G1407" s="31" t="n"/>
      <c r="H1407" s="31" t="n"/>
      <c r="I1407" s="31" t="n"/>
      <c r="J1407" s="31" t="n"/>
      <c r="K1407" s="31" t="n"/>
      <c r="L1407" s="31" t="n"/>
      <c r="M1407" s="31" t="n"/>
      <c r="N1407" s="31" t="n"/>
      <c r="O1407" s="31" t="n"/>
      <c r="P1407" s="31" t="n"/>
      <c r="Q1407" s="31" t="n"/>
      <c r="R1407" s="31" t="n"/>
      <c r="S1407" s="32">
        <f>IF($F1407="","",IF(IFERROR(VLOOKUP($F1407,'维度字典'!$I$2:$J$50,2,0),"求和")="手工录入","",IF(IFERROR(VLOOKUP($F1407,'维度字典'!$I$2:$J$50,2,0),"求和")="最新值",IFERROR(LOOKUP(9.99E+307,G1407:R1407),""),SUM(G1407:R1407))))</f>
        <v/>
      </c>
      <c r="T1407" s="33" t="n"/>
      <c r="U1407" s="33" t="n"/>
    </row>
    <row r="1408">
      <c r="A1408" s="26">
        <f>IF($B1408="","",ROW()-3)</f>
        <v/>
      </c>
      <c r="B1408" s="27" t="n"/>
      <c r="C1408" s="27" t="n"/>
      <c r="D1408" s="28" t="n"/>
      <c r="E1408" s="29" t="n"/>
      <c r="F1408" s="30" t="n"/>
      <c r="G1408" s="31" t="n"/>
      <c r="H1408" s="31" t="n"/>
      <c r="I1408" s="31" t="n"/>
      <c r="J1408" s="31" t="n"/>
      <c r="K1408" s="31" t="n"/>
      <c r="L1408" s="31" t="n"/>
      <c r="M1408" s="31" t="n"/>
      <c r="N1408" s="31" t="n"/>
      <c r="O1408" s="31" t="n"/>
      <c r="P1408" s="31" t="n"/>
      <c r="Q1408" s="31" t="n"/>
      <c r="R1408" s="31" t="n"/>
      <c r="S1408" s="32">
        <f>IF($F1408="","",IF(IFERROR(VLOOKUP($F1408,'维度字典'!$I$2:$J$50,2,0),"求和")="手工录入","",IF(IFERROR(VLOOKUP($F1408,'维度字典'!$I$2:$J$50,2,0),"求和")="最新值",IFERROR(LOOKUP(9.99E+307,G1408:R1408),""),SUM(G1408:R1408))))</f>
        <v/>
      </c>
      <c r="T1408" s="33" t="n"/>
      <c r="U1408" s="33" t="n"/>
    </row>
    <row r="1409">
      <c r="A1409" s="26">
        <f>IF($B1409="","",ROW()-3)</f>
        <v/>
      </c>
      <c r="B1409" s="27" t="n"/>
      <c r="C1409" s="27" t="n"/>
      <c r="D1409" s="28" t="n"/>
      <c r="E1409" s="29" t="n"/>
      <c r="F1409" s="30" t="n"/>
      <c r="G1409" s="31" t="n"/>
      <c r="H1409" s="31" t="n"/>
      <c r="I1409" s="31" t="n"/>
      <c r="J1409" s="31" t="n"/>
      <c r="K1409" s="31" t="n"/>
      <c r="L1409" s="31" t="n"/>
      <c r="M1409" s="31" t="n"/>
      <c r="N1409" s="31" t="n"/>
      <c r="O1409" s="31" t="n"/>
      <c r="P1409" s="31" t="n"/>
      <c r="Q1409" s="31" t="n"/>
      <c r="R1409" s="31" t="n"/>
      <c r="S1409" s="32">
        <f>IF($F1409="","",IF(IFERROR(VLOOKUP($F1409,'维度字典'!$I$2:$J$50,2,0),"求和")="手工录入","",IF(IFERROR(VLOOKUP($F1409,'维度字典'!$I$2:$J$50,2,0),"求和")="最新值",IFERROR(LOOKUP(9.99E+307,G1409:R1409),""),SUM(G1409:R1409))))</f>
        <v/>
      </c>
      <c r="T1409" s="33" t="n"/>
      <c r="U1409" s="33" t="n"/>
    </row>
    <row r="1410">
      <c r="A1410" s="26">
        <f>IF($B1410="","",ROW()-3)</f>
        <v/>
      </c>
      <c r="B1410" s="27" t="n"/>
      <c r="C1410" s="27" t="n"/>
      <c r="D1410" s="28" t="n"/>
      <c r="E1410" s="29" t="n"/>
      <c r="F1410" s="30" t="n"/>
      <c r="G1410" s="31" t="n"/>
      <c r="H1410" s="31" t="n"/>
      <c r="I1410" s="31" t="n"/>
      <c r="J1410" s="31" t="n"/>
      <c r="K1410" s="31" t="n"/>
      <c r="L1410" s="31" t="n"/>
      <c r="M1410" s="31" t="n"/>
      <c r="N1410" s="31" t="n"/>
      <c r="O1410" s="31" t="n"/>
      <c r="P1410" s="31" t="n"/>
      <c r="Q1410" s="31" t="n"/>
      <c r="R1410" s="31" t="n"/>
      <c r="S1410" s="32">
        <f>IF($F1410="","",IF(IFERROR(VLOOKUP($F1410,'维度字典'!$I$2:$J$50,2,0),"求和")="手工录入","",IF(IFERROR(VLOOKUP($F1410,'维度字典'!$I$2:$J$50,2,0),"求和")="最新值",IFERROR(LOOKUP(9.99E+307,G1410:R1410),""),SUM(G1410:R1410))))</f>
        <v/>
      </c>
      <c r="T1410" s="33" t="n"/>
      <c r="U1410" s="33" t="n"/>
    </row>
    <row r="1411">
      <c r="A1411" s="26">
        <f>IF($B1411="","",ROW()-3)</f>
        <v/>
      </c>
      <c r="B1411" s="27" t="n"/>
      <c r="C1411" s="27" t="n"/>
      <c r="D1411" s="28" t="n"/>
      <c r="E1411" s="29" t="n"/>
      <c r="F1411" s="30" t="n"/>
      <c r="G1411" s="31" t="n"/>
      <c r="H1411" s="31" t="n"/>
      <c r="I1411" s="31" t="n"/>
      <c r="J1411" s="31" t="n"/>
      <c r="K1411" s="31" t="n"/>
      <c r="L1411" s="31" t="n"/>
      <c r="M1411" s="31" t="n"/>
      <c r="N1411" s="31" t="n"/>
      <c r="O1411" s="31" t="n"/>
      <c r="P1411" s="31" t="n"/>
      <c r="Q1411" s="31" t="n"/>
      <c r="R1411" s="31" t="n"/>
      <c r="S1411" s="32">
        <f>IF($F1411="","",IF(IFERROR(VLOOKUP($F1411,'维度字典'!$I$2:$J$50,2,0),"求和")="手工录入","",IF(IFERROR(VLOOKUP($F1411,'维度字典'!$I$2:$J$50,2,0),"求和")="最新值",IFERROR(LOOKUP(9.99E+307,G1411:R1411),""),SUM(G1411:R1411))))</f>
        <v/>
      </c>
      <c r="T1411" s="33" t="n"/>
      <c r="U1411" s="33" t="n"/>
    </row>
    <row r="1412">
      <c r="A1412" s="26">
        <f>IF($B1412="","",ROW()-3)</f>
        <v/>
      </c>
      <c r="B1412" s="27" t="n"/>
      <c r="C1412" s="27" t="n"/>
      <c r="D1412" s="28" t="n"/>
      <c r="E1412" s="29" t="n"/>
      <c r="F1412" s="30" t="n"/>
      <c r="G1412" s="31" t="n"/>
      <c r="H1412" s="31" t="n"/>
      <c r="I1412" s="31" t="n"/>
      <c r="J1412" s="31" t="n"/>
      <c r="K1412" s="31" t="n"/>
      <c r="L1412" s="31" t="n"/>
      <c r="M1412" s="31" t="n"/>
      <c r="N1412" s="31" t="n"/>
      <c r="O1412" s="31" t="n"/>
      <c r="P1412" s="31" t="n"/>
      <c r="Q1412" s="31" t="n"/>
      <c r="R1412" s="31" t="n"/>
      <c r="S1412" s="32">
        <f>IF($F1412="","",IF(IFERROR(VLOOKUP($F1412,'维度字典'!$I$2:$J$50,2,0),"求和")="手工录入","",IF(IFERROR(VLOOKUP($F1412,'维度字典'!$I$2:$J$50,2,0),"求和")="最新值",IFERROR(LOOKUP(9.99E+307,G1412:R1412),""),SUM(G1412:R1412))))</f>
        <v/>
      </c>
      <c r="T1412" s="33" t="n"/>
      <c r="U1412" s="33" t="n"/>
    </row>
    <row r="1413">
      <c r="A1413" s="26">
        <f>IF($B1413="","",ROW()-3)</f>
        <v/>
      </c>
      <c r="B1413" s="27" t="n"/>
      <c r="C1413" s="27" t="n"/>
      <c r="D1413" s="28" t="n"/>
      <c r="E1413" s="29" t="n"/>
      <c r="F1413" s="30" t="n"/>
      <c r="G1413" s="31" t="n"/>
      <c r="H1413" s="31" t="n"/>
      <c r="I1413" s="31" t="n"/>
      <c r="J1413" s="31" t="n"/>
      <c r="K1413" s="31" t="n"/>
      <c r="L1413" s="31" t="n"/>
      <c r="M1413" s="31" t="n"/>
      <c r="N1413" s="31" t="n"/>
      <c r="O1413" s="31" t="n"/>
      <c r="P1413" s="31" t="n"/>
      <c r="Q1413" s="31" t="n"/>
      <c r="R1413" s="31" t="n"/>
      <c r="S1413" s="32">
        <f>IF($F1413="","",IF(IFERROR(VLOOKUP($F1413,'维度字典'!$I$2:$J$50,2,0),"求和")="手工录入","",IF(IFERROR(VLOOKUP($F1413,'维度字典'!$I$2:$J$50,2,0),"求和")="最新值",IFERROR(LOOKUP(9.99E+307,G1413:R1413),""),SUM(G1413:R1413))))</f>
        <v/>
      </c>
      <c r="T1413" s="33" t="n"/>
      <c r="U1413" s="33" t="n"/>
    </row>
    <row r="1414">
      <c r="A1414" s="26">
        <f>IF($B1414="","",ROW()-3)</f>
        <v/>
      </c>
      <c r="B1414" s="27" t="n"/>
      <c r="C1414" s="27" t="n"/>
      <c r="D1414" s="28" t="n"/>
      <c r="E1414" s="29" t="n"/>
      <c r="F1414" s="30" t="n"/>
      <c r="G1414" s="31" t="n"/>
      <c r="H1414" s="31" t="n"/>
      <c r="I1414" s="31" t="n"/>
      <c r="J1414" s="31" t="n"/>
      <c r="K1414" s="31" t="n"/>
      <c r="L1414" s="31" t="n"/>
      <c r="M1414" s="31" t="n"/>
      <c r="N1414" s="31" t="n"/>
      <c r="O1414" s="31" t="n"/>
      <c r="P1414" s="31" t="n"/>
      <c r="Q1414" s="31" t="n"/>
      <c r="R1414" s="31" t="n"/>
      <c r="S1414" s="32">
        <f>IF($F1414="","",IF(IFERROR(VLOOKUP($F1414,'维度字典'!$I$2:$J$50,2,0),"求和")="手工录入","",IF(IFERROR(VLOOKUP($F1414,'维度字典'!$I$2:$J$50,2,0),"求和")="最新值",IFERROR(LOOKUP(9.99E+307,G1414:R1414),""),SUM(G1414:R1414))))</f>
        <v/>
      </c>
      <c r="T1414" s="33" t="n"/>
      <c r="U1414" s="33" t="n"/>
    </row>
    <row r="1415">
      <c r="A1415" s="26">
        <f>IF($B1415="","",ROW()-3)</f>
        <v/>
      </c>
      <c r="B1415" s="27" t="n"/>
      <c r="C1415" s="27" t="n"/>
      <c r="D1415" s="28" t="n"/>
      <c r="E1415" s="29" t="n"/>
      <c r="F1415" s="30" t="n"/>
      <c r="G1415" s="31" t="n"/>
      <c r="H1415" s="31" t="n"/>
      <c r="I1415" s="31" t="n"/>
      <c r="J1415" s="31" t="n"/>
      <c r="K1415" s="31" t="n"/>
      <c r="L1415" s="31" t="n"/>
      <c r="M1415" s="31" t="n"/>
      <c r="N1415" s="31" t="n"/>
      <c r="O1415" s="31" t="n"/>
      <c r="P1415" s="31" t="n"/>
      <c r="Q1415" s="31" t="n"/>
      <c r="R1415" s="31" t="n"/>
      <c r="S1415" s="32">
        <f>IF($F1415="","",IF(IFERROR(VLOOKUP($F1415,'维度字典'!$I$2:$J$50,2,0),"求和")="手工录入","",IF(IFERROR(VLOOKUP($F1415,'维度字典'!$I$2:$J$50,2,0),"求和")="最新值",IFERROR(LOOKUP(9.99E+307,G1415:R1415),""),SUM(G1415:R1415))))</f>
        <v/>
      </c>
      <c r="T1415" s="33" t="n"/>
      <c r="U1415" s="33" t="n"/>
    </row>
    <row r="1416">
      <c r="A1416" s="26">
        <f>IF($B1416="","",ROW()-3)</f>
        <v/>
      </c>
      <c r="B1416" s="27" t="n"/>
      <c r="C1416" s="27" t="n"/>
      <c r="D1416" s="28" t="n"/>
      <c r="E1416" s="29" t="n"/>
      <c r="F1416" s="30" t="n"/>
      <c r="G1416" s="31" t="n"/>
      <c r="H1416" s="31" t="n"/>
      <c r="I1416" s="31" t="n"/>
      <c r="J1416" s="31" t="n"/>
      <c r="K1416" s="31" t="n"/>
      <c r="L1416" s="31" t="n"/>
      <c r="M1416" s="31" t="n"/>
      <c r="N1416" s="31" t="n"/>
      <c r="O1416" s="31" t="n"/>
      <c r="P1416" s="31" t="n"/>
      <c r="Q1416" s="31" t="n"/>
      <c r="R1416" s="31" t="n"/>
      <c r="S1416" s="32">
        <f>IF($F1416="","",IF(IFERROR(VLOOKUP($F1416,'维度字典'!$I$2:$J$50,2,0),"求和")="手工录入","",IF(IFERROR(VLOOKUP($F1416,'维度字典'!$I$2:$J$50,2,0),"求和")="最新值",IFERROR(LOOKUP(9.99E+307,G1416:R1416),""),SUM(G1416:R1416))))</f>
        <v/>
      </c>
      <c r="T1416" s="33" t="n"/>
      <c r="U1416" s="33" t="n"/>
    </row>
    <row r="1417">
      <c r="A1417" s="26">
        <f>IF($B1417="","",ROW()-3)</f>
        <v/>
      </c>
      <c r="B1417" s="27" t="n"/>
      <c r="C1417" s="27" t="n"/>
      <c r="D1417" s="28" t="n"/>
      <c r="E1417" s="29" t="n"/>
      <c r="F1417" s="30" t="n"/>
      <c r="G1417" s="31" t="n"/>
      <c r="H1417" s="31" t="n"/>
      <c r="I1417" s="31" t="n"/>
      <c r="J1417" s="31" t="n"/>
      <c r="K1417" s="31" t="n"/>
      <c r="L1417" s="31" t="n"/>
      <c r="M1417" s="31" t="n"/>
      <c r="N1417" s="31" t="n"/>
      <c r="O1417" s="31" t="n"/>
      <c r="P1417" s="31" t="n"/>
      <c r="Q1417" s="31" t="n"/>
      <c r="R1417" s="31" t="n"/>
      <c r="S1417" s="32">
        <f>IF($F1417="","",IF(IFERROR(VLOOKUP($F1417,'维度字典'!$I$2:$J$50,2,0),"求和")="手工录入","",IF(IFERROR(VLOOKUP($F1417,'维度字典'!$I$2:$J$50,2,0),"求和")="最新值",IFERROR(LOOKUP(9.99E+307,G1417:R1417),""),SUM(G1417:R1417))))</f>
        <v/>
      </c>
      <c r="T1417" s="33" t="n"/>
      <c r="U1417" s="33" t="n"/>
    </row>
    <row r="1418">
      <c r="A1418" s="26">
        <f>IF($B1418="","",ROW()-3)</f>
        <v/>
      </c>
      <c r="B1418" s="27" t="n"/>
      <c r="C1418" s="27" t="n"/>
      <c r="D1418" s="28" t="n"/>
      <c r="E1418" s="29" t="n"/>
      <c r="F1418" s="30" t="n"/>
      <c r="G1418" s="31" t="n"/>
      <c r="H1418" s="31" t="n"/>
      <c r="I1418" s="31" t="n"/>
      <c r="J1418" s="31" t="n"/>
      <c r="K1418" s="31" t="n"/>
      <c r="L1418" s="31" t="n"/>
      <c r="M1418" s="31" t="n"/>
      <c r="N1418" s="31" t="n"/>
      <c r="O1418" s="31" t="n"/>
      <c r="P1418" s="31" t="n"/>
      <c r="Q1418" s="31" t="n"/>
      <c r="R1418" s="31" t="n"/>
      <c r="S1418" s="32">
        <f>IF($F1418="","",IF(IFERROR(VLOOKUP($F1418,'维度字典'!$I$2:$J$50,2,0),"求和")="手工录入","",IF(IFERROR(VLOOKUP($F1418,'维度字典'!$I$2:$J$50,2,0),"求和")="最新值",IFERROR(LOOKUP(9.99E+307,G1418:R1418),""),SUM(G1418:R1418))))</f>
        <v/>
      </c>
      <c r="T1418" s="33" t="n"/>
      <c r="U1418" s="33" t="n"/>
    </row>
    <row r="1419">
      <c r="A1419" s="26">
        <f>IF($B1419="","",ROW()-3)</f>
        <v/>
      </c>
      <c r="B1419" s="27" t="n"/>
      <c r="C1419" s="27" t="n"/>
      <c r="D1419" s="28" t="n"/>
      <c r="E1419" s="29" t="n"/>
      <c r="F1419" s="30" t="n"/>
      <c r="G1419" s="31" t="n"/>
      <c r="H1419" s="31" t="n"/>
      <c r="I1419" s="31" t="n"/>
      <c r="J1419" s="31" t="n"/>
      <c r="K1419" s="31" t="n"/>
      <c r="L1419" s="31" t="n"/>
      <c r="M1419" s="31" t="n"/>
      <c r="N1419" s="31" t="n"/>
      <c r="O1419" s="31" t="n"/>
      <c r="P1419" s="31" t="n"/>
      <c r="Q1419" s="31" t="n"/>
      <c r="R1419" s="31" t="n"/>
      <c r="S1419" s="32">
        <f>IF($F1419="","",IF(IFERROR(VLOOKUP($F1419,'维度字典'!$I$2:$J$50,2,0),"求和")="手工录入","",IF(IFERROR(VLOOKUP($F1419,'维度字典'!$I$2:$J$50,2,0),"求和")="最新值",IFERROR(LOOKUP(9.99E+307,G1419:R1419),""),SUM(G1419:R1419))))</f>
        <v/>
      </c>
      <c r="T1419" s="33" t="n"/>
      <c r="U1419" s="33" t="n"/>
    </row>
    <row r="1420">
      <c r="A1420" s="26">
        <f>IF($B1420="","",ROW()-3)</f>
        <v/>
      </c>
      <c r="B1420" s="27" t="n"/>
      <c r="C1420" s="27" t="n"/>
      <c r="D1420" s="28" t="n"/>
      <c r="E1420" s="29" t="n"/>
      <c r="F1420" s="30" t="n"/>
      <c r="G1420" s="31" t="n"/>
      <c r="H1420" s="31" t="n"/>
      <c r="I1420" s="31" t="n"/>
      <c r="J1420" s="31" t="n"/>
      <c r="K1420" s="31" t="n"/>
      <c r="L1420" s="31" t="n"/>
      <c r="M1420" s="31" t="n"/>
      <c r="N1420" s="31" t="n"/>
      <c r="O1420" s="31" t="n"/>
      <c r="P1420" s="31" t="n"/>
      <c r="Q1420" s="31" t="n"/>
      <c r="R1420" s="31" t="n"/>
      <c r="S1420" s="32">
        <f>IF($F1420="","",IF(IFERROR(VLOOKUP($F1420,'维度字典'!$I$2:$J$50,2,0),"求和")="手工录入","",IF(IFERROR(VLOOKUP($F1420,'维度字典'!$I$2:$J$50,2,0),"求和")="最新值",IFERROR(LOOKUP(9.99E+307,G1420:R1420),""),SUM(G1420:R1420))))</f>
        <v/>
      </c>
      <c r="T1420" s="33" t="n"/>
      <c r="U1420" s="33" t="n"/>
    </row>
    <row r="1421">
      <c r="A1421" s="26">
        <f>IF($B1421="","",ROW()-3)</f>
        <v/>
      </c>
      <c r="B1421" s="27" t="n"/>
      <c r="C1421" s="27" t="n"/>
      <c r="D1421" s="28" t="n"/>
      <c r="E1421" s="29" t="n"/>
      <c r="F1421" s="30" t="n"/>
      <c r="G1421" s="31" t="n"/>
      <c r="H1421" s="31" t="n"/>
      <c r="I1421" s="31" t="n"/>
      <c r="J1421" s="31" t="n"/>
      <c r="K1421" s="31" t="n"/>
      <c r="L1421" s="31" t="n"/>
      <c r="M1421" s="31" t="n"/>
      <c r="N1421" s="31" t="n"/>
      <c r="O1421" s="31" t="n"/>
      <c r="P1421" s="31" t="n"/>
      <c r="Q1421" s="31" t="n"/>
      <c r="R1421" s="31" t="n"/>
      <c r="S1421" s="32">
        <f>IF($F1421="","",IF(IFERROR(VLOOKUP($F1421,'维度字典'!$I$2:$J$50,2,0),"求和")="手工录入","",IF(IFERROR(VLOOKUP($F1421,'维度字典'!$I$2:$J$50,2,0),"求和")="最新值",IFERROR(LOOKUP(9.99E+307,G1421:R1421),""),SUM(G1421:R1421))))</f>
        <v/>
      </c>
      <c r="T1421" s="33" t="n"/>
      <c r="U1421" s="33" t="n"/>
    </row>
    <row r="1422">
      <c r="A1422" s="26">
        <f>IF($B1422="","",ROW()-3)</f>
        <v/>
      </c>
      <c r="B1422" s="27" t="n"/>
      <c r="C1422" s="27" t="n"/>
      <c r="D1422" s="28" t="n"/>
      <c r="E1422" s="29" t="n"/>
      <c r="F1422" s="30" t="n"/>
      <c r="G1422" s="31" t="n"/>
      <c r="H1422" s="31" t="n"/>
      <c r="I1422" s="31" t="n"/>
      <c r="J1422" s="31" t="n"/>
      <c r="K1422" s="31" t="n"/>
      <c r="L1422" s="31" t="n"/>
      <c r="M1422" s="31" t="n"/>
      <c r="N1422" s="31" t="n"/>
      <c r="O1422" s="31" t="n"/>
      <c r="P1422" s="31" t="n"/>
      <c r="Q1422" s="31" t="n"/>
      <c r="R1422" s="31" t="n"/>
      <c r="S1422" s="32">
        <f>IF($F1422="","",IF(IFERROR(VLOOKUP($F1422,'维度字典'!$I$2:$J$50,2,0),"求和")="手工录入","",IF(IFERROR(VLOOKUP($F1422,'维度字典'!$I$2:$J$50,2,0),"求和")="最新值",IFERROR(LOOKUP(9.99E+307,G1422:R1422),""),SUM(G1422:R1422))))</f>
        <v/>
      </c>
      <c r="T1422" s="33" t="n"/>
      <c r="U1422" s="33" t="n"/>
    </row>
    <row r="1423">
      <c r="A1423" s="26">
        <f>IF($B1423="","",ROW()-3)</f>
        <v/>
      </c>
      <c r="B1423" s="27" t="n"/>
      <c r="C1423" s="27" t="n"/>
      <c r="D1423" s="28" t="n"/>
      <c r="E1423" s="29" t="n"/>
      <c r="F1423" s="30" t="n"/>
      <c r="G1423" s="31" t="n"/>
      <c r="H1423" s="31" t="n"/>
      <c r="I1423" s="31" t="n"/>
      <c r="J1423" s="31" t="n"/>
      <c r="K1423" s="31" t="n"/>
      <c r="L1423" s="31" t="n"/>
      <c r="M1423" s="31" t="n"/>
      <c r="N1423" s="31" t="n"/>
      <c r="O1423" s="31" t="n"/>
      <c r="P1423" s="31" t="n"/>
      <c r="Q1423" s="31" t="n"/>
      <c r="R1423" s="31" t="n"/>
      <c r="S1423" s="32">
        <f>IF($F1423="","",IF(IFERROR(VLOOKUP($F1423,'维度字典'!$I$2:$J$50,2,0),"求和")="手工录入","",IF(IFERROR(VLOOKUP($F1423,'维度字典'!$I$2:$J$50,2,0),"求和")="最新值",IFERROR(LOOKUP(9.99E+307,G1423:R1423),""),SUM(G1423:R1423))))</f>
        <v/>
      </c>
      <c r="T1423" s="33" t="n"/>
      <c r="U1423" s="33" t="n"/>
    </row>
    <row r="1424">
      <c r="A1424" s="26">
        <f>IF($B1424="","",ROW()-3)</f>
        <v/>
      </c>
      <c r="B1424" s="27" t="n"/>
      <c r="C1424" s="27" t="n"/>
      <c r="D1424" s="28" t="n"/>
      <c r="E1424" s="29" t="n"/>
      <c r="F1424" s="30" t="n"/>
      <c r="G1424" s="31" t="n"/>
      <c r="H1424" s="31" t="n"/>
      <c r="I1424" s="31" t="n"/>
      <c r="J1424" s="31" t="n"/>
      <c r="K1424" s="31" t="n"/>
      <c r="L1424" s="31" t="n"/>
      <c r="M1424" s="31" t="n"/>
      <c r="N1424" s="31" t="n"/>
      <c r="O1424" s="31" t="n"/>
      <c r="P1424" s="31" t="n"/>
      <c r="Q1424" s="31" t="n"/>
      <c r="R1424" s="31" t="n"/>
      <c r="S1424" s="32">
        <f>IF($F1424="","",IF(IFERROR(VLOOKUP($F1424,'维度字典'!$I$2:$J$50,2,0),"求和")="手工录入","",IF(IFERROR(VLOOKUP($F1424,'维度字典'!$I$2:$J$50,2,0),"求和")="最新值",IFERROR(LOOKUP(9.99E+307,G1424:R1424),""),SUM(G1424:R1424))))</f>
        <v/>
      </c>
      <c r="T1424" s="33" t="n"/>
      <c r="U1424" s="33" t="n"/>
    </row>
    <row r="1425">
      <c r="A1425" s="26">
        <f>IF($B1425="","",ROW()-3)</f>
        <v/>
      </c>
      <c r="B1425" s="27" t="n"/>
      <c r="C1425" s="27" t="n"/>
      <c r="D1425" s="28" t="n"/>
      <c r="E1425" s="29" t="n"/>
      <c r="F1425" s="30" t="n"/>
      <c r="G1425" s="31" t="n"/>
      <c r="H1425" s="31" t="n"/>
      <c r="I1425" s="31" t="n"/>
      <c r="J1425" s="31" t="n"/>
      <c r="K1425" s="31" t="n"/>
      <c r="L1425" s="31" t="n"/>
      <c r="M1425" s="31" t="n"/>
      <c r="N1425" s="31" t="n"/>
      <c r="O1425" s="31" t="n"/>
      <c r="P1425" s="31" t="n"/>
      <c r="Q1425" s="31" t="n"/>
      <c r="R1425" s="31" t="n"/>
      <c r="S1425" s="32">
        <f>IF($F1425="","",IF(IFERROR(VLOOKUP($F1425,'维度字典'!$I$2:$J$50,2,0),"求和")="手工录入","",IF(IFERROR(VLOOKUP($F1425,'维度字典'!$I$2:$J$50,2,0),"求和")="最新值",IFERROR(LOOKUP(9.99E+307,G1425:R1425),""),SUM(G1425:R1425))))</f>
        <v/>
      </c>
      <c r="T1425" s="33" t="n"/>
      <c r="U1425" s="33" t="n"/>
    </row>
    <row r="1426">
      <c r="A1426" s="26">
        <f>IF($B1426="","",ROW()-3)</f>
        <v/>
      </c>
      <c r="B1426" s="27" t="n"/>
      <c r="C1426" s="27" t="n"/>
      <c r="D1426" s="28" t="n"/>
      <c r="E1426" s="29" t="n"/>
      <c r="F1426" s="30" t="n"/>
      <c r="G1426" s="31" t="n"/>
      <c r="H1426" s="31" t="n"/>
      <c r="I1426" s="31" t="n"/>
      <c r="J1426" s="31" t="n"/>
      <c r="K1426" s="31" t="n"/>
      <c r="L1426" s="31" t="n"/>
      <c r="M1426" s="31" t="n"/>
      <c r="N1426" s="31" t="n"/>
      <c r="O1426" s="31" t="n"/>
      <c r="P1426" s="31" t="n"/>
      <c r="Q1426" s="31" t="n"/>
      <c r="R1426" s="31" t="n"/>
      <c r="S1426" s="32">
        <f>IF($F1426="","",IF(IFERROR(VLOOKUP($F1426,'维度字典'!$I$2:$J$50,2,0),"求和")="手工录入","",IF(IFERROR(VLOOKUP($F1426,'维度字典'!$I$2:$J$50,2,0),"求和")="最新值",IFERROR(LOOKUP(9.99E+307,G1426:R1426),""),SUM(G1426:R1426))))</f>
        <v/>
      </c>
      <c r="T1426" s="33" t="n"/>
      <c r="U1426" s="33" t="n"/>
    </row>
    <row r="1427">
      <c r="A1427" s="26">
        <f>IF($B1427="","",ROW()-3)</f>
        <v/>
      </c>
      <c r="B1427" s="27" t="n"/>
      <c r="C1427" s="27" t="n"/>
      <c r="D1427" s="28" t="n"/>
      <c r="E1427" s="29" t="n"/>
      <c r="F1427" s="30" t="n"/>
      <c r="G1427" s="31" t="n"/>
      <c r="H1427" s="31" t="n"/>
      <c r="I1427" s="31" t="n"/>
      <c r="J1427" s="31" t="n"/>
      <c r="K1427" s="31" t="n"/>
      <c r="L1427" s="31" t="n"/>
      <c r="M1427" s="31" t="n"/>
      <c r="N1427" s="31" t="n"/>
      <c r="O1427" s="31" t="n"/>
      <c r="P1427" s="31" t="n"/>
      <c r="Q1427" s="31" t="n"/>
      <c r="R1427" s="31" t="n"/>
      <c r="S1427" s="32">
        <f>IF($F1427="","",IF(IFERROR(VLOOKUP($F1427,'维度字典'!$I$2:$J$50,2,0),"求和")="手工录入","",IF(IFERROR(VLOOKUP($F1427,'维度字典'!$I$2:$J$50,2,0),"求和")="最新值",IFERROR(LOOKUP(9.99E+307,G1427:R1427),""),SUM(G1427:R1427))))</f>
        <v/>
      </c>
      <c r="T1427" s="33" t="n"/>
      <c r="U1427" s="33" t="n"/>
    </row>
    <row r="1428">
      <c r="A1428" s="26">
        <f>IF($B1428="","",ROW()-3)</f>
        <v/>
      </c>
      <c r="B1428" s="27" t="n"/>
      <c r="C1428" s="27" t="n"/>
      <c r="D1428" s="28" t="n"/>
      <c r="E1428" s="29" t="n"/>
      <c r="F1428" s="30" t="n"/>
      <c r="G1428" s="31" t="n"/>
      <c r="H1428" s="31" t="n"/>
      <c r="I1428" s="31" t="n"/>
      <c r="J1428" s="31" t="n"/>
      <c r="K1428" s="31" t="n"/>
      <c r="L1428" s="31" t="n"/>
      <c r="M1428" s="31" t="n"/>
      <c r="N1428" s="31" t="n"/>
      <c r="O1428" s="31" t="n"/>
      <c r="P1428" s="31" t="n"/>
      <c r="Q1428" s="31" t="n"/>
      <c r="R1428" s="31" t="n"/>
      <c r="S1428" s="32">
        <f>IF($F1428="","",IF(IFERROR(VLOOKUP($F1428,'维度字典'!$I$2:$J$50,2,0),"求和")="手工录入","",IF(IFERROR(VLOOKUP($F1428,'维度字典'!$I$2:$J$50,2,0),"求和")="最新值",IFERROR(LOOKUP(9.99E+307,G1428:R1428),""),SUM(G1428:R1428))))</f>
        <v/>
      </c>
      <c r="T1428" s="33" t="n"/>
      <c r="U1428" s="33" t="n"/>
    </row>
    <row r="1429">
      <c r="A1429" s="26">
        <f>IF($B1429="","",ROW()-3)</f>
        <v/>
      </c>
      <c r="B1429" s="27" t="n"/>
      <c r="C1429" s="27" t="n"/>
      <c r="D1429" s="28" t="n"/>
      <c r="E1429" s="29" t="n"/>
      <c r="F1429" s="30" t="n"/>
      <c r="G1429" s="31" t="n"/>
      <c r="H1429" s="31" t="n"/>
      <c r="I1429" s="31" t="n"/>
      <c r="J1429" s="31" t="n"/>
      <c r="K1429" s="31" t="n"/>
      <c r="L1429" s="31" t="n"/>
      <c r="M1429" s="31" t="n"/>
      <c r="N1429" s="31" t="n"/>
      <c r="O1429" s="31" t="n"/>
      <c r="P1429" s="31" t="n"/>
      <c r="Q1429" s="31" t="n"/>
      <c r="R1429" s="31" t="n"/>
      <c r="S1429" s="32">
        <f>IF($F1429="","",IF(IFERROR(VLOOKUP($F1429,'维度字典'!$I$2:$J$50,2,0),"求和")="手工录入","",IF(IFERROR(VLOOKUP($F1429,'维度字典'!$I$2:$J$50,2,0),"求和")="最新值",IFERROR(LOOKUP(9.99E+307,G1429:R1429),""),SUM(G1429:R1429))))</f>
        <v/>
      </c>
      <c r="T1429" s="33" t="n"/>
      <c r="U1429" s="33" t="n"/>
    </row>
    <row r="1430">
      <c r="A1430" s="26">
        <f>IF($B1430="","",ROW()-3)</f>
        <v/>
      </c>
      <c r="B1430" s="27" t="n"/>
      <c r="C1430" s="27" t="n"/>
      <c r="D1430" s="28" t="n"/>
      <c r="E1430" s="29" t="n"/>
      <c r="F1430" s="30" t="n"/>
      <c r="G1430" s="31" t="n"/>
      <c r="H1430" s="31" t="n"/>
      <c r="I1430" s="31" t="n"/>
      <c r="J1430" s="31" t="n"/>
      <c r="K1430" s="31" t="n"/>
      <c r="L1430" s="31" t="n"/>
      <c r="M1430" s="31" t="n"/>
      <c r="N1430" s="31" t="n"/>
      <c r="O1430" s="31" t="n"/>
      <c r="P1430" s="31" t="n"/>
      <c r="Q1430" s="31" t="n"/>
      <c r="R1430" s="31" t="n"/>
      <c r="S1430" s="32">
        <f>IF($F1430="","",IF(IFERROR(VLOOKUP($F1430,'维度字典'!$I$2:$J$50,2,0),"求和")="手工录入","",IF(IFERROR(VLOOKUP($F1430,'维度字典'!$I$2:$J$50,2,0),"求和")="最新值",IFERROR(LOOKUP(9.99E+307,G1430:R1430),""),SUM(G1430:R1430))))</f>
        <v/>
      </c>
      <c r="T1430" s="33" t="n"/>
      <c r="U1430" s="33" t="n"/>
    </row>
    <row r="1431">
      <c r="A1431" s="26">
        <f>IF($B1431="","",ROW()-3)</f>
        <v/>
      </c>
      <c r="B1431" s="27" t="n"/>
      <c r="C1431" s="27" t="n"/>
      <c r="D1431" s="28" t="n"/>
      <c r="E1431" s="29" t="n"/>
      <c r="F1431" s="30" t="n"/>
      <c r="G1431" s="31" t="n"/>
      <c r="H1431" s="31" t="n"/>
      <c r="I1431" s="31" t="n"/>
      <c r="J1431" s="31" t="n"/>
      <c r="K1431" s="31" t="n"/>
      <c r="L1431" s="31" t="n"/>
      <c r="M1431" s="31" t="n"/>
      <c r="N1431" s="31" t="n"/>
      <c r="O1431" s="31" t="n"/>
      <c r="P1431" s="31" t="n"/>
      <c r="Q1431" s="31" t="n"/>
      <c r="R1431" s="31" t="n"/>
      <c r="S1431" s="32">
        <f>IF($F1431="","",IF(IFERROR(VLOOKUP($F1431,'维度字典'!$I$2:$J$50,2,0),"求和")="手工录入","",IF(IFERROR(VLOOKUP($F1431,'维度字典'!$I$2:$J$50,2,0),"求和")="最新值",IFERROR(LOOKUP(9.99E+307,G1431:R1431),""),SUM(G1431:R1431))))</f>
        <v/>
      </c>
      <c r="T1431" s="33" t="n"/>
      <c r="U1431" s="33" t="n"/>
    </row>
    <row r="1432">
      <c r="A1432" s="26">
        <f>IF($B1432="","",ROW()-3)</f>
        <v/>
      </c>
      <c r="B1432" s="27" t="n"/>
      <c r="C1432" s="27" t="n"/>
      <c r="D1432" s="28" t="n"/>
      <c r="E1432" s="29" t="n"/>
      <c r="F1432" s="30" t="n"/>
      <c r="G1432" s="31" t="n"/>
      <c r="H1432" s="31" t="n"/>
      <c r="I1432" s="31" t="n"/>
      <c r="J1432" s="31" t="n"/>
      <c r="K1432" s="31" t="n"/>
      <c r="L1432" s="31" t="n"/>
      <c r="M1432" s="31" t="n"/>
      <c r="N1432" s="31" t="n"/>
      <c r="O1432" s="31" t="n"/>
      <c r="P1432" s="31" t="n"/>
      <c r="Q1432" s="31" t="n"/>
      <c r="R1432" s="31" t="n"/>
      <c r="S1432" s="32">
        <f>IF($F1432="","",IF(IFERROR(VLOOKUP($F1432,'维度字典'!$I$2:$J$50,2,0),"求和")="手工录入","",IF(IFERROR(VLOOKUP($F1432,'维度字典'!$I$2:$J$50,2,0),"求和")="最新值",IFERROR(LOOKUP(9.99E+307,G1432:R1432),""),SUM(G1432:R1432))))</f>
        <v/>
      </c>
      <c r="T1432" s="33" t="n"/>
      <c r="U1432" s="33" t="n"/>
    </row>
    <row r="1433">
      <c r="A1433" s="26">
        <f>IF($B1433="","",ROW()-3)</f>
        <v/>
      </c>
      <c r="B1433" s="27" t="n"/>
      <c r="C1433" s="27" t="n"/>
      <c r="D1433" s="28" t="n"/>
      <c r="E1433" s="29" t="n"/>
      <c r="F1433" s="30" t="n"/>
      <c r="G1433" s="31" t="n"/>
      <c r="H1433" s="31" t="n"/>
      <c r="I1433" s="31" t="n"/>
      <c r="J1433" s="31" t="n"/>
      <c r="K1433" s="31" t="n"/>
      <c r="L1433" s="31" t="n"/>
      <c r="M1433" s="31" t="n"/>
      <c r="N1433" s="31" t="n"/>
      <c r="O1433" s="31" t="n"/>
      <c r="P1433" s="31" t="n"/>
      <c r="Q1433" s="31" t="n"/>
      <c r="R1433" s="31" t="n"/>
      <c r="S1433" s="32">
        <f>IF($F1433="","",IF(IFERROR(VLOOKUP($F1433,'维度字典'!$I$2:$J$50,2,0),"求和")="手工录入","",IF(IFERROR(VLOOKUP($F1433,'维度字典'!$I$2:$J$50,2,0),"求和")="最新值",IFERROR(LOOKUP(9.99E+307,G1433:R1433),""),SUM(G1433:R1433))))</f>
        <v/>
      </c>
      <c r="T1433" s="33" t="n"/>
      <c r="U1433" s="33" t="n"/>
    </row>
    <row r="1434">
      <c r="A1434" s="26">
        <f>IF($B1434="","",ROW()-3)</f>
        <v/>
      </c>
      <c r="B1434" s="27" t="n"/>
      <c r="C1434" s="27" t="n"/>
      <c r="D1434" s="28" t="n"/>
      <c r="E1434" s="29" t="n"/>
      <c r="F1434" s="30" t="n"/>
      <c r="G1434" s="31" t="n"/>
      <c r="H1434" s="31" t="n"/>
      <c r="I1434" s="31" t="n"/>
      <c r="J1434" s="31" t="n"/>
      <c r="K1434" s="31" t="n"/>
      <c r="L1434" s="31" t="n"/>
      <c r="M1434" s="31" t="n"/>
      <c r="N1434" s="31" t="n"/>
      <c r="O1434" s="31" t="n"/>
      <c r="P1434" s="31" t="n"/>
      <c r="Q1434" s="31" t="n"/>
      <c r="R1434" s="31" t="n"/>
      <c r="S1434" s="32">
        <f>IF($F1434="","",IF(IFERROR(VLOOKUP($F1434,'维度字典'!$I$2:$J$50,2,0),"求和")="手工录入","",IF(IFERROR(VLOOKUP($F1434,'维度字典'!$I$2:$J$50,2,0),"求和")="最新值",IFERROR(LOOKUP(9.99E+307,G1434:R1434),""),SUM(G1434:R1434))))</f>
        <v/>
      </c>
      <c r="T1434" s="33" t="n"/>
      <c r="U1434" s="33" t="n"/>
    </row>
    <row r="1435">
      <c r="A1435" s="26">
        <f>IF($B1435="","",ROW()-3)</f>
        <v/>
      </c>
      <c r="B1435" s="27" t="n"/>
      <c r="C1435" s="27" t="n"/>
      <c r="D1435" s="28" t="n"/>
      <c r="E1435" s="29" t="n"/>
      <c r="F1435" s="30" t="n"/>
      <c r="G1435" s="31" t="n"/>
      <c r="H1435" s="31" t="n"/>
      <c r="I1435" s="31" t="n"/>
      <c r="J1435" s="31" t="n"/>
      <c r="K1435" s="31" t="n"/>
      <c r="L1435" s="31" t="n"/>
      <c r="M1435" s="31" t="n"/>
      <c r="N1435" s="31" t="n"/>
      <c r="O1435" s="31" t="n"/>
      <c r="P1435" s="31" t="n"/>
      <c r="Q1435" s="31" t="n"/>
      <c r="R1435" s="31" t="n"/>
      <c r="S1435" s="32">
        <f>IF($F1435="","",IF(IFERROR(VLOOKUP($F1435,'维度字典'!$I$2:$J$50,2,0),"求和")="手工录入","",IF(IFERROR(VLOOKUP($F1435,'维度字典'!$I$2:$J$50,2,0),"求和")="最新值",IFERROR(LOOKUP(9.99E+307,G1435:R1435),""),SUM(G1435:R1435))))</f>
        <v/>
      </c>
      <c r="T1435" s="33" t="n"/>
      <c r="U1435" s="33" t="n"/>
    </row>
    <row r="1436">
      <c r="A1436" s="26">
        <f>IF($B1436="","",ROW()-3)</f>
        <v/>
      </c>
      <c r="B1436" s="27" t="n"/>
      <c r="C1436" s="27" t="n"/>
      <c r="D1436" s="28" t="n"/>
      <c r="E1436" s="29" t="n"/>
      <c r="F1436" s="30" t="n"/>
      <c r="G1436" s="31" t="n"/>
      <c r="H1436" s="31" t="n"/>
      <c r="I1436" s="31" t="n"/>
      <c r="J1436" s="31" t="n"/>
      <c r="K1436" s="31" t="n"/>
      <c r="L1436" s="31" t="n"/>
      <c r="M1436" s="31" t="n"/>
      <c r="N1436" s="31" t="n"/>
      <c r="O1436" s="31" t="n"/>
      <c r="P1436" s="31" t="n"/>
      <c r="Q1436" s="31" t="n"/>
      <c r="R1436" s="31" t="n"/>
      <c r="S1436" s="32">
        <f>IF($F1436="","",IF(IFERROR(VLOOKUP($F1436,'维度字典'!$I$2:$J$50,2,0),"求和")="手工录入","",IF(IFERROR(VLOOKUP($F1436,'维度字典'!$I$2:$J$50,2,0),"求和")="最新值",IFERROR(LOOKUP(9.99E+307,G1436:R1436),""),SUM(G1436:R1436))))</f>
        <v/>
      </c>
      <c r="T1436" s="33" t="n"/>
      <c r="U1436" s="33" t="n"/>
    </row>
    <row r="1437">
      <c r="A1437" s="26">
        <f>IF($B1437="","",ROW()-3)</f>
        <v/>
      </c>
      <c r="B1437" s="27" t="n"/>
      <c r="C1437" s="27" t="n"/>
      <c r="D1437" s="28" t="n"/>
      <c r="E1437" s="29" t="n"/>
      <c r="F1437" s="30" t="n"/>
      <c r="G1437" s="31" t="n"/>
      <c r="H1437" s="31" t="n"/>
      <c r="I1437" s="31" t="n"/>
      <c r="J1437" s="31" t="n"/>
      <c r="K1437" s="31" t="n"/>
      <c r="L1437" s="31" t="n"/>
      <c r="M1437" s="31" t="n"/>
      <c r="N1437" s="31" t="n"/>
      <c r="O1437" s="31" t="n"/>
      <c r="P1437" s="31" t="n"/>
      <c r="Q1437" s="31" t="n"/>
      <c r="R1437" s="31" t="n"/>
      <c r="S1437" s="32">
        <f>IF($F1437="","",IF(IFERROR(VLOOKUP($F1437,'维度字典'!$I$2:$J$50,2,0),"求和")="手工录入","",IF(IFERROR(VLOOKUP($F1437,'维度字典'!$I$2:$J$50,2,0),"求和")="最新值",IFERROR(LOOKUP(9.99E+307,G1437:R1437),""),SUM(G1437:R1437))))</f>
        <v/>
      </c>
      <c r="T1437" s="33" t="n"/>
      <c r="U1437" s="33" t="n"/>
    </row>
    <row r="1438">
      <c r="A1438" s="26">
        <f>IF($B1438="","",ROW()-3)</f>
        <v/>
      </c>
      <c r="B1438" s="27" t="n"/>
      <c r="C1438" s="27" t="n"/>
      <c r="D1438" s="28" t="n"/>
      <c r="E1438" s="29" t="n"/>
      <c r="F1438" s="30" t="n"/>
      <c r="G1438" s="31" t="n"/>
      <c r="H1438" s="31" t="n"/>
      <c r="I1438" s="31" t="n"/>
      <c r="J1438" s="31" t="n"/>
      <c r="K1438" s="31" t="n"/>
      <c r="L1438" s="31" t="n"/>
      <c r="M1438" s="31" t="n"/>
      <c r="N1438" s="31" t="n"/>
      <c r="O1438" s="31" t="n"/>
      <c r="P1438" s="31" t="n"/>
      <c r="Q1438" s="31" t="n"/>
      <c r="R1438" s="31" t="n"/>
      <c r="S1438" s="32">
        <f>IF($F1438="","",IF(IFERROR(VLOOKUP($F1438,'维度字典'!$I$2:$J$50,2,0),"求和")="手工录入","",IF(IFERROR(VLOOKUP($F1438,'维度字典'!$I$2:$J$50,2,0),"求和")="最新值",IFERROR(LOOKUP(9.99E+307,G1438:R1438),""),SUM(G1438:R1438))))</f>
        <v/>
      </c>
      <c r="T1438" s="33" t="n"/>
      <c r="U1438" s="33" t="n"/>
    </row>
    <row r="1439">
      <c r="A1439" s="26">
        <f>IF($B1439="","",ROW()-3)</f>
        <v/>
      </c>
      <c r="B1439" s="27" t="n"/>
      <c r="C1439" s="27" t="n"/>
      <c r="D1439" s="28" t="n"/>
      <c r="E1439" s="29" t="n"/>
      <c r="F1439" s="30" t="n"/>
      <c r="G1439" s="31" t="n"/>
      <c r="H1439" s="31" t="n"/>
      <c r="I1439" s="31" t="n"/>
      <c r="J1439" s="31" t="n"/>
      <c r="K1439" s="31" t="n"/>
      <c r="L1439" s="31" t="n"/>
      <c r="M1439" s="31" t="n"/>
      <c r="N1439" s="31" t="n"/>
      <c r="O1439" s="31" t="n"/>
      <c r="P1439" s="31" t="n"/>
      <c r="Q1439" s="31" t="n"/>
      <c r="R1439" s="31" t="n"/>
      <c r="S1439" s="32">
        <f>IF($F1439="","",IF(IFERROR(VLOOKUP($F1439,'维度字典'!$I$2:$J$50,2,0),"求和")="手工录入","",IF(IFERROR(VLOOKUP($F1439,'维度字典'!$I$2:$J$50,2,0),"求和")="最新值",IFERROR(LOOKUP(9.99E+307,G1439:R1439),""),SUM(G1439:R1439))))</f>
        <v/>
      </c>
      <c r="T1439" s="33" t="n"/>
      <c r="U1439" s="33" t="n"/>
    </row>
    <row r="1440">
      <c r="A1440" s="26">
        <f>IF($B1440="","",ROW()-3)</f>
        <v/>
      </c>
      <c r="B1440" s="27" t="n"/>
      <c r="C1440" s="27" t="n"/>
      <c r="D1440" s="28" t="n"/>
      <c r="E1440" s="29" t="n"/>
      <c r="F1440" s="30" t="n"/>
      <c r="G1440" s="31" t="n"/>
      <c r="H1440" s="31" t="n"/>
      <c r="I1440" s="31" t="n"/>
      <c r="J1440" s="31" t="n"/>
      <c r="K1440" s="31" t="n"/>
      <c r="L1440" s="31" t="n"/>
      <c r="M1440" s="31" t="n"/>
      <c r="N1440" s="31" t="n"/>
      <c r="O1440" s="31" t="n"/>
      <c r="P1440" s="31" t="n"/>
      <c r="Q1440" s="31" t="n"/>
      <c r="R1440" s="31" t="n"/>
      <c r="S1440" s="32">
        <f>IF($F1440="","",IF(IFERROR(VLOOKUP($F1440,'维度字典'!$I$2:$J$50,2,0),"求和")="手工录入","",IF(IFERROR(VLOOKUP($F1440,'维度字典'!$I$2:$J$50,2,0),"求和")="最新值",IFERROR(LOOKUP(9.99E+307,G1440:R1440),""),SUM(G1440:R1440))))</f>
        <v/>
      </c>
      <c r="T1440" s="33" t="n"/>
      <c r="U1440" s="33" t="n"/>
    </row>
    <row r="1441">
      <c r="A1441" s="26">
        <f>IF($B1441="","",ROW()-3)</f>
        <v/>
      </c>
      <c r="B1441" s="27" t="n"/>
      <c r="C1441" s="27" t="n"/>
      <c r="D1441" s="28" t="n"/>
      <c r="E1441" s="29" t="n"/>
      <c r="F1441" s="30" t="n"/>
      <c r="G1441" s="31" t="n"/>
      <c r="H1441" s="31" t="n"/>
      <c r="I1441" s="31" t="n"/>
      <c r="J1441" s="31" t="n"/>
      <c r="K1441" s="31" t="n"/>
      <c r="L1441" s="31" t="n"/>
      <c r="M1441" s="31" t="n"/>
      <c r="N1441" s="31" t="n"/>
      <c r="O1441" s="31" t="n"/>
      <c r="P1441" s="31" t="n"/>
      <c r="Q1441" s="31" t="n"/>
      <c r="R1441" s="31" t="n"/>
      <c r="S1441" s="32">
        <f>IF($F1441="","",IF(IFERROR(VLOOKUP($F1441,'维度字典'!$I$2:$J$50,2,0),"求和")="手工录入","",IF(IFERROR(VLOOKUP($F1441,'维度字典'!$I$2:$J$50,2,0),"求和")="最新值",IFERROR(LOOKUP(9.99E+307,G1441:R1441),""),SUM(G1441:R1441))))</f>
        <v/>
      </c>
      <c r="T1441" s="33" t="n"/>
      <c r="U1441" s="33" t="n"/>
    </row>
    <row r="1442">
      <c r="A1442" s="26">
        <f>IF($B1442="","",ROW()-3)</f>
        <v/>
      </c>
      <c r="B1442" s="27" t="n"/>
      <c r="C1442" s="27" t="n"/>
      <c r="D1442" s="28" t="n"/>
      <c r="E1442" s="29" t="n"/>
      <c r="F1442" s="30" t="n"/>
      <c r="G1442" s="31" t="n"/>
      <c r="H1442" s="31" t="n"/>
      <c r="I1442" s="31" t="n"/>
      <c r="J1442" s="31" t="n"/>
      <c r="K1442" s="31" t="n"/>
      <c r="L1442" s="31" t="n"/>
      <c r="M1442" s="31" t="n"/>
      <c r="N1442" s="31" t="n"/>
      <c r="O1442" s="31" t="n"/>
      <c r="P1442" s="31" t="n"/>
      <c r="Q1442" s="31" t="n"/>
      <c r="R1442" s="31" t="n"/>
      <c r="S1442" s="32">
        <f>IF($F1442="","",IF(IFERROR(VLOOKUP($F1442,'维度字典'!$I$2:$J$50,2,0),"求和")="手工录入","",IF(IFERROR(VLOOKUP($F1442,'维度字典'!$I$2:$J$50,2,0),"求和")="最新值",IFERROR(LOOKUP(9.99E+307,G1442:R1442),""),SUM(G1442:R1442))))</f>
        <v/>
      </c>
      <c r="T1442" s="33" t="n"/>
      <c r="U1442" s="33" t="n"/>
    </row>
    <row r="1443">
      <c r="A1443" s="26">
        <f>IF($B1443="","",ROW()-3)</f>
        <v/>
      </c>
      <c r="B1443" s="27" t="n"/>
      <c r="C1443" s="27" t="n"/>
      <c r="D1443" s="28" t="n"/>
      <c r="E1443" s="29" t="n"/>
      <c r="F1443" s="30" t="n"/>
      <c r="G1443" s="31" t="n"/>
      <c r="H1443" s="31" t="n"/>
      <c r="I1443" s="31" t="n"/>
      <c r="J1443" s="31" t="n"/>
      <c r="K1443" s="31" t="n"/>
      <c r="L1443" s="31" t="n"/>
      <c r="M1443" s="31" t="n"/>
      <c r="N1443" s="31" t="n"/>
      <c r="O1443" s="31" t="n"/>
      <c r="P1443" s="31" t="n"/>
      <c r="Q1443" s="31" t="n"/>
      <c r="R1443" s="31" t="n"/>
      <c r="S1443" s="32">
        <f>IF($F1443="","",IF(IFERROR(VLOOKUP($F1443,'维度字典'!$I$2:$J$50,2,0),"求和")="手工录入","",IF(IFERROR(VLOOKUP($F1443,'维度字典'!$I$2:$J$50,2,0),"求和")="最新值",IFERROR(LOOKUP(9.99E+307,G1443:R1443),""),SUM(G1443:R1443))))</f>
        <v/>
      </c>
      <c r="T1443" s="33" t="n"/>
      <c r="U1443" s="33" t="n"/>
    </row>
    <row r="1444">
      <c r="A1444" s="26">
        <f>IF($B1444="","",ROW()-3)</f>
        <v/>
      </c>
      <c r="B1444" s="27" t="n"/>
      <c r="C1444" s="27" t="n"/>
      <c r="D1444" s="28" t="n"/>
      <c r="E1444" s="29" t="n"/>
      <c r="F1444" s="30" t="n"/>
      <c r="G1444" s="31" t="n"/>
      <c r="H1444" s="31" t="n"/>
      <c r="I1444" s="31" t="n"/>
      <c r="J1444" s="31" t="n"/>
      <c r="K1444" s="31" t="n"/>
      <c r="L1444" s="31" t="n"/>
      <c r="M1444" s="31" t="n"/>
      <c r="N1444" s="31" t="n"/>
      <c r="O1444" s="31" t="n"/>
      <c r="P1444" s="31" t="n"/>
      <c r="Q1444" s="31" t="n"/>
      <c r="R1444" s="31" t="n"/>
      <c r="S1444" s="32">
        <f>IF($F1444="","",IF(IFERROR(VLOOKUP($F1444,'维度字典'!$I$2:$J$50,2,0),"求和")="手工录入","",IF(IFERROR(VLOOKUP($F1444,'维度字典'!$I$2:$J$50,2,0),"求和")="最新值",IFERROR(LOOKUP(9.99E+307,G1444:R1444),""),SUM(G1444:R1444))))</f>
        <v/>
      </c>
      <c r="T1444" s="33" t="n"/>
      <c r="U1444" s="33" t="n"/>
    </row>
    <row r="1445">
      <c r="A1445" s="26">
        <f>IF($B1445="","",ROW()-3)</f>
        <v/>
      </c>
      <c r="B1445" s="27" t="n"/>
      <c r="C1445" s="27" t="n"/>
      <c r="D1445" s="28" t="n"/>
      <c r="E1445" s="29" t="n"/>
      <c r="F1445" s="30" t="n"/>
      <c r="G1445" s="31" t="n"/>
      <c r="H1445" s="31" t="n"/>
      <c r="I1445" s="31" t="n"/>
      <c r="J1445" s="31" t="n"/>
      <c r="K1445" s="31" t="n"/>
      <c r="L1445" s="31" t="n"/>
      <c r="M1445" s="31" t="n"/>
      <c r="N1445" s="31" t="n"/>
      <c r="O1445" s="31" t="n"/>
      <c r="P1445" s="31" t="n"/>
      <c r="Q1445" s="31" t="n"/>
      <c r="R1445" s="31" t="n"/>
      <c r="S1445" s="32">
        <f>IF($F1445="","",IF(IFERROR(VLOOKUP($F1445,'维度字典'!$I$2:$J$50,2,0),"求和")="手工录入","",IF(IFERROR(VLOOKUP($F1445,'维度字典'!$I$2:$J$50,2,0),"求和")="最新值",IFERROR(LOOKUP(9.99E+307,G1445:R1445),""),SUM(G1445:R1445))))</f>
        <v/>
      </c>
      <c r="T1445" s="33" t="n"/>
      <c r="U1445" s="33" t="n"/>
    </row>
    <row r="1446">
      <c r="A1446" s="26">
        <f>IF($B1446="","",ROW()-3)</f>
        <v/>
      </c>
      <c r="B1446" s="27" t="n"/>
      <c r="C1446" s="27" t="n"/>
      <c r="D1446" s="28" t="n"/>
      <c r="E1446" s="29" t="n"/>
      <c r="F1446" s="30" t="n"/>
      <c r="G1446" s="31" t="n"/>
      <c r="H1446" s="31" t="n"/>
      <c r="I1446" s="31" t="n"/>
      <c r="J1446" s="31" t="n"/>
      <c r="K1446" s="31" t="n"/>
      <c r="L1446" s="31" t="n"/>
      <c r="M1446" s="31" t="n"/>
      <c r="N1446" s="31" t="n"/>
      <c r="O1446" s="31" t="n"/>
      <c r="P1446" s="31" t="n"/>
      <c r="Q1446" s="31" t="n"/>
      <c r="R1446" s="31" t="n"/>
      <c r="S1446" s="32">
        <f>IF($F1446="","",IF(IFERROR(VLOOKUP($F1446,'维度字典'!$I$2:$J$50,2,0),"求和")="手工录入","",IF(IFERROR(VLOOKUP($F1446,'维度字典'!$I$2:$J$50,2,0),"求和")="最新值",IFERROR(LOOKUP(9.99E+307,G1446:R1446),""),SUM(G1446:R1446))))</f>
        <v/>
      </c>
      <c r="T1446" s="33" t="n"/>
      <c r="U1446" s="33" t="n"/>
    </row>
    <row r="1447">
      <c r="A1447" s="26">
        <f>IF($B1447="","",ROW()-3)</f>
        <v/>
      </c>
      <c r="B1447" s="27" t="n"/>
      <c r="C1447" s="27" t="n"/>
      <c r="D1447" s="28" t="n"/>
      <c r="E1447" s="29" t="n"/>
      <c r="F1447" s="30" t="n"/>
      <c r="G1447" s="31" t="n"/>
      <c r="H1447" s="31" t="n"/>
      <c r="I1447" s="31" t="n"/>
      <c r="J1447" s="31" t="n"/>
      <c r="K1447" s="31" t="n"/>
      <c r="L1447" s="31" t="n"/>
      <c r="M1447" s="31" t="n"/>
      <c r="N1447" s="31" t="n"/>
      <c r="O1447" s="31" t="n"/>
      <c r="P1447" s="31" t="n"/>
      <c r="Q1447" s="31" t="n"/>
      <c r="R1447" s="31" t="n"/>
      <c r="S1447" s="32">
        <f>IF($F1447="","",IF(IFERROR(VLOOKUP($F1447,'维度字典'!$I$2:$J$50,2,0),"求和")="手工录入","",IF(IFERROR(VLOOKUP($F1447,'维度字典'!$I$2:$J$50,2,0),"求和")="最新值",IFERROR(LOOKUP(9.99E+307,G1447:R1447),""),SUM(G1447:R1447))))</f>
        <v/>
      </c>
      <c r="T1447" s="33" t="n"/>
      <c r="U1447" s="33" t="n"/>
    </row>
    <row r="1448">
      <c r="A1448" s="26">
        <f>IF($B1448="","",ROW()-3)</f>
        <v/>
      </c>
      <c r="B1448" s="27" t="n"/>
      <c r="C1448" s="27" t="n"/>
      <c r="D1448" s="28" t="n"/>
      <c r="E1448" s="29" t="n"/>
      <c r="F1448" s="30" t="n"/>
      <c r="G1448" s="31" t="n"/>
      <c r="H1448" s="31" t="n"/>
      <c r="I1448" s="31" t="n"/>
      <c r="J1448" s="31" t="n"/>
      <c r="K1448" s="31" t="n"/>
      <c r="L1448" s="31" t="n"/>
      <c r="M1448" s="31" t="n"/>
      <c r="N1448" s="31" t="n"/>
      <c r="O1448" s="31" t="n"/>
      <c r="P1448" s="31" t="n"/>
      <c r="Q1448" s="31" t="n"/>
      <c r="R1448" s="31" t="n"/>
      <c r="S1448" s="32">
        <f>IF($F1448="","",IF(IFERROR(VLOOKUP($F1448,'维度字典'!$I$2:$J$50,2,0),"求和")="手工录入","",IF(IFERROR(VLOOKUP($F1448,'维度字典'!$I$2:$J$50,2,0),"求和")="最新值",IFERROR(LOOKUP(9.99E+307,G1448:R1448),""),SUM(G1448:R1448))))</f>
        <v/>
      </c>
      <c r="T1448" s="33" t="n"/>
      <c r="U1448" s="33" t="n"/>
    </row>
    <row r="1449">
      <c r="A1449" s="26">
        <f>IF($B1449="","",ROW()-3)</f>
        <v/>
      </c>
      <c r="B1449" s="27" t="n"/>
      <c r="C1449" s="27" t="n"/>
      <c r="D1449" s="28" t="n"/>
      <c r="E1449" s="29" t="n"/>
      <c r="F1449" s="30" t="n"/>
      <c r="G1449" s="31" t="n"/>
      <c r="H1449" s="31" t="n"/>
      <c r="I1449" s="31" t="n"/>
      <c r="J1449" s="31" t="n"/>
      <c r="K1449" s="31" t="n"/>
      <c r="L1449" s="31" t="n"/>
      <c r="M1449" s="31" t="n"/>
      <c r="N1449" s="31" t="n"/>
      <c r="O1449" s="31" t="n"/>
      <c r="P1449" s="31" t="n"/>
      <c r="Q1449" s="31" t="n"/>
      <c r="R1449" s="31" t="n"/>
      <c r="S1449" s="32">
        <f>IF($F1449="","",IF(IFERROR(VLOOKUP($F1449,'维度字典'!$I$2:$J$50,2,0),"求和")="手工录入","",IF(IFERROR(VLOOKUP($F1449,'维度字典'!$I$2:$J$50,2,0),"求和")="最新值",IFERROR(LOOKUP(9.99E+307,G1449:R1449),""),SUM(G1449:R1449))))</f>
        <v/>
      </c>
      <c r="T1449" s="33" t="n"/>
      <c r="U1449" s="33" t="n"/>
    </row>
    <row r="1450">
      <c r="A1450" s="26">
        <f>IF($B1450="","",ROW()-3)</f>
        <v/>
      </c>
      <c r="B1450" s="27" t="n"/>
      <c r="C1450" s="27" t="n"/>
      <c r="D1450" s="28" t="n"/>
      <c r="E1450" s="29" t="n"/>
      <c r="F1450" s="30" t="n"/>
      <c r="G1450" s="31" t="n"/>
      <c r="H1450" s="31" t="n"/>
      <c r="I1450" s="31" t="n"/>
      <c r="J1450" s="31" t="n"/>
      <c r="K1450" s="31" t="n"/>
      <c r="L1450" s="31" t="n"/>
      <c r="M1450" s="31" t="n"/>
      <c r="N1450" s="31" t="n"/>
      <c r="O1450" s="31" t="n"/>
      <c r="P1450" s="31" t="n"/>
      <c r="Q1450" s="31" t="n"/>
      <c r="R1450" s="31" t="n"/>
      <c r="S1450" s="32">
        <f>IF($F1450="","",IF(IFERROR(VLOOKUP($F1450,'维度字典'!$I$2:$J$50,2,0),"求和")="手工录入","",IF(IFERROR(VLOOKUP($F1450,'维度字典'!$I$2:$J$50,2,0),"求和")="最新值",IFERROR(LOOKUP(9.99E+307,G1450:R1450),""),SUM(G1450:R1450))))</f>
        <v/>
      </c>
      <c r="T1450" s="33" t="n"/>
      <c r="U1450" s="33" t="n"/>
    </row>
    <row r="1451">
      <c r="A1451" s="26">
        <f>IF($B1451="","",ROW()-3)</f>
        <v/>
      </c>
      <c r="B1451" s="27" t="n"/>
      <c r="C1451" s="27" t="n"/>
      <c r="D1451" s="28" t="n"/>
      <c r="E1451" s="29" t="n"/>
      <c r="F1451" s="30" t="n"/>
      <c r="G1451" s="31" t="n"/>
      <c r="H1451" s="31" t="n"/>
      <c r="I1451" s="31" t="n"/>
      <c r="J1451" s="31" t="n"/>
      <c r="K1451" s="31" t="n"/>
      <c r="L1451" s="31" t="n"/>
      <c r="M1451" s="31" t="n"/>
      <c r="N1451" s="31" t="n"/>
      <c r="O1451" s="31" t="n"/>
      <c r="P1451" s="31" t="n"/>
      <c r="Q1451" s="31" t="n"/>
      <c r="R1451" s="31" t="n"/>
      <c r="S1451" s="32">
        <f>IF($F1451="","",IF(IFERROR(VLOOKUP($F1451,'维度字典'!$I$2:$J$50,2,0),"求和")="手工录入","",IF(IFERROR(VLOOKUP($F1451,'维度字典'!$I$2:$J$50,2,0),"求和")="最新值",IFERROR(LOOKUP(9.99E+307,G1451:R1451),""),SUM(G1451:R1451))))</f>
        <v/>
      </c>
      <c r="T1451" s="33" t="n"/>
      <c r="U1451" s="33" t="n"/>
    </row>
    <row r="1452">
      <c r="A1452" s="26">
        <f>IF($B1452="","",ROW()-3)</f>
        <v/>
      </c>
      <c r="B1452" s="27" t="n"/>
      <c r="C1452" s="27" t="n"/>
      <c r="D1452" s="28" t="n"/>
      <c r="E1452" s="29" t="n"/>
      <c r="F1452" s="30" t="n"/>
      <c r="G1452" s="31" t="n"/>
      <c r="H1452" s="31" t="n"/>
      <c r="I1452" s="31" t="n"/>
      <c r="J1452" s="31" t="n"/>
      <c r="K1452" s="31" t="n"/>
      <c r="L1452" s="31" t="n"/>
      <c r="M1452" s="31" t="n"/>
      <c r="N1452" s="31" t="n"/>
      <c r="O1452" s="31" t="n"/>
      <c r="P1452" s="31" t="n"/>
      <c r="Q1452" s="31" t="n"/>
      <c r="R1452" s="31" t="n"/>
      <c r="S1452" s="32">
        <f>IF($F1452="","",IF(IFERROR(VLOOKUP($F1452,'维度字典'!$I$2:$J$50,2,0),"求和")="手工录入","",IF(IFERROR(VLOOKUP($F1452,'维度字典'!$I$2:$J$50,2,0),"求和")="最新值",IFERROR(LOOKUP(9.99E+307,G1452:R1452),""),SUM(G1452:R1452))))</f>
        <v/>
      </c>
      <c r="T1452" s="33" t="n"/>
      <c r="U1452" s="33" t="n"/>
    </row>
    <row r="1453">
      <c r="A1453" s="26">
        <f>IF($B1453="","",ROW()-3)</f>
        <v/>
      </c>
      <c r="B1453" s="27" t="n"/>
      <c r="C1453" s="27" t="n"/>
      <c r="D1453" s="28" t="n"/>
      <c r="E1453" s="29" t="n"/>
      <c r="F1453" s="30" t="n"/>
      <c r="G1453" s="31" t="n"/>
      <c r="H1453" s="31" t="n"/>
      <c r="I1453" s="31" t="n"/>
      <c r="J1453" s="31" t="n"/>
      <c r="K1453" s="31" t="n"/>
      <c r="L1453" s="31" t="n"/>
      <c r="M1453" s="31" t="n"/>
      <c r="N1453" s="31" t="n"/>
      <c r="O1453" s="31" t="n"/>
      <c r="P1453" s="31" t="n"/>
      <c r="Q1453" s="31" t="n"/>
      <c r="R1453" s="31" t="n"/>
      <c r="S1453" s="32">
        <f>IF($F1453="","",IF(IFERROR(VLOOKUP($F1453,'维度字典'!$I$2:$J$50,2,0),"求和")="手工录入","",IF(IFERROR(VLOOKUP($F1453,'维度字典'!$I$2:$J$50,2,0),"求和")="最新值",IFERROR(LOOKUP(9.99E+307,G1453:R1453),""),SUM(G1453:R1453))))</f>
        <v/>
      </c>
      <c r="T1453" s="33" t="n"/>
      <c r="U1453" s="33" t="n"/>
    </row>
    <row r="1454">
      <c r="A1454" s="26">
        <f>IF($B1454="","",ROW()-3)</f>
        <v/>
      </c>
      <c r="B1454" s="27" t="n"/>
      <c r="C1454" s="27" t="n"/>
      <c r="D1454" s="28" t="n"/>
      <c r="E1454" s="29" t="n"/>
      <c r="F1454" s="30" t="n"/>
      <c r="G1454" s="31" t="n"/>
      <c r="H1454" s="31" t="n"/>
      <c r="I1454" s="31" t="n"/>
      <c r="J1454" s="31" t="n"/>
      <c r="K1454" s="31" t="n"/>
      <c r="L1454" s="31" t="n"/>
      <c r="M1454" s="31" t="n"/>
      <c r="N1454" s="31" t="n"/>
      <c r="O1454" s="31" t="n"/>
      <c r="P1454" s="31" t="n"/>
      <c r="Q1454" s="31" t="n"/>
      <c r="R1454" s="31" t="n"/>
      <c r="S1454" s="32">
        <f>IF($F1454="","",IF(IFERROR(VLOOKUP($F1454,'维度字典'!$I$2:$J$50,2,0),"求和")="手工录入","",IF(IFERROR(VLOOKUP($F1454,'维度字典'!$I$2:$J$50,2,0),"求和")="最新值",IFERROR(LOOKUP(9.99E+307,G1454:R1454),""),SUM(G1454:R1454))))</f>
        <v/>
      </c>
      <c r="T1454" s="33" t="n"/>
      <c r="U1454" s="33" t="n"/>
    </row>
    <row r="1455">
      <c r="A1455" s="26">
        <f>IF($B1455="","",ROW()-3)</f>
        <v/>
      </c>
      <c r="B1455" s="27" t="n"/>
      <c r="C1455" s="27" t="n"/>
      <c r="D1455" s="28" t="n"/>
      <c r="E1455" s="29" t="n"/>
      <c r="F1455" s="30" t="n"/>
      <c r="G1455" s="31" t="n"/>
      <c r="H1455" s="31" t="n"/>
      <c r="I1455" s="31" t="n"/>
      <c r="J1455" s="31" t="n"/>
      <c r="K1455" s="31" t="n"/>
      <c r="L1455" s="31" t="n"/>
      <c r="M1455" s="31" t="n"/>
      <c r="N1455" s="31" t="n"/>
      <c r="O1455" s="31" t="n"/>
      <c r="P1455" s="31" t="n"/>
      <c r="Q1455" s="31" t="n"/>
      <c r="R1455" s="31" t="n"/>
      <c r="S1455" s="32">
        <f>IF($F1455="","",IF(IFERROR(VLOOKUP($F1455,'维度字典'!$I$2:$J$50,2,0),"求和")="手工录入","",IF(IFERROR(VLOOKUP($F1455,'维度字典'!$I$2:$J$50,2,0),"求和")="最新值",IFERROR(LOOKUP(9.99E+307,G1455:R1455),""),SUM(G1455:R1455))))</f>
        <v/>
      </c>
      <c r="T1455" s="33" t="n"/>
      <c r="U1455" s="33" t="n"/>
    </row>
    <row r="1456">
      <c r="A1456" s="26">
        <f>IF($B1456="","",ROW()-3)</f>
        <v/>
      </c>
      <c r="B1456" s="27" t="n"/>
      <c r="C1456" s="27" t="n"/>
      <c r="D1456" s="28" t="n"/>
      <c r="E1456" s="29" t="n"/>
      <c r="F1456" s="30" t="n"/>
      <c r="G1456" s="31" t="n"/>
      <c r="H1456" s="31" t="n"/>
      <c r="I1456" s="31" t="n"/>
      <c r="J1456" s="31" t="n"/>
      <c r="K1456" s="31" t="n"/>
      <c r="L1456" s="31" t="n"/>
      <c r="M1456" s="31" t="n"/>
      <c r="N1456" s="31" t="n"/>
      <c r="O1456" s="31" t="n"/>
      <c r="P1456" s="31" t="n"/>
      <c r="Q1456" s="31" t="n"/>
      <c r="R1456" s="31" t="n"/>
      <c r="S1456" s="32">
        <f>IF($F1456="","",IF(IFERROR(VLOOKUP($F1456,'维度字典'!$I$2:$J$50,2,0),"求和")="手工录入","",IF(IFERROR(VLOOKUP($F1456,'维度字典'!$I$2:$J$50,2,0),"求和")="最新值",IFERROR(LOOKUP(9.99E+307,G1456:R1456),""),SUM(G1456:R1456))))</f>
        <v/>
      </c>
      <c r="T1456" s="33" t="n"/>
      <c r="U1456" s="33" t="n"/>
    </row>
    <row r="1457">
      <c r="A1457" s="26">
        <f>IF($B1457="","",ROW()-3)</f>
        <v/>
      </c>
      <c r="B1457" s="27" t="n"/>
      <c r="C1457" s="27" t="n"/>
      <c r="D1457" s="28" t="n"/>
      <c r="E1457" s="29" t="n"/>
      <c r="F1457" s="30" t="n"/>
      <c r="G1457" s="31" t="n"/>
      <c r="H1457" s="31" t="n"/>
      <c r="I1457" s="31" t="n"/>
      <c r="J1457" s="31" t="n"/>
      <c r="K1457" s="31" t="n"/>
      <c r="L1457" s="31" t="n"/>
      <c r="M1457" s="31" t="n"/>
      <c r="N1457" s="31" t="n"/>
      <c r="O1457" s="31" t="n"/>
      <c r="P1457" s="31" t="n"/>
      <c r="Q1457" s="31" t="n"/>
      <c r="R1457" s="31" t="n"/>
      <c r="S1457" s="32">
        <f>IF($F1457="","",IF(IFERROR(VLOOKUP($F1457,'维度字典'!$I$2:$J$50,2,0),"求和")="手工录入","",IF(IFERROR(VLOOKUP($F1457,'维度字典'!$I$2:$J$50,2,0),"求和")="最新值",IFERROR(LOOKUP(9.99E+307,G1457:R1457),""),SUM(G1457:R1457))))</f>
        <v/>
      </c>
      <c r="T1457" s="33" t="n"/>
      <c r="U1457" s="33" t="n"/>
    </row>
    <row r="1458">
      <c r="A1458" s="26">
        <f>IF($B1458="","",ROW()-3)</f>
        <v/>
      </c>
      <c r="B1458" s="27" t="n"/>
      <c r="C1458" s="27" t="n"/>
      <c r="D1458" s="28" t="n"/>
      <c r="E1458" s="29" t="n"/>
      <c r="F1458" s="30" t="n"/>
      <c r="G1458" s="31" t="n"/>
      <c r="H1458" s="31" t="n"/>
      <c r="I1458" s="31" t="n"/>
      <c r="J1458" s="31" t="n"/>
      <c r="K1458" s="31" t="n"/>
      <c r="L1458" s="31" t="n"/>
      <c r="M1458" s="31" t="n"/>
      <c r="N1458" s="31" t="n"/>
      <c r="O1458" s="31" t="n"/>
      <c r="P1458" s="31" t="n"/>
      <c r="Q1458" s="31" t="n"/>
      <c r="R1458" s="31" t="n"/>
      <c r="S1458" s="32">
        <f>IF($F1458="","",IF(IFERROR(VLOOKUP($F1458,'维度字典'!$I$2:$J$50,2,0),"求和")="手工录入","",IF(IFERROR(VLOOKUP($F1458,'维度字典'!$I$2:$J$50,2,0),"求和")="最新值",IFERROR(LOOKUP(9.99E+307,G1458:R1458),""),SUM(G1458:R1458))))</f>
        <v/>
      </c>
      <c r="T1458" s="33" t="n"/>
      <c r="U1458" s="33" t="n"/>
    </row>
    <row r="1459">
      <c r="A1459" s="26">
        <f>IF($B1459="","",ROW()-3)</f>
        <v/>
      </c>
      <c r="B1459" s="27" t="n"/>
      <c r="C1459" s="27" t="n"/>
      <c r="D1459" s="28" t="n"/>
      <c r="E1459" s="29" t="n"/>
      <c r="F1459" s="30" t="n"/>
      <c r="G1459" s="31" t="n"/>
      <c r="H1459" s="31" t="n"/>
      <c r="I1459" s="31" t="n"/>
      <c r="J1459" s="31" t="n"/>
      <c r="K1459" s="31" t="n"/>
      <c r="L1459" s="31" t="n"/>
      <c r="M1459" s="31" t="n"/>
      <c r="N1459" s="31" t="n"/>
      <c r="O1459" s="31" t="n"/>
      <c r="P1459" s="31" t="n"/>
      <c r="Q1459" s="31" t="n"/>
      <c r="R1459" s="31" t="n"/>
      <c r="S1459" s="32">
        <f>IF($F1459="","",IF(IFERROR(VLOOKUP($F1459,'维度字典'!$I$2:$J$50,2,0),"求和")="手工录入","",IF(IFERROR(VLOOKUP($F1459,'维度字典'!$I$2:$J$50,2,0),"求和")="最新值",IFERROR(LOOKUP(9.99E+307,G1459:R1459),""),SUM(G1459:R1459))))</f>
        <v/>
      </c>
      <c r="T1459" s="33" t="n"/>
      <c r="U1459" s="33" t="n"/>
    </row>
    <row r="1460">
      <c r="A1460" s="26">
        <f>IF($B1460="","",ROW()-3)</f>
        <v/>
      </c>
      <c r="B1460" s="27" t="n"/>
      <c r="C1460" s="27" t="n"/>
      <c r="D1460" s="28" t="n"/>
      <c r="E1460" s="29" t="n"/>
      <c r="F1460" s="30" t="n"/>
      <c r="G1460" s="31" t="n"/>
      <c r="H1460" s="31" t="n"/>
      <c r="I1460" s="31" t="n"/>
      <c r="J1460" s="31" t="n"/>
      <c r="K1460" s="31" t="n"/>
      <c r="L1460" s="31" t="n"/>
      <c r="M1460" s="31" t="n"/>
      <c r="N1460" s="31" t="n"/>
      <c r="O1460" s="31" t="n"/>
      <c r="P1460" s="31" t="n"/>
      <c r="Q1460" s="31" t="n"/>
      <c r="R1460" s="31" t="n"/>
      <c r="S1460" s="32">
        <f>IF($F1460="","",IF(IFERROR(VLOOKUP($F1460,'维度字典'!$I$2:$J$50,2,0),"求和")="手工录入","",IF(IFERROR(VLOOKUP($F1460,'维度字典'!$I$2:$J$50,2,0),"求和")="最新值",IFERROR(LOOKUP(9.99E+307,G1460:R1460),""),SUM(G1460:R1460))))</f>
        <v/>
      </c>
      <c r="T1460" s="33" t="n"/>
      <c r="U1460" s="33" t="n"/>
    </row>
    <row r="1461">
      <c r="A1461" s="26">
        <f>IF($B1461="","",ROW()-3)</f>
        <v/>
      </c>
      <c r="B1461" s="27" t="n"/>
      <c r="C1461" s="27" t="n"/>
      <c r="D1461" s="28" t="n"/>
      <c r="E1461" s="29" t="n"/>
      <c r="F1461" s="30" t="n"/>
      <c r="G1461" s="31" t="n"/>
      <c r="H1461" s="31" t="n"/>
      <c r="I1461" s="31" t="n"/>
      <c r="J1461" s="31" t="n"/>
      <c r="K1461" s="31" t="n"/>
      <c r="L1461" s="31" t="n"/>
      <c r="M1461" s="31" t="n"/>
      <c r="N1461" s="31" t="n"/>
      <c r="O1461" s="31" t="n"/>
      <c r="P1461" s="31" t="n"/>
      <c r="Q1461" s="31" t="n"/>
      <c r="R1461" s="31" t="n"/>
      <c r="S1461" s="32">
        <f>IF($F1461="","",IF(IFERROR(VLOOKUP($F1461,'维度字典'!$I$2:$J$50,2,0),"求和")="手工录入","",IF(IFERROR(VLOOKUP($F1461,'维度字典'!$I$2:$J$50,2,0),"求和")="最新值",IFERROR(LOOKUP(9.99E+307,G1461:R1461),""),SUM(G1461:R1461))))</f>
        <v/>
      </c>
      <c r="T1461" s="33" t="n"/>
      <c r="U1461" s="33" t="n"/>
    </row>
    <row r="1462">
      <c r="A1462" s="26">
        <f>IF($B1462="","",ROW()-3)</f>
        <v/>
      </c>
      <c r="B1462" s="27" t="n"/>
      <c r="C1462" s="27" t="n"/>
      <c r="D1462" s="28" t="n"/>
      <c r="E1462" s="29" t="n"/>
      <c r="F1462" s="30" t="n"/>
      <c r="G1462" s="31" t="n"/>
      <c r="H1462" s="31" t="n"/>
      <c r="I1462" s="31" t="n"/>
      <c r="J1462" s="31" t="n"/>
      <c r="K1462" s="31" t="n"/>
      <c r="L1462" s="31" t="n"/>
      <c r="M1462" s="31" t="n"/>
      <c r="N1462" s="31" t="n"/>
      <c r="O1462" s="31" t="n"/>
      <c r="P1462" s="31" t="n"/>
      <c r="Q1462" s="31" t="n"/>
      <c r="R1462" s="31" t="n"/>
      <c r="S1462" s="32">
        <f>IF($F1462="","",IF(IFERROR(VLOOKUP($F1462,'维度字典'!$I$2:$J$50,2,0),"求和")="手工录入","",IF(IFERROR(VLOOKUP($F1462,'维度字典'!$I$2:$J$50,2,0),"求和")="最新值",IFERROR(LOOKUP(9.99E+307,G1462:R1462),""),SUM(G1462:R1462))))</f>
        <v/>
      </c>
      <c r="T1462" s="33" t="n"/>
      <c r="U1462" s="33" t="n"/>
    </row>
    <row r="1463">
      <c r="A1463" s="26">
        <f>IF($B1463="","",ROW()-3)</f>
        <v/>
      </c>
      <c r="B1463" s="27" t="n"/>
      <c r="C1463" s="27" t="n"/>
      <c r="D1463" s="28" t="n"/>
      <c r="E1463" s="29" t="n"/>
      <c r="F1463" s="30" t="n"/>
      <c r="G1463" s="31" t="n"/>
      <c r="H1463" s="31" t="n"/>
      <c r="I1463" s="31" t="n"/>
      <c r="J1463" s="31" t="n"/>
      <c r="K1463" s="31" t="n"/>
      <c r="L1463" s="31" t="n"/>
      <c r="M1463" s="31" t="n"/>
      <c r="N1463" s="31" t="n"/>
      <c r="O1463" s="31" t="n"/>
      <c r="P1463" s="31" t="n"/>
      <c r="Q1463" s="31" t="n"/>
      <c r="R1463" s="31" t="n"/>
      <c r="S1463" s="32">
        <f>IF($F1463="","",IF(IFERROR(VLOOKUP($F1463,'维度字典'!$I$2:$J$50,2,0),"求和")="手工录入","",IF(IFERROR(VLOOKUP($F1463,'维度字典'!$I$2:$J$50,2,0),"求和")="最新值",IFERROR(LOOKUP(9.99E+307,G1463:R1463),""),SUM(G1463:R1463))))</f>
        <v/>
      </c>
      <c r="T1463" s="33" t="n"/>
      <c r="U1463" s="33" t="n"/>
    </row>
    <row r="1464">
      <c r="A1464" s="26">
        <f>IF($B1464="","",ROW()-3)</f>
        <v/>
      </c>
      <c r="B1464" s="27" t="n"/>
      <c r="C1464" s="27" t="n"/>
      <c r="D1464" s="28" t="n"/>
      <c r="E1464" s="29" t="n"/>
      <c r="F1464" s="30" t="n"/>
      <c r="G1464" s="31" t="n"/>
      <c r="H1464" s="31" t="n"/>
      <c r="I1464" s="31" t="n"/>
      <c r="J1464" s="31" t="n"/>
      <c r="K1464" s="31" t="n"/>
      <c r="L1464" s="31" t="n"/>
      <c r="M1464" s="31" t="n"/>
      <c r="N1464" s="31" t="n"/>
      <c r="O1464" s="31" t="n"/>
      <c r="P1464" s="31" t="n"/>
      <c r="Q1464" s="31" t="n"/>
      <c r="R1464" s="31" t="n"/>
      <c r="S1464" s="32">
        <f>IF($F1464="","",IF(IFERROR(VLOOKUP($F1464,'维度字典'!$I$2:$J$50,2,0),"求和")="手工录入","",IF(IFERROR(VLOOKUP($F1464,'维度字典'!$I$2:$J$50,2,0),"求和")="最新值",IFERROR(LOOKUP(9.99E+307,G1464:R1464),""),SUM(G1464:R1464))))</f>
        <v/>
      </c>
      <c r="T1464" s="33" t="n"/>
      <c r="U1464" s="33" t="n"/>
    </row>
    <row r="1465">
      <c r="A1465" s="26">
        <f>IF($B1465="","",ROW()-3)</f>
        <v/>
      </c>
      <c r="B1465" s="27" t="n"/>
      <c r="C1465" s="27" t="n"/>
      <c r="D1465" s="28" t="n"/>
      <c r="E1465" s="29" t="n"/>
      <c r="F1465" s="30" t="n"/>
      <c r="G1465" s="31" t="n"/>
      <c r="H1465" s="31" t="n"/>
      <c r="I1465" s="31" t="n"/>
      <c r="J1465" s="31" t="n"/>
      <c r="K1465" s="31" t="n"/>
      <c r="L1465" s="31" t="n"/>
      <c r="M1465" s="31" t="n"/>
      <c r="N1465" s="31" t="n"/>
      <c r="O1465" s="31" t="n"/>
      <c r="P1465" s="31" t="n"/>
      <c r="Q1465" s="31" t="n"/>
      <c r="R1465" s="31" t="n"/>
      <c r="S1465" s="32">
        <f>IF($F1465="","",IF(IFERROR(VLOOKUP($F1465,'维度字典'!$I$2:$J$50,2,0),"求和")="手工录入","",IF(IFERROR(VLOOKUP($F1465,'维度字典'!$I$2:$J$50,2,0),"求和")="最新值",IFERROR(LOOKUP(9.99E+307,G1465:R1465),""),SUM(G1465:R1465))))</f>
        <v/>
      </c>
      <c r="T1465" s="33" t="n"/>
      <c r="U1465" s="33" t="n"/>
    </row>
    <row r="1466">
      <c r="A1466" s="26">
        <f>IF($B1466="","",ROW()-3)</f>
        <v/>
      </c>
      <c r="B1466" s="27" t="n"/>
      <c r="C1466" s="27" t="n"/>
      <c r="D1466" s="28" t="n"/>
      <c r="E1466" s="29" t="n"/>
      <c r="F1466" s="30" t="n"/>
      <c r="G1466" s="31" t="n"/>
      <c r="H1466" s="31" t="n"/>
      <c r="I1466" s="31" t="n"/>
      <c r="J1466" s="31" t="n"/>
      <c r="K1466" s="31" t="n"/>
      <c r="L1466" s="31" t="n"/>
      <c r="M1466" s="31" t="n"/>
      <c r="N1466" s="31" t="n"/>
      <c r="O1466" s="31" t="n"/>
      <c r="P1466" s="31" t="n"/>
      <c r="Q1466" s="31" t="n"/>
      <c r="R1466" s="31" t="n"/>
      <c r="S1466" s="32">
        <f>IF($F1466="","",IF(IFERROR(VLOOKUP($F1466,'维度字典'!$I$2:$J$50,2,0),"求和")="手工录入","",IF(IFERROR(VLOOKUP($F1466,'维度字典'!$I$2:$J$50,2,0),"求和")="最新值",IFERROR(LOOKUP(9.99E+307,G1466:R1466),""),SUM(G1466:R1466))))</f>
        <v/>
      </c>
      <c r="T1466" s="33" t="n"/>
      <c r="U1466" s="33" t="n"/>
    </row>
    <row r="1467">
      <c r="A1467" s="26">
        <f>IF($B1467="","",ROW()-3)</f>
        <v/>
      </c>
      <c r="B1467" s="27" t="n"/>
      <c r="C1467" s="27" t="n"/>
      <c r="D1467" s="28" t="n"/>
      <c r="E1467" s="29" t="n"/>
      <c r="F1467" s="30" t="n"/>
      <c r="G1467" s="31" t="n"/>
      <c r="H1467" s="31" t="n"/>
      <c r="I1467" s="31" t="n"/>
      <c r="J1467" s="31" t="n"/>
      <c r="K1467" s="31" t="n"/>
      <c r="L1467" s="31" t="n"/>
      <c r="M1467" s="31" t="n"/>
      <c r="N1467" s="31" t="n"/>
      <c r="O1467" s="31" t="n"/>
      <c r="P1467" s="31" t="n"/>
      <c r="Q1467" s="31" t="n"/>
      <c r="R1467" s="31" t="n"/>
      <c r="S1467" s="32">
        <f>IF($F1467="","",IF(IFERROR(VLOOKUP($F1467,'维度字典'!$I$2:$J$50,2,0),"求和")="手工录入","",IF(IFERROR(VLOOKUP($F1467,'维度字典'!$I$2:$J$50,2,0),"求和")="最新值",IFERROR(LOOKUP(9.99E+307,G1467:R1467),""),SUM(G1467:R1467))))</f>
        <v/>
      </c>
      <c r="T1467" s="33" t="n"/>
      <c r="U1467" s="33" t="n"/>
    </row>
    <row r="1468">
      <c r="A1468" s="26">
        <f>IF($B1468="","",ROW()-3)</f>
        <v/>
      </c>
      <c r="B1468" s="27" t="n"/>
      <c r="C1468" s="27" t="n"/>
      <c r="D1468" s="28" t="n"/>
      <c r="E1468" s="29" t="n"/>
      <c r="F1468" s="30" t="n"/>
      <c r="G1468" s="31" t="n"/>
      <c r="H1468" s="31" t="n"/>
      <c r="I1468" s="31" t="n"/>
      <c r="J1468" s="31" t="n"/>
      <c r="K1468" s="31" t="n"/>
      <c r="L1468" s="31" t="n"/>
      <c r="M1468" s="31" t="n"/>
      <c r="N1468" s="31" t="n"/>
      <c r="O1468" s="31" t="n"/>
      <c r="P1468" s="31" t="n"/>
      <c r="Q1468" s="31" t="n"/>
      <c r="R1468" s="31" t="n"/>
      <c r="S1468" s="32">
        <f>IF($F1468="","",IF(IFERROR(VLOOKUP($F1468,'维度字典'!$I$2:$J$50,2,0),"求和")="手工录入","",IF(IFERROR(VLOOKUP($F1468,'维度字典'!$I$2:$J$50,2,0),"求和")="最新值",IFERROR(LOOKUP(9.99E+307,G1468:R1468),""),SUM(G1468:R1468))))</f>
        <v/>
      </c>
      <c r="T1468" s="33" t="n"/>
      <c r="U1468" s="33" t="n"/>
    </row>
    <row r="1469">
      <c r="A1469" s="26">
        <f>IF($B1469="","",ROW()-3)</f>
        <v/>
      </c>
      <c r="B1469" s="27" t="n"/>
      <c r="C1469" s="27" t="n"/>
      <c r="D1469" s="28" t="n"/>
      <c r="E1469" s="29" t="n"/>
      <c r="F1469" s="30" t="n"/>
      <c r="G1469" s="31" t="n"/>
      <c r="H1469" s="31" t="n"/>
      <c r="I1469" s="31" t="n"/>
      <c r="J1469" s="31" t="n"/>
      <c r="K1469" s="31" t="n"/>
      <c r="L1469" s="31" t="n"/>
      <c r="M1469" s="31" t="n"/>
      <c r="N1469" s="31" t="n"/>
      <c r="O1469" s="31" t="n"/>
      <c r="P1469" s="31" t="n"/>
      <c r="Q1469" s="31" t="n"/>
      <c r="R1469" s="31" t="n"/>
      <c r="S1469" s="32">
        <f>IF($F1469="","",IF(IFERROR(VLOOKUP($F1469,'维度字典'!$I$2:$J$50,2,0),"求和")="手工录入","",IF(IFERROR(VLOOKUP($F1469,'维度字典'!$I$2:$J$50,2,0),"求和")="最新值",IFERROR(LOOKUP(9.99E+307,G1469:R1469),""),SUM(G1469:R1469))))</f>
        <v/>
      </c>
      <c r="T1469" s="33" t="n"/>
      <c r="U1469" s="33" t="n"/>
    </row>
    <row r="1470">
      <c r="A1470" s="26">
        <f>IF($B1470="","",ROW()-3)</f>
        <v/>
      </c>
      <c r="B1470" s="27" t="n"/>
      <c r="C1470" s="27" t="n"/>
      <c r="D1470" s="28" t="n"/>
      <c r="E1470" s="29" t="n"/>
      <c r="F1470" s="30" t="n"/>
      <c r="G1470" s="31" t="n"/>
      <c r="H1470" s="31" t="n"/>
      <c r="I1470" s="31" t="n"/>
      <c r="J1470" s="31" t="n"/>
      <c r="K1470" s="31" t="n"/>
      <c r="L1470" s="31" t="n"/>
      <c r="M1470" s="31" t="n"/>
      <c r="N1470" s="31" t="n"/>
      <c r="O1470" s="31" t="n"/>
      <c r="P1470" s="31" t="n"/>
      <c r="Q1470" s="31" t="n"/>
      <c r="R1470" s="31" t="n"/>
      <c r="S1470" s="32">
        <f>IF($F1470="","",IF(IFERROR(VLOOKUP($F1470,'维度字典'!$I$2:$J$50,2,0),"求和")="手工录入","",IF(IFERROR(VLOOKUP($F1470,'维度字典'!$I$2:$J$50,2,0),"求和")="最新值",IFERROR(LOOKUP(9.99E+307,G1470:R1470),""),SUM(G1470:R1470))))</f>
        <v/>
      </c>
      <c r="T1470" s="33" t="n"/>
      <c r="U1470" s="33" t="n"/>
    </row>
    <row r="1471">
      <c r="A1471" s="26">
        <f>IF($B1471="","",ROW()-3)</f>
        <v/>
      </c>
      <c r="B1471" s="27" t="n"/>
      <c r="C1471" s="27" t="n"/>
      <c r="D1471" s="28" t="n"/>
      <c r="E1471" s="29" t="n"/>
      <c r="F1471" s="30" t="n"/>
      <c r="G1471" s="31" t="n"/>
      <c r="H1471" s="31" t="n"/>
      <c r="I1471" s="31" t="n"/>
      <c r="J1471" s="31" t="n"/>
      <c r="K1471" s="31" t="n"/>
      <c r="L1471" s="31" t="n"/>
      <c r="M1471" s="31" t="n"/>
      <c r="N1471" s="31" t="n"/>
      <c r="O1471" s="31" t="n"/>
      <c r="P1471" s="31" t="n"/>
      <c r="Q1471" s="31" t="n"/>
      <c r="R1471" s="31" t="n"/>
      <c r="S1471" s="32">
        <f>IF($F1471="","",IF(IFERROR(VLOOKUP($F1471,'维度字典'!$I$2:$J$50,2,0),"求和")="手工录入","",IF(IFERROR(VLOOKUP($F1471,'维度字典'!$I$2:$J$50,2,0),"求和")="最新值",IFERROR(LOOKUP(9.99E+307,G1471:R1471),""),SUM(G1471:R1471))))</f>
        <v/>
      </c>
      <c r="T1471" s="33" t="n"/>
      <c r="U1471" s="33" t="n"/>
    </row>
    <row r="1472">
      <c r="A1472" s="26">
        <f>IF($B1472="","",ROW()-3)</f>
        <v/>
      </c>
      <c r="B1472" s="27" t="n"/>
      <c r="C1472" s="27" t="n"/>
      <c r="D1472" s="28" t="n"/>
      <c r="E1472" s="29" t="n"/>
      <c r="F1472" s="30" t="n"/>
      <c r="G1472" s="31" t="n"/>
      <c r="H1472" s="31" t="n"/>
      <c r="I1472" s="31" t="n"/>
      <c r="J1472" s="31" t="n"/>
      <c r="K1472" s="31" t="n"/>
      <c r="L1472" s="31" t="n"/>
      <c r="M1472" s="31" t="n"/>
      <c r="N1472" s="31" t="n"/>
      <c r="O1472" s="31" t="n"/>
      <c r="P1472" s="31" t="n"/>
      <c r="Q1472" s="31" t="n"/>
      <c r="R1472" s="31" t="n"/>
      <c r="S1472" s="32">
        <f>IF($F1472="","",IF(IFERROR(VLOOKUP($F1472,'维度字典'!$I$2:$J$50,2,0),"求和")="手工录入","",IF(IFERROR(VLOOKUP($F1472,'维度字典'!$I$2:$J$50,2,0),"求和")="最新值",IFERROR(LOOKUP(9.99E+307,G1472:R1472),""),SUM(G1472:R1472))))</f>
        <v/>
      </c>
      <c r="T1472" s="33" t="n"/>
      <c r="U1472" s="33" t="n"/>
    </row>
    <row r="1473">
      <c r="A1473" s="26">
        <f>IF($B1473="","",ROW()-3)</f>
        <v/>
      </c>
      <c r="B1473" s="27" t="n"/>
      <c r="C1473" s="27" t="n"/>
      <c r="D1473" s="28" t="n"/>
      <c r="E1473" s="29" t="n"/>
      <c r="F1473" s="30" t="n"/>
      <c r="G1473" s="31" t="n"/>
      <c r="H1473" s="31" t="n"/>
      <c r="I1473" s="31" t="n"/>
      <c r="J1473" s="31" t="n"/>
      <c r="K1473" s="31" t="n"/>
      <c r="L1473" s="31" t="n"/>
      <c r="M1473" s="31" t="n"/>
      <c r="N1473" s="31" t="n"/>
      <c r="O1473" s="31" t="n"/>
      <c r="P1473" s="31" t="n"/>
      <c r="Q1473" s="31" t="n"/>
      <c r="R1473" s="31" t="n"/>
      <c r="S1473" s="32">
        <f>IF($F1473="","",IF(IFERROR(VLOOKUP($F1473,'维度字典'!$I$2:$J$50,2,0),"求和")="手工录入","",IF(IFERROR(VLOOKUP($F1473,'维度字典'!$I$2:$J$50,2,0),"求和")="最新值",IFERROR(LOOKUP(9.99E+307,G1473:R1473),""),SUM(G1473:R1473))))</f>
        <v/>
      </c>
      <c r="T1473" s="33" t="n"/>
      <c r="U1473" s="33" t="n"/>
    </row>
    <row r="1474">
      <c r="A1474" s="26">
        <f>IF($B1474="","",ROW()-3)</f>
        <v/>
      </c>
      <c r="B1474" s="27" t="n"/>
      <c r="C1474" s="27" t="n"/>
      <c r="D1474" s="28" t="n"/>
      <c r="E1474" s="29" t="n"/>
      <c r="F1474" s="30" t="n"/>
      <c r="G1474" s="31" t="n"/>
      <c r="H1474" s="31" t="n"/>
      <c r="I1474" s="31" t="n"/>
      <c r="J1474" s="31" t="n"/>
      <c r="K1474" s="31" t="n"/>
      <c r="L1474" s="31" t="n"/>
      <c r="M1474" s="31" t="n"/>
      <c r="N1474" s="31" t="n"/>
      <c r="O1474" s="31" t="n"/>
      <c r="P1474" s="31" t="n"/>
      <c r="Q1474" s="31" t="n"/>
      <c r="R1474" s="31" t="n"/>
      <c r="S1474" s="32">
        <f>IF($F1474="","",IF(IFERROR(VLOOKUP($F1474,'维度字典'!$I$2:$J$50,2,0),"求和")="手工录入","",IF(IFERROR(VLOOKUP($F1474,'维度字典'!$I$2:$J$50,2,0),"求和")="最新值",IFERROR(LOOKUP(9.99E+307,G1474:R1474),""),SUM(G1474:R1474))))</f>
        <v/>
      </c>
      <c r="T1474" s="33" t="n"/>
      <c r="U1474" s="33" t="n"/>
    </row>
    <row r="1475">
      <c r="A1475" s="26">
        <f>IF($B1475="","",ROW()-3)</f>
        <v/>
      </c>
      <c r="B1475" s="27" t="n"/>
      <c r="C1475" s="27" t="n"/>
      <c r="D1475" s="28" t="n"/>
      <c r="E1475" s="29" t="n"/>
      <c r="F1475" s="30" t="n"/>
      <c r="G1475" s="31" t="n"/>
      <c r="H1475" s="31" t="n"/>
      <c r="I1475" s="31" t="n"/>
      <c r="J1475" s="31" t="n"/>
      <c r="K1475" s="31" t="n"/>
      <c r="L1475" s="31" t="n"/>
      <c r="M1475" s="31" t="n"/>
      <c r="N1475" s="31" t="n"/>
      <c r="O1475" s="31" t="n"/>
      <c r="P1475" s="31" t="n"/>
      <c r="Q1475" s="31" t="n"/>
      <c r="R1475" s="31" t="n"/>
      <c r="S1475" s="32">
        <f>IF($F1475="","",IF(IFERROR(VLOOKUP($F1475,'维度字典'!$I$2:$J$50,2,0),"求和")="手工录入","",IF(IFERROR(VLOOKUP($F1475,'维度字典'!$I$2:$J$50,2,0),"求和")="最新值",IFERROR(LOOKUP(9.99E+307,G1475:R1475),""),SUM(G1475:R1475))))</f>
        <v/>
      </c>
      <c r="T1475" s="33" t="n"/>
      <c r="U1475" s="33" t="n"/>
    </row>
    <row r="1476">
      <c r="A1476" s="26">
        <f>IF($B1476="","",ROW()-3)</f>
        <v/>
      </c>
      <c r="B1476" s="27" t="n"/>
      <c r="C1476" s="27" t="n"/>
      <c r="D1476" s="28" t="n"/>
      <c r="E1476" s="29" t="n"/>
      <c r="F1476" s="30" t="n"/>
      <c r="G1476" s="31" t="n"/>
      <c r="H1476" s="31" t="n"/>
      <c r="I1476" s="31" t="n"/>
      <c r="J1476" s="31" t="n"/>
      <c r="K1476" s="31" t="n"/>
      <c r="L1476" s="31" t="n"/>
      <c r="M1476" s="31" t="n"/>
      <c r="N1476" s="31" t="n"/>
      <c r="O1476" s="31" t="n"/>
      <c r="P1476" s="31" t="n"/>
      <c r="Q1476" s="31" t="n"/>
      <c r="R1476" s="31" t="n"/>
      <c r="S1476" s="32">
        <f>IF($F1476="","",IF(IFERROR(VLOOKUP($F1476,'维度字典'!$I$2:$J$50,2,0),"求和")="手工录入","",IF(IFERROR(VLOOKUP($F1476,'维度字典'!$I$2:$J$50,2,0),"求和")="最新值",IFERROR(LOOKUP(9.99E+307,G1476:R1476),""),SUM(G1476:R1476))))</f>
        <v/>
      </c>
      <c r="T1476" s="33" t="n"/>
      <c r="U1476" s="33" t="n"/>
    </row>
    <row r="1477">
      <c r="A1477" s="26">
        <f>IF($B1477="","",ROW()-3)</f>
        <v/>
      </c>
      <c r="B1477" s="27" t="n"/>
      <c r="C1477" s="27" t="n"/>
      <c r="D1477" s="28" t="n"/>
      <c r="E1477" s="29" t="n"/>
      <c r="F1477" s="30" t="n"/>
      <c r="G1477" s="31" t="n"/>
      <c r="H1477" s="31" t="n"/>
      <c r="I1477" s="31" t="n"/>
      <c r="J1477" s="31" t="n"/>
      <c r="K1477" s="31" t="n"/>
      <c r="L1477" s="31" t="n"/>
      <c r="M1477" s="31" t="n"/>
      <c r="N1477" s="31" t="n"/>
      <c r="O1477" s="31" t="n"/>
      <c r="P1477" s="31" t="n"/>
      <c r="Q1477" s="31" t="n"/>
      <c r="R1477" s="31" t="n"/>
      <c r="S1477" s="32">
        <f>IF($F1477="","",IF(IFERROR(VLOOKUP($F1477,'维度字典'!$I$2:$J$50,2,0),"求和")="手工录入","",IF(IFERROR(VLOOKUP($F1477,'维度字典'!$I$2:$J$50,2,0),"求和")="最新值",IFERROR(LOOKUP(9.99E+307,G1477:R1477),""),SUM(G1477:R1477))))</f>
        <v/>
      </c>
      <c r="T1477" s="33" t="n"/>
      <c r="U1477" s="33" t="n"/>
    </row>
    <row r="1478">
      <c r="A1478" s="26">
        <f>IF($B1478="","",ROW()-3)</f>
        <v/>
      </c>
      <c r="B1478" s="27" t="n"/>
      <c r="C1478" s="27" t="n"/>
      <c r="D1478" s="28" t="n"/>
      <c r="E1478" s="29" t="n"/>
      <c r="F1478" s="30" t="n"/>
      <c r="G1478" s="31" t="n"/>
      <c r="H1478" s="31" t="n"/>
      <c r="I1478" s="31" t="n"/>
      <c r="J1478" s="31" t="n"/>
      <c r="K1478" s="31" t="n"/>
      <c r="L1478" s="31" t="n"/>
      <c r="M1478" s="31" t="n"/>
      <c r="N1478" s="31" t="n"/>
      <c r="O1478" s="31" t="n"/>
      <c r="P1478" s="31" t="n"/>
      <c r="Q1478" s="31" t="n"/>
      <c r="R1478" s="31" t="n"/>
      <c r="S1478" s="32">
        <f>IF($F1478="","",IF(IFERROR(VLOOKUP($F1478,'维度字典'!$I$2:$J$50,2,0),"求和")="手工录入","",IF(IFERROR(VLOOKUP($F1478,'维度字典'!$I$2:$J$50,2,0),"求和")="最新值",IFERROR(LOOKUP(9.99E+307,G1478:R1478),""),SUM(G1478:R1478))))</f>
        <v/>
      </c>
      <c r="T1478" s="33" t="n"/>
      <c r="U1478" s="33" t="n"/>
    </row>
    <row r="1479">
      <c r="A1479" s="26">
        <f>IF($B1479="","",ROW()-3)</f>
        <v/>
      </c>
      <c r="B1479" s="27" t="n"/>
      <c r="C1479" s="27" t="n"/>
      <c r="D1479" s="28" t="n"/>
      <c r="E1479" s="29" t="n"/>
      <c r="F1479" s="30" t="n"/>
      <c r="G1479" s="31" t="n"/>
      <c r="H1479" s="31" t="n"/>
      <c r="I1479" s="31" t="n"/>
      <c r="J1479" s="31" t="n"/>
      <c r="K1479" s="31" t="n"/>
      <c r="L1479" s="31" t="n"/>
      <c r="M1479" s="31" t="n"/>
      <c r="N1479" s="31" t="n"/>
      <c r="O1479" s="31" t="n"/>
      <c r="P1479" s="31" t="n"/>
      <c r="Q1479" s="31" t="n"/>
      <c r="R1479" s="31" t="n"/>
      <c r="S1479" s="32">
        <f>IF($F1479="","",IF(IFERROR(VLOOKUP($F1479,'维度字典'!$I$2:$J$50,2,0),"求和")="手工录入","",IF(IFERROR(VLOOKUP($F1479,'维度字典'!$I$2:$J$50,2,0),"求和")="最新值",IFERROR(LOOKUP(9.99E+307,G1479:R1479),""),SUM(G1479:R1479))))</f>
        <v/>
      </c>
      <c r="T1479" s="33" t="n"/>
      <c r="U1479" s="33" t="n"/>
    </row>
    <row r="1480">
      <c r="A1480" s="26">
        <f>IF($B1480="","",ROW()-3)</f>
        <v/>
      </c>
      <c r="B1480" s="27" t="n"/>
      <c r="C1480" s="27" t="n"/>
      <c r="D1480" s="28" t="n"/>
      <c r="E1480" s="29" t="n"/>
      <c r="F1480" s="30" t="n"/>
      <c r="G1480" s="31" t="n"/>
      <c r="H1480" s="31" t="n"/>
      <c r="I1480" s="31" t="n"/>
      <c r="J1480" s="31" t="n"/>
      <c r="K1480" s="31" t="n"/>
      <c r="L1480" s="31" t="n"/>
      <c r="M1480" s="31" t="n"/>
      <c r="N1480" s="31" t="n"/>
      <c r="O1480" s="31" t="n"/>
      <c r="P1480" s="31" t="n"/>
      <c r="Q1480" s="31" t="n"/>
      <c r="R1480" s="31" t="n"/>
      <c r="S1480" s="32">
        <f>IF($F1480="","",IF(IFERROR(VLOOKUP($F1480,'维度字典'!$I$2:$J$50,2,0),"求和")="手工录入","",IF(IFERROR(VLOOKUP($F1480,'维度字典'!$I$2:$J$50,2,0),"求和")="最新值",IFERROR(LOOKUP(9.99E+307,G1480:R1480),""),SUM(G1480:R1480))))</f>
        <v/>
      </c>
      <c r="T1480" s="33" t="n"/>
      <c r="U1480" s="33" t="n"/>
    </row>
    <row r="1481">
      <c r="A1481" s="26">
        <f>IF($B1481="","",ROW()-3)</f>
        <v/>
      </c>
      <c r="B1481" s="27" t="n"/>
      <c r="C1481" s="27" t="n"/>
      <c r="D1481" s="28" t="n"/>
      <c r="E1481" s="29" t="n"/>
      <c r="F1481" s="30" t="n"/>
      <c r="G1481" s="31" t="n"/>
      <c r="H1481" s="31" t="n"/>
      <c r="I1481" s="31" t="n"/>
      <c r="J1481" s="31" t="n"/>
      <c r="K1481" s="31" t="n"/>
      <c r="L1481" s="31" t="n"/>
      <c r="M1481" s="31" t="n"/>
      <c r="N1481" s="31" t="n"/>
      <c r="O1481" s="31" t="n"/>
      <c r="P1481" s="31" t="n"/>
      <c r="Q1481" s="31" t="n"/>
      <c r="R1481" s="31" t="n"/>
      <c r="S1481" s="32">
        <f>IF($F1481="","",IF(IFERROR(VLOOKUP($F1481,'维度字典'!$I$2:$J$50,2,0),"求和")="手工录入","",IF(IFERROR(VLOOKUP($F1481,'维度字典'!$I$2:$J$50,2,0),"求和")="最新值",IFERROR(LOOKUP(9.99E+307,G1481:R1481),""),SUM(G1481:R1481))))</f>
        <v/>
      </c>
      <c r="T1481" s="33" t="n"/>
      <c r="U1481" s="33" t="n"/>
    </row>
    <row r="1482">
      <c r="A1482" s="26">
        <f>IF($B1482="","",ROW()-3)</f>
        <v/>
      </c>
      <c r="B1482" s="27" t="n"/>
      <c r="C1482" s="27" t="n"/>
      <c r="D1482" s="28" t="n"/>
      <c r="E1482" s="29" t="n"/>
      <c r="F1482" s="30" t="n"/>
      <c r="G1482" s="31" t="n"/>
      <c r="H1482" s="31" t="n"/>
      <c r="I1482" s="31" t="n"/>
      <c r="J1482" s="31" t="n"/>
      <c r="K1482" s="31" t="n"/>
      <c r="L1482" s="31" t="n"/>
      <c r="M1482" s="31" t="n"/>
      <c r="N1482" s="31" t="n"/>
      <c r="O1482" s="31" t="n"/>
      <c r="P1482" s="31" t="n"/>
      <c r="Q1482" s="31" t="n"/>
      <c r="R1482" s="31" t="n"/>
      <c r="S1482" s="32">
        <f>IF($F1482="","",IF(IFERROR(VLOOKUP($F1482,'维度字典'!$I$2:$J$50,2,0),"求和")="手工录入","",IF(IFERROR(VLOOKUP($F1482,'维度字典'!$I$2:$J$50,2,0),"求和")="最新值",IFERROR(LOOKUP(9.99E+307,G1482:R1482),""),SUM(G1482:R1482))))</f>
        <v/>
      </c>
      <c r="T1482" s="33" t="n"/>
      <c r="U1482" s="33" t="n"/>
    </row>
    <row r="1483">
      <c r="A1483" s="26">
        <f>IF($B1483="","",ROW()-3)</f>
        <v/>
      </c>
      <c r="B1483" s="27" t="n"/>
      <c r="C1483" s="27" t="n"/>
      <c r="D1483" s="28" t="n"/>
      <c r="E1483" s="29" t="n"/>
      <c r="F1483" s="30" t="n"/>
      <c r="G1483" s="31" t="n"/>
      <c r="H1483" s="31" t="n"/>
      <c r="I1483" s="31" t="n"/>
      <c r="J1483" s="31" t="n"/>
      <c r="K1483" s="31" t="n"/>
      <c r="L1483" s="31" t="n"/>
      <c r="M1483" s="31" t="n"/>
      <c r="N1483" s="31" t="n"/>
      <c r="O1483" s="31" t="n"/>
      <c r="P1483" s="31" t="n"/>
      <c r="Q1483" s="31" t="n"/>
      <c r="R1483" s="31" t="n"/>
      <c r="S1483" s="32">
        <f>IF($F1483="","",IF(IFERROR(VLOOKUP($F1483,'维度字典'!$I$2:$J$50,2,0),"求和")="手工录入","",IF(IFERROR(VLOOKUP($F1483,'维度字典'!$I$2:$J$50,2,0),"求和")="最新值",IFERROR(LOOKUP(9.99E+307,G1483:R1483),""),SUM(G1483:R1483))))</f>
        <v/>
      </c>
      <c r="T1483" s="33" t="n"/>
      <c r="U1483" s="33" t="n"/>
    </row>
    <row r="1484">
      <c r="A1484" s="26">
        <f>IF($B1484="","",ROW()-3)</f>
        <v/>
      </c>
      <c r="B1484" s="27" t="n"/>
      <c r="C1484" s="27" t="n"/>
      <c r="D1484" s="28" t="n"/>
      <c r="E1484" s="29" t="n"/>
      <c r="F1484" s="30" t="n"/>
      <c r="G1484" s="31" t="n"/>
      <c r="H1484" s="31" t="n"/>
      <c r="I1484" s="31" t="n"/>
      <c r="J1484" s="31" t="n"/>
      <c r="K1484" s="31" t="n"/>
      <c r="L1484" s="31" t="n"/>
      <c r="M1484" s="31" t="n"/>
      <c r="N1484" s="31" t="n"/>
      <c r="O1484" s="31" t="n"/>
      <c r="P1484" s="31" t="n"/>
      <c r="Q1484" s="31" t="n"/>
      <c r="R1484" s="31" t="n"/>
      <c r="S1484" s="32">
        <f>IF($F1484="","",IF(IFERROR(VLOOKUP($F1484,'维度字典'!$I$2:$J$50,2,0),"求和")="手工录入","",IF(IFERROR(VLOOKUP($F1484,'维度字典'!$I$2:$J$50,2,0),"求和")="最新值",IFERROR(LOOKUP(9.99E+307,G1484:R1484),""),SUM(G1484:R1484))))</f>
        <v/>
      </c>
      <c r="T1484" s="33" t="n"/>
      <c r="U1484" s="33" t="n"/>
    </row>
    <row r="1485">
      <c r="A1485" s="26">
        <f>IF($B1485="","",ROW()-3)</f>
        <v/>
      </c>
      <c r="B1485" s="27" t="n"/>
      <c r="C1485" s="27" t="n"/>
      <c r="D1485" s="28" t="n"/>
      <c r="E1485" s="29" t="n"/>
      <c r="F1485" s="30" t="n"/>
      <c r="G1485" s="31" t="n"/>
      <c r="H1485" s="31" t="n"/>
      <c r="I1485" s="31" t="n"/>
      <c r="J1485" s="31" t="n"/>
      <c r="K1485" s="31" t="n"/>
      <c r="L1485" s="31" t="n"/>
      <c r="M1485" s="31" t="n"/>
      <c r="N1485" s="31" t="n"/>
      <c r="O1485" s="31" t="n"/>
      <c r="P1485" s="31" t="n"/>
      <c r="Q1485" s="31" t="n"/>
      <c r="R1485" s="31" t="n"/>
      <c r="S1485" s="32">
        <f>IF($F1485="","",IF(IFERROR(VLOOKUP($F1485,'维度字典'!$I$2:$J$50,2,0),"求和")="手工录入","",IF(IFERROR(VLOOKUP($F1485,'维度字典'!$I$2:$J$50,2,0),"求和")="最新值",IFERROR(LOOKUP(9.99E+307,G1485:R1485),""),SUM(G1485:R1485))))</f>
        <v/>
      </c>
      <c r="T1485" s="33" t="n"/>
      <c r="U1485" s="33" t="n"/>
    </row>
    <row r="1486">
      <c r="A1486" s="26">
        <f>IF($B1486="","",ROW()-3)</f>
        <v/>
      </c>
      <c r="B1486" s="27" t="n"/>
      <c r="C1486" s="27" t="n"/>
      <c r="D1486" s="28" t="n"/>
      <c r="E1486" s="29" t="n"/>
      <c r="F1486" s="30" t="n"/>
      <c r="G1486" s="31" t="n"/>
      <c r="H1486" s="31" t="n"/>
      <c r="I1486" s="31" t="n"/>
      <c r="J1486" s="31" t="n"/>
      <c r="K1486" s="31" t="n"/>
      <c r="L1486" s="31" t="n"/>
      <c r="M1486" s="31" t="n"/>
      <c r="N1486" s="31" t="n"/>
      <c r="O1486" s="31" t="n"/>
      <c r="P1486" s="31" t="n"/>
      <c r="Q1486" s="31" t="n"/>
      <c r="R1486" s="31" t="n"/>
      <c r="S1486" s="32">
        <f>IF($F1486="","",IF(IFERROR(VLOOKUP($F1486,'维度字典'!$I$2:$J$50,2,0),"求和")="手工录入","",IF(IFERROR(VLOOKUP($F1486,'维度字典'!$I$2:$J$50,2,0),"求和")="最新值",IFERROR(LOOKUP(9.99E+307,G1486:R1486),""),SUM(G1486:R1486))))</f>
        <v/>
      </c>
      <c r="T1486" s="33" t="n"/>
      <c r="U1486" s="33" t="n"/>
    </row>
    <row r="1487">
      <c r="A1487" s="26">
        <f>IF($B1487="","",ROW()-3)</f>
        <v/>
      </c>
      <c r="B1487" s="27" t="n"/>
      <c r="C1487" s="27" t="n"/>
      <c r="D1487" s="28" t="n"/>
      <c r="E1487" s="29" t="n"/>
      <c r="F1487" s="30" t="n"/>
      <c r="G1487" s="31" t="n"/>
      <c r="H1487" s="31" t="n"/>
      <c r="I1487" s="31" t="n"/>
      <c r="J1487" s="31" t="n"/>
      <c r="K1487" s="31" t="n"/>
      <c r="L1487" s="31" t="n"/>
      <c r="M1487" s="31" t="n"/>
      <c r="N1487" s="31" t="n"/>
      <c r="O1487" s="31" t="n"/>
      <c r="P1487" s="31" t="n"/>
      <c r="Q1487" s="31" t="n"/>
      <c r="R1487" s="31" t="n"/>
      <c r="S1487" s="32">
        <f>IF($F1487="","",IF(IFERROR(VLOOKUP($F1487,'维度字典'!$I$2:$J$50,2,0),"求和")="手工录入","",IF(IFERROR(VLOOKUP($F1487,'维度字典'!$I$2:$J$50,2,0),"求和")="最新值",IFERROR(LOOKUP(9.99E+307,G1487:R1487),""),SUM(G1487:R1487))))</f>
        <v/>
      </c>
      <c r="T1487" s="33" t="n"/>
      <c r="U1487" s="33" t="n"/>
    </row>
    <row r="1488">
      <c r="A1488" s="26">
        <f>IF($B1488="","",ROW()-3)</f>
        <v/>
      </c>
      <c r="B1488" s="27" t="n"/>
      <c r="C1488" s="27" t="n"/>
      <c r="D1488" s="28" t="n"/>
      <c r="E1488" s="29" t="n"/>
      <c r="F1488" s="30" t="n"/>
      <c r="G1488" s="31" t="n"/>
      <c r="H1488" s="31" t="n"/>
      <c r="I1488" s="31" t="n"/>
      <c r="J1488" s="31" t="n"/>
      <c r="K1488" s="31" t="n"/>
      <c r="L1488" s="31" t="n"/>
      <c r="M1488" s="31" t="n"/>
      <c r="N1488" s="31" t="n"/>
      <c r="O1488" s="31" t="n"/>
      <c r="P1488" s="31" t="n"/>
      <c r="Q1488" s="31" t="n"/>
      <c r="R1488" s="31" t="n"/>
      <c r="S1488" s="32">
        <f>IF($F1488="","",IF(IFERROR(VLOOKUP($F1488,'维度字典'!$I$2:$J$50,2,0),"求和")="手工录入","",IF(IFERROR(VLOOKUP($F1488,'维度字典'!$I$2:$J$50,2,0),"求和")="最新值",IFERROR(LOOKUP(9.99E+307,G1488:R1488),""),SUM(G1488:R1488))))</f>
        <v/>
      </c>
      <c r="T1488" s="33" t="n"/>
      <c r="U1488" s="33" t="n"/>
    </row>
    <row r="1489">
      <c r="A1489" s="26">
        <f>IF($B1489="","",ROW()-3)</f>
        <v/>
      </c>
      <c r="B1489" s="27" t="n"/>
      <c r="C1489" s="27" t="n"/>
      <c r="D1489" s="28" t="n"/>
      <c r="E1489" s="29" t="n"/>
      <c r="F1489" s="30" t="n"/>
      <c r="G1489" s="31" t="n"/>
      <c r="H1489" s="31" t="n"/>
      <c r="I1489" s="31" t="n"/>
      <c r="J1489" s="31" t="n"/>
      <c r="K1489" s="31" t="n"/>
      <c r="L1489" s="31" t="n"/>
      <c r="M1489" s="31" t="n"/>
      <c r="N1489" s="31" t="n"/>
      <c r="O1489" s="31" t="n"/>
      <c r="P1489" s="31" t="n"/>
      <c r="Q1489" s="31" t="n"/>
      <c r="R1489" s="31" t="n"/>
      <c r="S1489" s="32">
        <f>IF($F1489="","",IF(IFERROR(VLOOKUP($F1489,'维度字典'!$I$2:$J$50,2,0),"求和")="手工录入","",IF(IFERROR(VLOOKUP($F1489,'维度字典'!$I$2:$J$50,2,0),"求和")="最新值",IFERROR(LOOKUP(9.99E+307,G1489:R1489),""),SUM(G1489:R1489))))</f>
        <v/>
      </c>
      <c r="T1489" s="33" t="n"/>
      <c r="U1489" s="33" t="n"/>
    </row>
    <row r="1490">
      <c r="A1490" s="26">
        <f>IF($B1490="","",ROW()-3)</f>
        <v/>
      </c>
      <c r="B1490" s="27" t="n"/>
      <c r="C1490" s="27" t="n"/>
      <c r="D1490" s="28" t="n"/>
      <c r="E1490" s="29" t="n"/>
      <c r="F1490" s="30" t="n"/>
      <c r="G1490" s="31" t="n"/>
      <c r="H1490" s="31" t="n"/>
      <c r="I1490" s="31" t="n"/>
      <c r="J1490" s="31" t="n"/>
      <c r="K1490" s="31" t="n"/>
      <c r="L1490" s="31" t="n"/>
      <c r="M1490" s="31" t="n"/>
      <c r="N1490" s="31" t="n"/>
      <c r="O1490" s="31" t="n"/>
      <c r="P1490" s="31" t="n"/>
      <c r="Q1490" s="31" t="n"/>
      <c r="R1490" s="31" t="n"/>
      <c r="S1490" s="32">
        <f>IF($F1490="","",IF(IFERROR(VLOOKUP($F1490,'维度字典'!$I$2:$J$50,2,0),"求和")="手工录入","",IF(IFERROR(VLOOKUP($F1490,'维度字典'!$I$2:$J$50,2,0),"求和")="最新值",IFERROR(LOOKUP(9.99E+307,G1490:R1490),""),SUM(G1490:R1490))))</f>
        <v/>
      </c>
      <c r="T1490" s="33" t="n"/>
      <c r="U1490" s="33" t="n"/>
    </row>
    <row r="1491">
      <c r="A1491" s="26">
        <f>IF($B1491="","",ROW()-3)</f>
        <v/>
      </c>
      <c r="B1491" s="27" t="n"/>
      <c r="C1491" s="27" t="n"/>
      <c r="D1491" s="28" t="n"/>
      <c r="E1491" s="29" t="n"/>
      <c r="F1491" s="30" t="n"/>
      <c r="G1491" s="31" t="n"/>
      <c r="H1491" s="31" t="n"/>
      <c r="I1491" s="31" t="n"/>
      <c r="J1491" s="31" t="n"/>
      <c r="K1491" s="31" t="n"/>
      <c r="L1491" s="31" t="n"/>
      <c r="M1491" s="31" t="n"/>
      <c r="N1491" s="31" t="n"/>
      <c r="O1491" s="31" t="n"/>
      <c r="P1491" s="31" t="n"/>
      <c r="Q1491" s="31" t="n"/>
      <c r="R1491" s="31" t="n"/>
      <c r="S1491" s="32">
        <f>IF($F1491="","",IF(IFERROR(VLOOKUP($F1491,'维度字典'!$I$2:$J$50,2,0),"求和")="手工录入","",IF(IFERROR(VLOOKUP($F1491,'维度字典'!$I$2:$J$50,2,0),"求和")="最新值",IFERROR(LOOKUP(9.99E+307,G1491:R1491),""),SUM(G1491:R1491))))</f>
        <v/>
      </c>
      <c r="T1491" s="33" t="n"/>
      <c r="U1491" s="33" t="n"/>
    </row>
    <row r="1492">
      <c r="A1492" s="26">
        <f>IF($B1492="","",ROW()-3)</f>
        <v/>
      </c>
      <c r="B1492" s="27" t="n"/>
      <c r="C1492" s="27" t="n"/>
      <c r="D1492" s="28" t="n"/>
      <c r="E1492" s="29" t="n"/>
      <c r="F1492" s="30" t="n"/>
      <c r="G1492" s="31" t="n"/>
      <c r="H1492" s="31" t="n"/>
      <c r="I1492" s="31" t="n"/>
      <c r="J1492" s="31" t="n"/>
      <c r="K1492" s="31" t="n"/>
      <c r="L1492" s="31" t="n"/>
      <c r="M1492" s="31" t="n"/>
      <c r="N1492" s="31" t="n"/>
      <c r="O1492" s="31" t="n"/>
      <c r="P1492" s="31" t="n"/>
      <c r="Q1492" s="31" t="n"/>
      <c r="R1492" s="31" t="n"/>
      <c r="S1492" s="32">
        <f>IF($F1492="","",IF(IFERROR(VLOOKUP($F1492,'维度字典'!$I$2:$J$50,2,0),"求和")="手工录入","",IF(IFERROR(VLOOKUP($F1492,'维度字典'!$I$2:$J$50,2,0),"求和")="最新值",IFERROR(LOOKUP(9.99E+307,G1492:R1492),""),SUM(G1492:R1492))))</f>
        <v/>
      </c>
      <c r="T1492" s="33" t="n"/>
      <c r="U1492" s="33" t="n"/>
    </row>
    <row r="1493">
      <c r="A1493" s="26">
        <f>IF($B1493="","",ROW()-3)</f>
        <v/>
      </c>
      <c r="B1493" s="27" t="n"/>
      <c r="C1493" s="27" t="n"/>
      <c r="D1493" s="28" t="n"/>
      <c r="E1493" s="29" t="n"/>
      <c r="F1493" s="30" t="n"/>
      <c r="G1493" s="31" t="n"/>
      <c r="H1493" s="31" t="n"/>
      <c r="I1493" s="31" t="n"/>
      <c r="J1493" s="31" t="n"/>
      <c r="K1493" s="31" t="n"/>
      <c r="L1493" s="31" t="n"/>
      <c r="M1493" s="31" t="n"/>
      <c r="N1493" s="31" t="n"/>
      <c r="O1493" s="31" t="n"/>
      <c r="P1493" s="31" t="n"/>
      <c r="Q1493" s="31" t="n"/>
      <c r="R1493" s="31" t="n"/>
      <c r="S1493" s="32">
        <f>IF($F1493="","",IF(IFERROR(VLOOKUP($F1493,'维度字典'!$I$2:$J$50,2,0),"求和")="手工录入","",IF(IFERROR(VLOOKUP($F1493,'维度字典'!$I$2:$J$50,2,0),"求和")="最新值",IFERROR(LOOKUP(9.99E+307,G1493:R1493),""),SUM(G1493:R1493))))</f>
        <v/>
      </c>
      <c r="T1493" s="33" t="n"/>
      <c r="U1493" s="33" t="n"/>
    </row>
    <row r="1494">
      <c r="A1494" s="26">
        <f>IF($B1494="","",ROW()-3)</f>
        <v/>
      </c>
      <c r="B1494" s="27" t="n"/>
      <c r="C1494" s="27" t="n"/>
      <c r="D1494" s="28" t="n"/>
      <c r="E1494" s="29" t="n"/>
      <c r="F1494" s="30" t="n"/>
      <c r="G1494" s="31" t="n"/>
      <c r="H1494" s="31" t="n"/>
      <c r="I1494" s="31" t="n"/>
      <c r="J1494" s="31" t="n"/>
      <c r="K1494" s="31" t="n"/>
      <c r="L1494" s="31" t="n"/>
      <c r="M1494" s="31" t="n"/>
      <c r="N1494" s="31" t="n"/>
      <c r="O1494" s="31" t="n"/>
      <c r="P1494" s="31" t="n"/>
      <c r="Q1494" s="31" t="n"/>
      <c r="R1494" s="31" t="n"/>
      <c r="S1494" s="32">
        <f>IF($F1494="","",IF(IFERROR(VLOOKUP($F1494,'维度字典'!$I$2:$J$50,2,0),"求和")="手工录入","",IF(IFERROR(VLOOKUP($F1494,'维度字典'!$I$2:$J$50,2,0),"求和")="最新值",IFERROR(LOOKUP(9.99E+307,G1494:R1494),""),SUM(G1494:R1494))))</f>
        <v/>
      </c>
      <c r="T1494" s="33" t="n"/>
      <c r="U1494" s="33" t="n"/>
    </row>
    <row r="1495">
      <c r="A1495" s="26">
        <f>IF($B1495="","",ROW()-3)</f>
        <v/>
      </c>
      <c r="B1495" s="27" t="n"/>
      <c r="C1495" s="27" t="n"/>
      <c r="D1495" s="28" t="n"/>
      <c r="E1495" s="29" t="n"/>
      <c r="F1495" s="30" t="n"/>
      <c r="G1495" s="31" t="n"/>
      <c r="H1495" s="31" t="n"/>
      <c r="I1495" s="31" t="n"/>
      <c r="J1495" s="31" t="n"/>
      <c r="K1495" s="31" t="n"/>
      <c r="L1495" s="31" t="n"/>
      <c r="M1495" s="31" t="n"/>
      <c r="N1495" s="31" t="n"/>
      <c r="O1495" s="31" t="n"/>
      <c r="P1495" s="31" t="n"/>
      <c r="Q1495" s="31" t="n"/>
      <c r="R1495" s="31" t="n"/>
      <c r="S1495" s="32">
        <f>IF($F1495="","",IF(IFERROR(VLOOKUP($F1495,'维度字典'!$I$2:$J$50,2,0),"求和")="手工录入","",IF(IFERROR(VLOOKUP($F1495,'维度字典'!$I$2:$J$50,2,0),"求和")="最新值",IFERROR(LOOKUP(9.99E+307,G1495:R1495),""),SUM(G1495:R1495))))</f>
        <v/>
      </c>
      <c r="T1495" s="33" t="n"/>
      <c r="U1495" s="33" t="n"/>
    </row>
    <row r="1496">
      <c r="A1496" s="26">
        <f>IF($B1496="","",ROW()-3)</f>
        <v/>
      </c>
      <c r="B1496" s="27" t="n"/>
      <c r="C1496" s="27" t="n"/>
      <c r="D1496" s="28" t="n"/>
      <c r="E1496" s="29" t="n"/>
      <c r="F1496" s="30" t="n"/>
      <c r="G1496" s="31" t="n"/>
      <c r="H1496" s="31" t="n"/>
      <c r="I1496" s="31" t="n"/>
      <c r="J1496" s="31" t="n"/>
      <c r="K1496" s="31" t="n"/>
      <c r="L1496" s="31" t="n"/>
      <c r="M1496" s="31" t="n"/>
      <c r="N1496" s="31" t="n"/>
      <c r="O1496" s="31" t="n"/>
      <c r="P1496" s="31" t="n"/>
      <c r="Q1496" s="31" t="n"/>
      <c r="R1496" s="31" t="n"/>
      <c r="S1496" s="32">
        <f>IF($F1496="","",IF(IFERROR(VLOOKUP($F1496,'维度字典'!$I$2:$J$50,2,0),"求和")="手工录入","",IF(IFERROR(VLOOKUP($F1496,'维度字典'!$I$2:$J$50,2,0),"求和")="最新值",IFERROR(LOOKUP(9.99E+307,G1496:R1496),""),SUM(G1496:R1496))))</f>
        <v/>
      </c>
      <c r="T1496" s="33" t="n"/>
      <c r="U1496" s="33" t="n"/>
    </row>
    <row r="1497">
      <c r="A1497" s="26">
        <f>IF($B1497="","",ROW()-3)</f>
        <v/>
      </c>
      <c r="B1497" s="27" t="n"/>
      <c r="C1497" s="27" t="n"/>
      <c r="D1497" s="28" t="n"/>
      <c r="E1497" s="29" t="n"/>
      <c r="F1497" s="30" t="n"/>
      <c r="G1497" s="31" t="n"/>
      <c r="H1497" s="31" t="n"/>
      <c r="I1497" s="31" t="n"/>
      <c r="J1497" s="31" t="n"/>
      <c r="K1497" s="31" t="n"/>
      <c r="L1497" s="31" t="n"/>
      <c r="M1497" s="31" t="n"/>
      <c r="N1497" s="31" t="n"/>
      <c r="O1497" s="31" t="n"/>
      <c r="P1497" s="31" t="n"/>
      <c r="Q1497" s="31" t="n"/>
      <c r="R1497" s="31" t="n"/>
      <c r="S1497" s="32">
        <f>IF($F1497="","",IF(IFERROR(VLOOKUP($F1497,'维度字典'!$I$2:$J$50,2,0),"求和")="手工录入","",IF(IFERROR(VLOOKUP($F1497,'维度字典'!$I$2:$J$50,2,0),"求和")="最新值",IFERROR(LOOKUP(9.99E+307,G1497:R1497),""),SUM(G1497:R1497))))</f>
        <v/>
      </c>
      <c r="T1497" s="33" t="n"/>
      <c r="U1497" s="33" t="n"/>
    </row>
    <row r="1498">
      <c r="A1498" s="26">
        <f>IF($B1498="","",ROW()-3)</f>
        <v/>
      </c>
      <c r="B1498" s="27" t="n"/>
      <c r="C1498" s="27" t="n"/>
      <c r="D1498" s="28" t="n"/>
      <c r="E1498" s="29" t="n"/>
      <c r="F1498" s="30" t="n"/>
      <c r="G1498" s="31" t="n"/>
      <c r="H1498" s="31" t="n"/>
      <c r="I1498" s="31" t="n"/>
      <c r="J1498" s="31" t="n"/>
      <c r="K1498" s="31" t="n"/>
      <c r="L1498" s="31" t="n"/>
      <c r="M1498" s="31" t="n"/>
      <c r="N1498" s="31" t="n"/>
      <c r="O1498" s="31" t="n"/>
      <c r="P1498" s="31" t="n"/>
      <c r="Q1498" s="31" t="n"/>
      <c r="R1498" s="31" t="n"/>
      <c r="S1498" s="32">
        <f>IF($F1498="","",IF(IFERROR(VLOOKUP($F1498,'维度字典'!$I$2:$J$50,2,0),"求和")="手工录入","",IF(IFERROR(VLOOKUP($F1498,'维度字典'!$I$2:$J$50,2,0),"求和")="最新值",IFERROR(LOOKUP(9.99E+307,G1498:R1498),""),SUM(G1498:R1498))))</f>
        <v/>
      </c>
      <c r="T1498" s="33" t="n"/>
      <c r="U1498" s="33" t="n"/>
    </row>
    <row r="1499">
      <c r="A1499" s="26">
        <f>IF($B1499="","",ROW()-3)</f>
        <v/>
      </c>
      <c r="B1499" s="27" t="n"/>
      <c r="C1499" s="27" t="n"/>
      <c r="D1499" s="28" t="n"/>
      <c r="E1499" s="29" t="n"/>
      <c r="F1499" s="30" t="n"/>
      <c r="G1499" s="31" t="n"/>
      <c r="H1499" s="31" t="n"/>
      <c r="I1499" s="31" t="n"/>
      <c r="J1499" s="31" t="n"/>
      <c r="K1499" s="31" t="n"/>
      <c r="L1499" s="31" t="n"/>
      <c r="M1499" s="31" t="n"/>
      <c r="N1499" s="31" t="n"/>
      <c r="O1499" s="31" t="n"/>
      <c r="P1499" s="31" t="n"/>
      <c r="Q1499" s="31" t="n"/>
      <c r="R1499" s="31" t="n"/>
      <c r="S1499" s="32">
        <f>IF($F1499="","",IF(IFERROR(VLOOKUP($F1499,'维度字典'!$I$2:$J$50,2,0),"求和")="手工录入","",IF(IFERROR(VLOOKUP($F1499,'维度字典'!$I$2:$J$50,2,0),"求和")="最新值",IFERROR(LOOKUP(9.99E+307,G1499:R1499),""),SUM(G1499:R1499))))</f>
        <v/>
      </c>
      <c r="T1499" s="33" t="n"/>
      <c r="U1499" s="33" t="n"/>
    </row>
    <row r="1500">
      <c r="A1500" s="26">
        <f>IF($B1500="","",ROW()-3)</f>
        <v/>
      </c>
      <c r="B1500" s="27" t="n"/>
      <c r="C1500" s="27" t="n"/>
      <c r="D1500" s="28" t="n"/>
      <c r="E1500" s="29" t="n"/>
      <c r="F1500" s="30" t="n"/>
      <c r="G1500" s="31" t="n"/>
      <c r="H1500" s="31" t="n"/>
      <c r="I1500" s="31" t="n"/>
      <c r="J1500" s="31" t="n"/>
      <c r="K1500" s="31" t="n"/>
      <c r="L1500" s="31" t="n"/>
      <c r="M1500" s="31" t="n"/>
      <c r="N1500" s="31" t="n"/>
      <c r="O1500" s="31" t="n"/>
      <c r="P1500" s="31" t="n"/>
      <c r="Q1500" s="31" t="n"/>
      <c r="R1500" s="31" t="n"/>
      <c r="S1500" s="32">
        <f>IF($F1500="","",IF(IFERROR(VLOOKUP($F1500,'维度字典'!$I$2:$J$50,2,0),"求和")="手工录入","",IF(IFERROR(VLOOKUP($F1500,'维度字典'!$I$2:$J$50,2,0),"求和")="最新值",IFERROR(LOOKUP(9.99E+307,G1500:R1500),""),SUM(G1500:R1500))))</f>
        <v/>
      </c>
      <c r="T1500" s="33" t="n"/>
      <c r="U1500" s="33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3:U1500"/>
  <mergeCells count="3">
    <mergeCell ref="A1:T1"/>
    <mergeCell ref="B2:F2"/>
    <mergeCell ref="G2:R2"/>
  </mergeCells>
  <conditionalFormatting sqref="S4:S1500">
    <cfRule type="expression" priority="1" dxfId="0" stopIfTrue="0">
      <formula>AND($F4&lt;&gt;"",IFERROR(VLOOKUP($F4,'维度字典'!$I$2:$J$50,2,0),"求和")="手工录入")</formula>
    </cfRule>
  </conditionalFormatting>
  <dataValidations count="6">
    <dataValidation sqref="B4:B1500" showDropDown="0" showInputMessage="1" showErrorMessage="1" allowBlank="1" error="请从下拉选择业务员" promptTitle="业务员" prompt="请选择业务员" type="list">
      <formula1>LIST_SALESPERSON</formula1>
    </dataValidation>
    <dataValidation sqref="C4:C1500" showDropDown="0" showInputMessage="1" showErrorMessage="1" allowBlank="1" error="请从下拉选择应用行业" promptTitle="应用行业" prompt="请选择应用行业" type="list">
      <formula1>LIST_INDUSTRY</formula1>
    </dataValidation>
    <dataValidation sqref="D4:D1500" showDropDown="0" showInputMessage="1" showErrorMessage="1" allowBlank="1" error="请从下拉选择产品" promptTitle="产品" prompt="请选择产品" type="list">
      <formula1>LIST_PRODUCT</formula1>
    </dataValidation>
    <dataValidation sqref="E4:E1500" showDropDown="0" showInputMessage="1" showErrorMessage="1" allowBlank="1" error="请从下拉选择区域" promptTitle="区域" prompt="请选择区域" type="list">
      <formula1>LIST_REGION</formula1>
    </dataValidation>
    <dataValidation sqref="F4:F1500" showDropDown="0" showInputMessage="1" showErrorMessage="1" allowBlank="1" error="请从下拉选择填报指标" promptTitle="指标" prompt="请选择填报指标" type="list">
      <formula1>LIST_METRIC_TARGET</formula1>
    </dataValidation>
    <dataValidation sqref="G4:R1500" showDropDown="0" showInputMessage="0" showErrorMessage="1" allowBlank="1" error="月度数据请填写非负数字（万元）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00"/>
  <sheetViews>
    <sheetView workbookViewId="0">
      <pane xSplit="6" ySplit="3" topLeftCell="G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5" customWidth="1" min="4" max="4"/>
    <col width="11" customWidth="1" min="5" max="5"/>
    <col width="18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13" customWidth="1" min="19" max="19"/>
    <col width="26" customWidth="1" min="20" max="20"/>
  </cols>
  <sheetData>
    <row r="1" ht="24" customHeight="1">
      <c r="A1" s="18" t="inlineStr">
        <is>
          <t>系统实绩导入（按月）—— BI系统数据落地区：数据管理员每月从系统导出后粘贴当月列；业务人员勿改</t>
        </is>
      </c>
    </row>
    <row r="2" ht="20" customHeight="1">
      <c r="A2" s="19" t="inlineStr"/>
      <c r="B2" s="19" t="inlineStr">
        <is>
          <t>填报维度（下拉选择）</t>
        </is>
      </c>
      <c r="C2" s="60" t="n"/>
      <c r="D2" s="60" t="n"/>
      <c r="E2" s="60" t="n"/>
      <c r="F2" s="61" t="n"/>
      <c r="G2" s="19" t="inlineStr">
        <is>
          <t>月度填报（万元）—— 当月填当列</t>
        </is>
      </c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1" t="n"/>
      <c r="S2" s="19" t="inlineStr">
        <is>
          <t>全年</t>
        </is>
      </c>
      <c r="T2" s="19" t="inlineStr">
        <is>
          <t>备注</t>
        </is>
      </c>
    </row>
    <row r="3" ht="30" customHeight="1">
      <c r="A3" s="21" t="inlineStr">
        <is>
          <t>序号</t>
        </is>
      </c>
      <c r="B3" s="21" t="inlineStr">
        <is>
          <t>业务员*</t>
        </is>
      </c>
      <c r="C3" s="21" t="inlineStr">
        <is>
          <t>应用行业*</t>
        </is>
      </c>
      <c r="D3" s="22" t="inlineStr">
        <is>
          <t>产品*(钎焊/可拆)</t>
        </is>
      </c>
      <c r="E3" s="23" t="inlineStr">
        <is>
          <t>区域(预留)</t>
        </is>
      </c>
      <c r="F3" s="24" t="inlineStr">
        <is>
          <t>填报指标*</t>
        </is>
      </c>
      <c r="G3" s="25" t="n">
        <v>1</v>
      </c>
      <c r="H3" s="25" t="n">
        <v>2</v>
      </c>
      <c r="I3" s="25" t="n">
        <v>3</v>
      </c>
      <c r="J3" s="25" t="n">
        <v>4</v>
      </c>
      <c r="K3" s="25" t="n">
        <v>5</v>
      </c>
      <c r="L3" s="25" t="n">
        <v>6</v>
      </c>
      <c r="M3" s="25" t="n">
        <v>7</v>
      </c>
      <c r="N3" s="25" t="n">
        <v>8</v>
      </c>
      <c r="O3" s="25" t="n">
        <v>9</v>
      </c>
      <c r="P3" s="25" t="n">
        <v>10</v>
      </c>
      <c r="Q3" s="25" t="n">
        <v>11</v>
      </c>
      <c r="R3" s="25" t="n">
        <v>12</v>
      </c>
      <c r="S3" s="19" t="inlineStr">
        <is>
          <t>全年汇总
(自动/录入)</t>
        </is>
      </c>
      <c r="T3" s="19" t="inlineStr">
        <is>
          <t>差异分析/备注</t>
        </is>
      </c>
    </row>
    <row r="4">
      <c r="A4" s="26">
        <f>IF($B4="","",ROW()-3)</f>
        <v/>
      </c>
      <c r="B4" s="27" t="inlineStr">
        <is>
          <t>张三</t>
        </is>
      </c>
      <c r="C4" s="27" t="inlineStr">
        <is>
          <t>空调制冷</t>
        </is>
      </c>
      <c r="D4" s="28" t="inlineStr">
        <is>
          <t>钎焊</t>
        </is>
      </c>
      <c r="E4" s="29" t="inlineStr">
        <is>
          <t>华东</t>
        </is>
      </c>
      <c r="F4" s="30" t="inlineStr">
        <is>
          <t>实绩销售额</t>
        </is>
      </c>
      <c r="G4" s="31" t="n">
        <v>62</v>
      </c>
      <c r="H4" s="31" t="n">
        <v>54</v>
      </c>
      <c r="I4" s="31" t="n">
        <v>71</v>
      </c>
      <c r="J4" s="31" t="n">
        <v>80</v>
      </c>
      <c r="K4" s="31" t="n">
        <v>80</v>
      </c>
      <c r="L4" s="31" t="n">
        <v>89</v>
      </c>
      <c r="M4" s="31" t="n">
        <v>89</v>
      </c>
      <c r="N4" s="31" t="n">
        <v>80</v>
      </c>
      <c r="O4" s="31" t="n">
        <v>80</v>
      </c>
      <c r="P4" s="31" t="n">
        <v>80</v>
      </c>
      <c r="Q4" s="31" t="n">
        <v>71</v>
      </c>
      <c r="R4" s="31" t="n">
        <v>54</v>
      </c>
      <c r="S4" s="32">
        <f>IF($F4="","",IF(IFERROR(VLOOKUP($F4,'维度字典'!$M$2:$N$50,2,0),"求和")="手工录入","",IF(IFERROR(VLOOKUP($F4,'维度字典'!$M$2:$N$50,2,0),"求和")="最新值",IFERROR(LOOKUP(9.99E+307,G4:R4),""),SUM(G4:R4))))</f>
        <v/>
      </c>
      <c r="T4" s="33" t="n"/>
    </row>
    <row r="5">
      <c r="A5" s="26">
        <f>IF($B5="","",ROW()-3)</f>
        <v/>
      </c>
      <c r="B5" s="27" t="inlineStr">
        <is>
          <t>张三</t>
        </is>
      </c>
      <c r="C5" s="27" t="inlineStr">
        <is>
          <t>空调制冷</t>
        </is>
      </c>
      <c r="D5" s="28" t="inlineStr">
        <is>
          <t>钎焊</t>
        </is>
      </c>
      <c r="E5" s="29" t="inlineStr">
        <is>
          <t>华东</t>
        </is>
      </c>
      <c r="F5" s="30" t="inlineStr">
        <is>
          <t>实绩毛利</t>
        </is>
      </c>
      <c r="G5" s="31" t="n">
        <v>9.300000000000001</v>
      </c>
      <c r="H5" s="31" t="n">
        <v>8.1</v>
      </c>
      <c r="I5" s="31" t="n">
        <v>10.7</v>
      </c>
      <c r="J5" s="31" t="n">
        <v>12</v>
      </c>
      <c r="K5" s="31" t="n">
        <v>12</v>
      </c>
      <c r="L5" s="31" t="n">
        <v>13.3</v>
      </c>
      <c r="M5" s="31" t="n">
        <v>13.3</v>
      </c>
      <c r="N5" s="31" t="n">
        <v>12</v>
      </c>
      <c r="O5" s="31" t="n">
        <v>12</v>
      </c>
      <c r="P5" s="31" t="n">
        <v>12</v>
      </c>
      <c r="Q5" s="31" t="n">
        <v>10.7</v>
      </c>
      <c r="R5" s="31" t="n">
        <v>8.1</v>
      </c>
      <c r="S5" s="32">
        <f>IF($F5="","",IF(IFERROR(VLOOKUP($F5,'维度字典'!$M$2:$N$50,2,0),"求和")="手工录入","",IF(IFERROR(VLOOKUP($F5,'维度字典'!$M$2:$N$50,2,0),"求和")="最新值",IFERROR(LOOKUP(9.99E+307,G5:R5),""),SUM(G5:R5))))</f>
        <v/>
      </c>
      <c r="T5" s="33" t="n"/>
    </row>
    <row r="6">
      <c r="A6" s="26">
        <f>IF($B6="","",ROW()-3)</f>
        <v/>
      </c>
      <c r="B6" s="27" t="inlineStr">
        <is>
          <t>张三</t>
        </is>
      </c>
      <c r="C6" s="27" t="inlineStr">
        <is>
          <t>空调制冷</t>
        </is>
      </c>
      <c r="D6" s="28" t="inlineStr">
        <is>
          <t>可拆</t>
        </is>
      </c>
      <c r="E6" s="29" t="inlineStr">
        <is>
          <t>华东</t>
        </is>
      </c>
      <c r="F6" s="30" t="inlineStr">
        <is>
          <t>实绩销售额</t>
        </is>
      </c>
      <c r="G6" s="31" t="n">
        <v>25</v>
      </c>
      <c r="H6" s="31" t="n">
        <v>22</v>
      </c>
      <c r="I6" s="31" t="n">
        <v>29</v>
      </c>
      <c r="J6" s="31" t="n">
        <v>33</v>
      </c>
      <c r="K6" s="31" t="n">
        <v>33</v>
      </c>
      <c r="L6" s="31" t="n">
        <v>36</v>
      </c>
      <c r="M6" s="31" t="n">
        <v>36</v>
      </c>
      <c r="N6" s="31" t="n">
        <v>33</v>
      </c>
      <c r="O6" s="31" t="n">
        <v>33</v>
      </c>
      <c r="P6" s="31" t="n">
        <v>33</v>
      </c>
      <c r="Q6" s="31" t="n">
        <v>29</v>
      </c>
      <c r="R6" s="31" t="n">
        <v>22</v>
      </c>
      <c r="S6" s="32">
        <f>IF($F6="","",IF(IFERROR(VLOOKUP($F6,'维度字典'!$M$2:$N$50,2,0),"求和")="手工录入","",IF(IFERROR(VLOOKUP($F6,'维度字典'!$M$2:$N$50,2,0),"求和")="最新值",IFERROR(LOOKUP(9.99E+307,G6:R6),""),SUM(G6:R6))))</f>
        <v/>
      </c>
      <c r="T6" s="33" t="n"/>
    </row>
    <row r="7">
      <c r="A7" s="26">
        <f>IF($B7="","",ROW()-3)</f>
        <v/>
      </c>
      <c r="B7" s="27" t="inlineStr">
        <is>
          <t>张三</t>
        </is>
      </c>
      <c r="C7" s="27" t="inlineStr">
        <is>
          <t>空调制冷</t>
        </is>
      </c>
      <c r="D7" s="28" t="inlineStr">
        <is>
          <t>可拆</t>
        </is>
      </c>
      <c r="E7" s="29" t="inlineStr">
        <is>
          <t>华东</t>
        </is>
      </c>
      <c r="F7" s="30" t="inlineStr">
        <is>
          <t>实绩毛利</t>
        </is>
      </c>
      <c r="G7" s="31" t="n">
        <v>3.8</v>
      </c>
      <c r="H7" s="31" t="n">
        <v>3.3</v>
      </c>
      <c r="I7" s="31" t="n">
        <v>4.3</v>
      </c>
      <c r="J7" s="31" t="n">
        <v>5</v>
      </c>
      <c r="K7" s="31" t="n">
        <v>5</v>
      </c>
      <c r="L7" s="31" t="n">
        <v>5.4</v>
      </c>
      <c r="M7" s="31" t="n">
        <v>5.4</v>
      </c>
      <c r="N7" s="31" t="n">
        <v>5</v>
      </c>
      <c r="O7" s="31" t="n">
        <v>5</v>
      </c>
      <c r="P7" s="31" t="n">
        <v>5</v>
      </c>
      <c r="Q7" s="31" t="n">
        <v>4.3</v>
      </c>
      <c r="R7" s="31" t="n">
        <v>3.3</v>
      </c>
      <c r="S7" s="32">
        <f>IF($F7="","",IF(IFERROR(VLOOKUP($F7,'维度字典'!$M$2:$N$50,2,0),"求和")="手工录入","",IF(IFERROR(VLOOKUP($F7,'维度字典'!$M$2:$N$50,2,0),"求和")="最新值",IFERROR(LOOKUP(9.99E+307,G7:R7),""),SUM(G7:R7))))</f>
        <v/>
      </c>
      <c r="T7" s="33" t="n"/>
    </row>
    <row r="8">
      <c r="A8" s="26">
        <f>IF($B8="","",ROW()-3)</f>
        <v/>
      </c>
      <c r="B8" s="27" t="inlineStr">
        <is>
          <t>张三</t>
        </is>
      </c>
      <c r="C8" s="27" t="inlineStr">
        <is>
          <t>工业制冷</t>
        </is>
      </c>
      <c r="D8" s="28" t="inlineStr">
        <is>
          <t>钎焊</t>
        </is>
      </c>
      <c r="E8" s="29" t="inlineStr">
        <is>
          <t>华东</t>
        </is>
      </c>
      <c r="F8" s="30" t="inlineStr">
        <is>
          <t>实绩销售额</t>
        </is>
      </c>
      <c r="G8" s="31" t="n">
        <v>39</v>
      </c>
      <c r="H8" s="31" t="n">
        <v>34</v>
      </c>
      <c r="I8" s="31" t="n">
        <v>45</v>
      </c>
      <c r="J8" s="31" t="n">
        <v>51</v>
      </c>
      <c r="K8" s="31" t="n">
        <v>51</v>
      </c>
      <c r="L8" s="31" t="n">
        <v>56</v>
      </c>
      <c r="M8" s="31" t="n">
        <v>56</v>
      </c>
      <c r="N8" s="31" t="n">
        <v>51</v>
      </c>
      <c r="O8" s="31" t="n">
        <v>51</v>
      </c>
      <c r="P8" s="31" t="n">
        <v>51</v>
      </c>
      <c r="Q8" s="31" t="n">
        <v>45</v>
      </c>
      <c r="R8" s="31" t="n">
        <v>34</v>
      </c>
      <c r="S8" s="32">
        <f>IF($F8="","",IF(IFERROR(VLOOKUP($F8,'维度字典'!$M$2:$N$50,2,0),"求和")="手工录入","",IF(IFERROR(VLOOKUP($F8,'维度字典'!$M$2:$N$50,2,0),"求和")="最新值",IFERROR(LOOKUP(9.99E+307,G8:R8),""),SUM(G8:R8))))</f>
        <v/>
      </c>
      <c r="T8" s="33" t="n"/>
    </row>
    <row r="9">
      <c r="A9" s="26">
        <f>IF($B9="","",ROW()-3)</f>
        <v/>
      </c>
      <c r="B9" s="27" t="inlineStr">
        <is>
          <t>张三</t>
        </is>
      </c>
      <c r="C9" s="27" t="inlineStr">
        <is>
          <t>工业制冷</t>
        </is>
      </c>
      <c r="D9" s="28" t="inlineStr">
        <is>
          <t>钎焊</t>
        </is>
      </c>
      <c r="E9" s="29" t="inlineStr">
        <is>
          <t>华东</t>
        </is>
      </c>
      <c r="F9" s="30" t="inlineStr">
        <is>
          <t>实绩毛利</t>
        </is>
      </c>
      <c r="G9" s="31" t="n">
        <v>6.2</v>
      </c>
      <c r="H9" s="31" t="n">
        <v>5.4</v>
      </c>
      <c r="I9" s="31" t="n">
        <v>7.2</v>
      </c>
      <c r="J9" s="31" t="n">
        <v>8.199999999999999</v>
      </c>
      <c r="K9" s="31" t="n">
        <v>8.199999999999999</v>
      </c>
      <c r="L9" s="31" t="n">
        <v>9</v>
      </c>
      <c r="M9" s="31" t="n">
        <v>9</v>
      </c>
      <c r="N9" s="31" t="n">
        <v>8.199999999999999</v>
      </c>
      <c r="O9" s="31" t="n">
        <v>8.199999999999999</v>
      </c>
      <c r="P9" s="31" t="n">
        <v>8.199999999999999</v>
      </c>
      <c r="Q9" s="31" t="n">
        <v>7.2</v>
      </c>
      <c r="R9" s="31" t="n">
        <v>5.4</v>
      </c>
      <c r="S9" s="32">
        <f>IF($F9="","",IF(IFERROR(VLOOKUP($F9,'维度字典'!$M$2:$N$50,2,0),"求和")="手工录入","",IF(IFERROR(VLOOKUP($F9,'维度字典'!$M$2:$N$50,2,0),"求和")="最新值",IFERROR(LOOKUP(9.99E+307,G9:R9),""),SUM(G9:R9))))</f>
        <v/>
      </c>
      <c r="T9" s="33" t="n"/>
    </row>
    <row r="10">
      <c r="A10" s="26">
        <f>IF($B10="","",ROW()-3)</f>
        <v/>
      </c>
      <c r="B10" s="27" t="inlineStr">
        <is>
          <t>张三</t>
        </is>
      </c>
      <c r="C10" s="27" t="inlineStr">
        <is>
          <t>工业制冷</t>
        </is>
      </c>
      <c r="D10" s="28" t="inlineStr">
        <is>
          <t>可拆</t>
        </is>
      </c>
      <c r="E10" s="29" t="inlineStr">
        <is>
          <t>华东</t>
        </is>
      </c>
      <c r="F10" s="30" t="inlineStr">
        <is>
          <t>实绩销售额</t>
        </is>
      </c>
      <c r="G10" s="31" t="n">
        <v>37</v>
      </c>
      <c r="H10" s="31" t="n">
        <v>32</v>
      </c>
      <c r="I10" s="31" t="n">
        <v>43</v>
      </c>
      <c r="J10" s="31" t="n">
        <v>48</v>
      </c>
      <c r="K10" s="31" t="n">
        <v>48</v>
      </c>
      <c r="L10" s="31" t="n">
        <v>54</v>
      </c>
      <c r="M10" s="31" t="n">
        <v>54</v>
      </c>
      <c r="N10" s="31" t="n">
        <v>48</v>
      </c>
      <c r="O10" s="31" t="n">
        <v>48</v>
      </c>
      <c r="P10" s="31" t="n">
        <v>48</v>
      </c>
      <c r="Q10" s="31" t="n">
        <v>43</v>
      </c>
      <c r="R10" s="31" t="n">
        <v>32</v>
      </c>
      <c r="S10" s="32">
        <f>IF($F10="","",IF(IFERROR(VLOOKUP($F10,'维度字典'!$M$2:$N$50,2,0),"求和")="手工录入","",IF(IFERROR(VLOOKUP($F10,'维度字典'!$M$2:$N$50,2,0),"求和")="最新值",IFERROR(LOOKUP(9.99E+307,G10:R10),""),SUM(G10:R10))))</f>
        <v/>
      </c>
      <c r="T10" s="33" t="n"/>
    </row>
    <row r="11">
      <c r="A11" s="26">
        <f>IF($B11="","",ROW()-3)</f>
        <v/>
      </c>
      <c r="B11" s="27" t="inlineStr">
        <is>
          <t>张三</t>
        </is>
      </c>
      <c r="C11" s="27" t="inlineStr">
        <is>
          <t>工业制冷</t>
        </is>
      </c>
      <c r="D11" s="28" t="inlineStr">
        <is>
          <t>可拆</t>
        </is>
      </c>
      <c r="E11" s="29" t="inlineStr">
        <is>
          <t>华东</t>
        </is>
      </c>
      <c r="F11" s="30" t="inlineStr">
        <is>
          <t>实绩毛利</t>
        </is>
      </c>
      <c r="G11" s="31" t="n">
        <v>5.9</v>
      </c>
      <c r="H11" s="31" t="n">
        <v>5.1</v>
      </c>
      <c r="I11" s="31" t="n">
        <v>6.9</v>
      </c>
      <c r="J11" s="31" t="n">
        <v>7.7</v>
      </c>
      <c r="K11" s="31" t="n">
        <v>7.7</v>
      </c>
      <c r="L11" s="31" t="n">
        <v>8.6</v>
      </c>
      <c r="M11" s="31" t="n">
        <v>8.6</v>
      </c>
      <c r="N11" s="31" t="n">
        <v>7.7</v>
      </c>
      <c r="O11" s="31" t="n">
        <v>7.7</v>
      </c>
      <c r="P11" s="31" t="n">
        <v>7.7</v>
      </c>
      <c r="Q11" s="31" t="n">
        <v>6.9</v>
      </c>
      <c r="R11" s="31" t="n">
        <v>5.1</v>
      </c>
      <c r="S11" s="32">
        <f>IF($F11="","",IF(IFERROR(VLOOKUP($F11,'维度字典'!$M$2:$N$50,2,0),"求和")="手工录入","",IF(IFERROR(VLOOKUP($F11,'维度字典'!$M$2:$N$50,2,0),"求和")="最新值",IFERROR(LOOKUP(9.99E+307,G11:R11),""),SUM(G11:R11))))</f>
        <v/>
      </c>
      <c r="T11" s="33" t="n"/>
    </row>
    <row r="12">
      <c r="A12" s="26">
        <f>IF($B12="","",ROW()-3)</f>
        <v/>
      </c>
      <c r="B12" s="27" t="inlineStr">
        <is>
          <t>张三</t>
        </is>
      </c>
      <c r="C12" s="27" t="inlineStr">
        <is>
          <t>船舶行业</t>
        </is>
      </c>
      <c r="D12" s="28" t="inlineStr">
        <is>
          <t>钎焊</t>
        </is>
      </c>
      <c r="E12" s="29" t="inlineStr">
        <is>
          <t>华东</t>
        </is>
      </c>
      <c r="F12" s="30" t="inlineStr">
        <is>
          <t>实绩销售额</t>
        </is>
      </c>
      <c r="G12" s="31" t="n">
        <v>9</v>
      </c>
      <c r="H12" s="31" t="n">
        <v>7</v>
      </c>
      <c r="I12" s="31" t="n">
        <v>10</v>
      </c>
      <c r="J12" s="31" t="n">
        <v>11</v>
      </c>
      <c r="K12" s="31" t="n">
        <v>11</v>
      </c>
      <c r="L12" s="31" t="n">
        <v>12</v>
      </c>
      <c r="M12" s="31" t="n">
        <v>12</v>
      </c>
      <c r="N12" s="31" t="n">
        <v>11</v>
      </c>
      <c r="O12" s="31" t="n">
        <v>11</v>
      </c>
      <c r="P12" s="31" t="n">
        <v>11</v>
      </c>
      <c r="Q12" s="31" t="n">
        <v>10</v>
      </c>
      <c r="R12" s="31" t="n">
        <v>7</v>
      </c>
      <c r="S12" s="32">
        <f>IF($F12="","",IF(IFERROR(VLOOKUP($F12,'维度字典'!$M$2:$N$50,2,0),"求和")="手工录入","",IF(IFERROR(VLOOKUP($F12,'维度字典'!$M$2:$N$50,2,0),"求和")="最新值",IFERROR(LOOKUP(9.99E+307,G12:R12),""),SUM(G12:R12))))</f>
        <v/>
      </c>
      <c r="T12" s="33" t="n"/>
    </row>
    <row r="13">
      <c r="A13" s="26">
        <f>IF($B13="","",ROW()-3)</f>
        <v/>
      </c>
      <c r="B13" s="27" t="inlineStr">
        <is>
          <t>张三</t>
        </is>
      </c>
      <c r="C13" s="27" t="inlineStr">
        <is>
          <t>船舶行业</t>
        </is>
      </c>
      <c r="D13" s="28" t="inlineStr">
        <is>
          <t>钎焊</t>
        </is>
      </c>
      <c r="E13" s="29" t="inlineStr">
        <is>
          <t>华东</t>
        </is>
      </c>
      <c r="F13" s="30" t="inlineStr">
        <is>
          <t>实绩毛利</t>
        </is>
      </c>
      <c r="G13" s="31" t="n">
        <v>1.8</v>
      </c>
      <c r="H13" s="31" t="n">
        <v>1.4</v>
      </c>
      <c r="I13" s="31" t="n">
        <v>2</v>
      </c>
      <c r="J13" s="31" t="n">
        <v>2.2</v>
      </c>
      <c r="K13" s="31" t="n">
        <v>2.2</v>
      </c>
      <c r="L13" s="31" t="n">
        <v>2.4</v>
      </c>
      <c r="M13" s="31" t="n">
        <v>2.4</v>
      </c>
      <c r="N13" s="31" t="n">
        <v>2.2</v>
      </c>
      <c r="O13" s="31" t="n">
        <v>2.2</v>
      </c>
      <c r="P13" s="31" t="n">
        <v>2.2</v>
      </c>
      <c r="Q13" s="31" t="n">
        <v>2</v>
      </c>
      <c r="R13" s="31" t="n">
        <v>1.4</v>
      </c>
      <c r="S13" s="32">
        <f>IF($F13="","",IF(IFERROR(VLOOKUP($F13,'维度字典'!$M$2:$N$50,2,0),"求和")="手工录入","",IF(IFERROR(VLOOKUP($F13,'维度字典'!$M$2:$N$50,2,0),"求和")="最新值",IFERROR(LOOKUP(9.99E+307,G13:R13),""),SUM(G13:R13))))</f>
        <v/>
      </c>
      <c r="T13" s="33" t="n"/>
    </row>
    <row r="14">
      <c r="A14" s="26">
        <f>IF($B14="","",ROW()-3)</f>
        <v/>
      </c>
      <c r="B14" s="27" t="inlineStr">
        <is>
          <t>张三</t>
        </is>
      </c>
      <c r="C14" s="27" t="inlineStr">
        <is>
          <t>船舶行业</t>
        </is>
      </c>
      <c r="D14" s="28" t="inlineStr">
        <is>
          <t>可拆</t>
        </is>
      </c>
      <c r="E14" s="29" t="inlineStr">
        <is>
          <t>华东</t>
        </is>
      </c>
      <c r="F14" s="30" t="inlineStr">
        <is>
          <t>实绩销售额</t>
        </is>
      </c>
      <c r="G14" s="31" t="n">
        <v>12</v>
      </c>
      <c r="H14" s="31" t="n">
        <v>10</v>
      </c>
      <c r="I14" s="31" t="n">
        <v>14</v>
      </c>
      <c r="J14" s="31" t="n">
        <v>16</v>
      </c>
      <c r="K14" s="31" t="n">
        <v>16</v>
      </c>
      <c r="L14" s="31" t="n">
        <v>17</v>
      </c>
      <c r="M14" s="31" t="n">
        <v>17</v>
      </c>
      <c r="N14" s="31" t="n">
        <v>16</v>
      </c>
      <c r="O14" s="31" t="n">
        <v>16</v>
      </c>
      <c r="P14" s="31" t="n">
        <v>16</v>
      </c>
      <c r="Q14" s="31" t="n">
        <v>14</v>
      </c>
      <c r="R14" s="31" t="n">
        <v>10</v>
      </c>
      <c r="S14" s="32">
        <f>IF($F14="","",IF(IFERROR(VLOOKUP($F14,'维度字典'!$M$2:$N$50,2,0),"求和")="手工录入","",IF(IFERROR(VLOOKUP($F14,'维度字典'!$M$2:$N$50,2,0),"求和")="最新值",IFERROR(LOOKUP(9.99E+307,G14:R14),""),SUM(G14:R14))))</f>
        <v/>
      </c>
      <c r="T14" s="33" t="n"/>
    </row>
    <row r="15">
      <c r="A15" s="26">
        <f>IF($B15="","",ROW()-3)</f>
        <v/>
      </c>
      <c r="B15" s="27" t="inlineStr">
        <is>
          <t>张三</t>
        </is>
      </c>
      <c r="C15" s="27" t="inlineStr">
        <is>
          <t>船舶行业</t>
        </is>
      </c>
      <c r="D15" s="28" t="inlineStr">
        <is>
          <t>可拆</t>
        </is>
      </c>
      <c r="E15" s="29" t="inlineStr">
        <is>
          <t>华东</t>
        </is>
      </c>
      <c r="F15" s="30" t="inlineStr">
        <is>
          <t>实绩毛利</t>
        </is>
      </c>
      <c r="G15" s="31" t="n">
        <v>2.4</v>
      </c>
      <c r="H15" s="31" t="n">
        <v>2</v>
      </c>
      <c r="I15" s="31" t="n">
        <v>2.8</v>
      </c>
      <c r="J15" s="31" t="n">
        <v>3.2</v>
      </c>
      <c r="K15" s="31" t="n">
        <v>3.2</v>
      </c>
      <c r="L15" s="31" t="n">
        <v>3.4</v>
      </c>
      <c r="M15" s="31" t="n">
        <v>3.4</v>
      </c>
      <c r="N15" s="31" t="n">
        <v>3.2</v>
      </c>
      <c r="O15" s="31" t="n">
        <v>3.2</v>
      </c>
      <c r="P15" s="31" t="n">
        <v>3.2</v>
      </c>
      <c r="Q15" s="31" t="n">
        <v>2.8</v>
      </c>
      <c r="R15" s="31" t="n">
        <v>2</v>
      </c>
      <c r="S15" s="32">
        <f>IF($F15="","",IF(IFERROR(VLOOKUP($F15,'维度字典'!$M$2:$N$50,2,0),"求和")="手工录入","",IF(IFERROR(VLOOKUP($F15,'维度字典'!$M$2:$N$50,2,0),"求和")="最新值",IFERROR(LOOKUP(9.99E+307,G15:R15),""),SUM(G15:R15))))</f>
        <v/>
      </c>
      <c r="T15" s="33" t="n"/>
    </row>
    <row r="16">
      <c r="A16" s="26">
        <f>IF($B16="","",ROW()-3)</f>
        <v/>
      </c>
      <c r="B16" s="27" t="inlineStr">
        <is>
          <t>张三</t>
        </is>
      </c>
      <c r="C16" s="27" t="inlineStr">
        <is>
          <t>储能行业</t>
        </is>
      </c>
      <c r="D16" s="28" t="inlineStr">
        <is>
          <t>钎焊</t>
        </is>
      </c>
      <c r="E16" s="29" t="inlineStr">
        <is>
          <t>华东</t>
        </is>
      </c>
      <c r="F16" s="30" t="inlineStr">
        <is>
          <t>实绩销售额</t>
        </is>
      </c>
      <c r="G16" s="31" t="n">
        <v>4</v>
      </c>
      <c r="H16" s="31" t="n">
        <v>4</v>
      </c>
      <c r="I16" s="31" t="n">
        <v>5</v>
      </c>
      <c r="J16" s="31" t="n">
        <v>6</v>
      </c>
      <c r="K16" s="31" t="n">
        <v>6</v>
      </c>
      <c r="L16" s="31" t="n">
        <v>6</v>
      </c>
      <c r="M16" s="31" t="n">
        <v>6</v>
      </c>
      <c r="N16" s="31" t="n">
        <v>6</v>
      </c>
      <c r="O16" s="31" t="n">
        <v>6</v>
      </c>
      <c r="P16" s="31" t="n">
        <v>6</v>
      </c>
      <c r="Q16" s="31" t="n">
        <v>5</v>
      </c>
      <c r="R16" s="31" t="n">
        <v>4</v>
      </c>
      <c r="S16" s="32">
        <f>IF($F16="","",IF(IFERROR(VLOOKUP($F16,'维度字典'!$M$2:$N$50,2,0),"求和")="手工录入","",IF(IFERROR(VLOOKUP($F16,'维度字典'!$M$2:$N$50,2,0),"求和")="最新值",IFERROR(LOOKUP(9.99E+307,G16:R16),""),SUM(G16:R16))))</f>
        <v/>
      </c>
      <c r="T16" s="33" t="n"/>
    </row>
    <row r="17">
      <c r="A17" s="26">
        <f>IF($B17="","",ROW()-3)</f>
        <v/>
      </c>
      <c r="B17" s="27" t="inlineStr">
        <is>
          <t>张三</t>
        </is>
      </c>
      <c r="C17" s="27" t="inlineStr">
        <is>
          <t>储能行业</t>
        </is>
      </c>
      <c r="D17" s="28" t="inlineStr">
        <is>
          <t>钎焊</t>
        </is>
      </c>
      <c r="E17" s="29" t="inlineStr">
        <is>
          <t>华东</t>
        </is>
      </c>
      <c r="F17" s="30" t="inlineStr">
        <is>
          <t>实绩毛利</t>
        </is>
      </c>
      <c r="G17" s="31" t="n">
        <v>0.8</v>
      </c>
      <c r="H17" s="31" t="n">
        <v>0.8</v>
      </c>
      <c r="I17" s="31" t="n">
        <v>1</v>
      </c>
      <c r="J17" s="31" t="n">
        <v>1.2</v>
      </c>
      <c r="K17" s="31" t="n">
        <v>1.2</v>
      </c>
      <c r="L17" s="31" t="n">
        <v>1.2</v>
      </c>
      <c r="M17" s="31" t="n">
        <v>1.2</v>
      </c>
      <c r="N17" s="31" t="n">
        <v>1.2</v>
      </c>
      <c r="O17" s="31" t="n">
        <v>1.2</v>
      </c>
      <c r="P17" s="31" t="n">
        <v>1.2</v>
      </c>
      <c r="Q17" s="31" t="n">
        <v>1</v>
      </c>
      <c r="R17" s="31" t="n">
        <v>0.8</v>
      </c>
      <c r="S17" s="32">
        <f>IF($F17="","",IF(IFERROR(VLOOKUP($F17,'维度字典'!$M$2:$N$50,2,0),"求和")="手工录入","",IF(IFERROR(VLOOKUP($F17,'维度字典'!$M$2:$N$50,2,0),"求和")="最新值",IFERROR(LOOKUP(9.99E+307,G17:R17),""),SUM(G17:R17))))</f>
        <v/>
      </c>
      <c r="T17" s="33" t="n"/>
    </row>
    <row r="18">
      <c r="A18" s="26">
        <f>IF($B18="","",ROW()-3)</f>
        <v/>
      </c>
      <c r="B18" s="27" t="inlineStr">
        <is>
          <t>张三</t>
        </is>
      </c>
      <c r="C18" s="27" t="inlineStr">
        <is>
          <t>储能行业</t>
        </is>
      </c>
      <c r="D18" s="28" t="inlineStr">
        <is>
          <t>可拆</t>
        </is>
      </c>
      <c r="E18" s="29" t="inlineStr">
        <is>
          <t>华东</t>
        </is>
      </c>
      <c r="F18" s="30" t="inlineStr">
        <is>
          <t>实绩销售额</t>
        </is>
      </c>
      <c r="G18" s="31" t="n">
        <v>10</v>
      </c>
      <c r="H18" s="31" t="n">
        <v>8</v>
      </c>
      <c r="I18" s="31" t="n">
        <v>11</v>
      </c>
      <c r="J18" s="31" t="n">
        <v>12</v>
      </c>
      <c r="K18" s="31" t="n">
        <v>12</v>
      </c>
      <c r="L18" s="31" t="n">
        <v>14</v>
      </c>
      <c r="M18" s="31" t="n">
        <v>14</v>
      </c>
      <c r="N18" s="31" t="n">
        <v>12</v>
      </c>
      <c r="O18" s="31" t="n">
        <v>12</v>
      </c>
      <c r="P18" s="31" t="n">
        <v>12</v>
      </c>
      <c r="Q18" s="31" t="n">
        <v>11</v>
      </c>
      <c r="R18" s="31" t="n">
        <v>8</v>
      </c>
      <c r="S18" s="32">
        <f>IF($F18="","",IF(IFERROR(VLOOKUP($F18,'维度字典'!$M$2:$N$50,2,0),"求和")="手工录入","",IF(IFERROR(VLOOKUP($F18,'维度字典'!$M$2:$N$50,2,0),"求和")="最新值",IFERROR(LOOKUP(9.99E+307,G18:R18),""),SUM(G18:R18))))</f>
        <v/>
      </c>
      <c r="T18" s="33" t="n"/>
    </row>
    <row r="19">
      <c r="A19" s="26">
        <f>IF($B19="","",ROW()-3)</f>
        <v/>
      </c>
      <c r="B19" s="27" t="inlineStr">
        <is>
          <t>张三</t>
        </is>
      </c>
      <c r="C19" s="27" t="inlineStr">
        <is>
          <t>储能行业</t>
        </is>
      </c>
      <c r="D19" s="28" t="inlineStr">
        <is>
          <t>可拆</t>
        </is>
      </c>
      <c r="E19" s="29" t="inlineStr">
        <is>
          <t>华东</t>
        </is>
      </c>
      <c r="F19" s="30" t="inlineStr">
        <is>
          <t>实绩毛利</t>
        </is>
      </c>
      <c r="G19" s="31" t="n">
        <v>2</v>
      </c>
      <c r="H19" s="31" t="n">
        <v>1.6</v>
      </c>
      <c r="I19" s="31" t="n">
        <v>2.2</v>
      </c>
      <c r="J19" s="31" t="n">
        <v>2.4</v>
      </c>
      <c r="K19" s="31" t="n">
        <v>2.4</v>
      </c>
      <c r="L19" s="31" t="n">
        <v>2.8</v>
      </c>
      <c r="M19" s="31" t="n">
        <v>2.8</v>
      </c>
      <c r="N19" s="31" t="n">
        <v>2.4</v>
      </c>
      <c r="O19" s="31" t="n">
        <v>2.4</v>
      </c>
      <c r="P19" s="31" t="n">
        <v>2.4</v>
      </c>
      <c r="Q19" s="31" t="n">
        <v>2.2</v>
      </c>
      <c r="R19" s="31" t="n">
        <v>1.6</v>
      </c>
      <c r="S19" s="32">
        <f>IF($F19="","",IF(IFERROR(VLOOKUP($F19,'维度字典'!$M$2:$N$50,2,0),"求和")="手工录入","",IF(IFERROR(VLOOKUP($F19,'维度字典'!$M$2:$N$50,2,0),"求和")="最新值",IFERROR(LOOKUP(9.99E+307,G19:R19),""),SUM(G19:R19))))</f>
        <v/>
      </c>
      <c r="T19" s="33" t="n"/>
    </row>
    <row r="20">
      <c r="A20" s="26">
        <f>IF($B20="","",ROW()-3)</f>
        <v/>
      </c>
      <c r="B20" s="27" t="inlineStr">
        <is>
          <t>张三</t>
        </is>
      </c>
      <c r="C20" s="27" t="inlineStr">
        <is>
          <t>数据中心</t>
        </is>
      </c>
      <c r="D20" s="28" t="inlineStr">
        <is>
          <t>钎焊</t>
        </is>
      </c>
      <c r="E20" s="29" t="inlineStr">
        <is>
          <t>华东</t>
        </is>
      </c>
      <c r="F20" s="30" t="inlineStr">
        <is>
          <t>实绩销售额</t>
        </is>
      </c>
      <c r="G20" s="31" t="n">
        <v>32</v>
      </c>
      <c r="H20" s="31" t="n">
        <v>27</v>
      </c>
      <c r="I20" s="31" t="n">
        <v>36</v>
      </c>
      <c r="J20" s="31" t="n">
        <v>41</v>
      </c>
      <c r="K20" s="31" t="n">
        <v>41</v>
      </c>
      <c r="L20" s="31" t="n">
        <v>45</v>
      </c>
      <c r="M20" s="31" t="n">
        <v>45</v>
      </c>
      <c r="N20" s="31" t="n">
        <v>41</v>
      </c>
      <c r="O20" s="31" t="n">
        <v>41</v>
      </c>
      <c r="P20" s="31" t="n">
        <v>41</v>
      </c>
      <c r="Q20" s="31" t="n">
        <v>36</v>
      </c>
      <c r="R20" s="31" t="n">
        <v>27</v>
      </c>
      <c r="S20" s="32">
        <f>IF($F20="","",IF(IFERROR(VLOOKUP($F20,'维度字典'!$M$2:$N$50,2,0),"求和")="手工录入","",IF(IFERROR(VLOOKUP($F20,'维度字典'!$M$2:$N$50,2,0),"求和")="最新值",IFERROR(LOOKUP(9.99E+307,G20:R20),""),SUM(G20:R20))))</f>
        <v/>
      </c>
      <c r="T20" s="33" t="n"/>
    </row>
    <row r="21">
      <c r="A21" s="26">
        <f>IF($B21="","",ROW()-3)</f>
        <v/>
      </c>
      <c r="B21" s="27" t="inlineStr">
        <is>
          <t>张三</t>
        </is>
      </c>
      <c r="C21" s="27" t="inlineStr">
        <is>
          <t>数据中心</t>
        </is>
      </c>
      <c r="D21" s="28" t="inlineStr">
        <is>
          <t>钎焊</t>
        </is>
      </c>
      <c r="E21" s="29" t="inlineStr">
        <is>
          <t>华东</t>
        </is>
      </c>
      <c r="F21" s="30" t="inlineStr">
        <is>
          <t>实绩毛利</t>
        </is>
      </c>
      <c r="G21" s="31" t="n">
        <v>7</v>
      </c>
      <c r="H21" s="31" t="n">
        <v>5.9</v>
      </c>
      <c r="I21" s="31" t="n">
        <v>7.9</v>
      </c>
      <c r="J21" s="31" t="n">
        <v>9</v>
      </c>
      <c r="K21" s="31" t="n">
        <v>9</v>
      </c>
      <c r="L21" s="31" t="n">
        <v>9.9</v>
      </c>
      <c r="M21" s="31" t="n">
        <v>9.9</v>
      </c>
      <c r="N21" s="31" t="n">
        <v>9</v>
      </c>
      <c r="O21" s="31" t="n">
        <v>9</v>
      </c>
      <c r="P21" s="31" t="n">
        <v>9</v>
      </c>
      <c r="Q21" s="31" t="n">
        <v>7.9</v>
      </c>
      <c r="R21" s="31" t="n">
        <v>5.9</v>
      </c>
      <c r="S21" s="32">
        <f>IF($F21="","",IF(IFERROR(VLOOKUP($F21,'维度字典'!$M$2:$N$50,2,0),"求和")="手工录入","",IF(IFERROR(VLOOKUP($F21,'维度字典'!$M$2:$N$50,2,0),"求和")="最新值",IFERROR(LOOKUP(9.99E+307,G21:R21),""),SUM(G21:R21))))</f>
        <v/>
      </c>
      <c r="T21" s="33" t="n"/>
    </row>
    <row r="22">
      <c r="A22" s="26">
        <f>IF($B22="","",ROW()-3)</f>
        <v/>
      </c>
      <c r="B22" s="27" t="inlineStr">
        <is>
          <t>张三</t>
        </is>
      </c>
      <c r="C22" s="27" t="inlineStr">
        <is>
          <t>数据中心</t>
        </is>
      </c>
      <c r="D22" s="28" t="inlineStr">
        <is>
          <t>可拆</t>
        </is>
      </c>
      <c r="E22" s="29" t="inlineStr">
        <is>
          <t>华东</t>
        </is>
      </c>
      <c r="F22" s="30" t="inlineStr">
        <is>
          <t>实绩销售额</t>
        </is>
      </c>
      <c r="G22" s="31" t="n">
        <v>20</v>
      </c>
      <c r="H22" s="31" t="n">
        <v>17</v>
      </c>
      <c r="I22" s="31" t="n">
        <v>23</v>
      </c>
      <c r="J22" s="31" t="n">
        <v>26</v>
      </c>
      <c r="K22" s="31" t="n">
        <v>26</v>
      </c>
      <c r="L22" s="31" t="n">
        <v>29</v>
      </c>
      <c r="M22" s="31" t="n">
        <v>29</v>
      </c>
      <c r="N22" s="31" t="n">
        <v>26</v>
      </c>
      <c r="O22" s="31" t="n">
        <v>26</v>
      </c>
      <c r="P22" s="31" t="n">
        <v>26</v>
      </c>
      <c r="Q22" s="31" t="n">
        <v>23</v>
      </c>
      <c r="R22" s="31" t="n">
        <v>17</v>
      </c>
      <c r="S22" s="32">
        <f>IF($F22="","",IF(IFERROR(VLOOKUP($F22,'维度字典'!$M$2:$N$50,2,0),"求和")="手工录入","",IF(IFERROR(VLOOKUP($F22,'维度字典'!$M$2:$N$50,2,0),"求和")="最新值",IFERROR(LOOKUP(9.99E+307,G22:R22),""),SUM(G22:R22))))</f>
        <v/>
      </c>
      <c r="T22" s="33" t="n"/>
    </row>
    <row r="23">
      <c r="A23" s="26">
        <f>IF($B23="","",ROW()-3)</f>
        <v/>
      </c>
      <c r="B23" s="27" t="inlineStr">
        <is>
          <t>张三</t>
        </is>
      </c>
      <c r="C23" s="27" t="inlineStr">
        <is>
          <t>数据中心</t>
        </is>
      </c>
      <c r="D23" s="28" t="inlineStr">
        <is>
          <t>可拆</t>
        </is>
      </c>
      <c r="E23" s="29" t="inlineStr">
        <is>
          <t>华东</t>
        </is>
      </c>
      <c r="F23" s="30" t="inlineStr">
        <is>
          <t>实绩毛利</t>
        </is>
      </c>
      <c r="G23" s="31" t="n">
        <v>4.4</v>
      </c>
      <c r="H23" s="31" t="n">
        <v>3.7</v>
      </c>
      <c r="I23" s="31" t="n">
        <v>5.1</v>
      </c>
      <c r="J23" s="31" t="n">
        <v>5.7</v>
      </c>
      <c r="K23" s="31" t="n">
        <v>5.7</v>
      </c>
      <c r="L23" s="31" t="n">
        <v>6.4</v>
      </c>
      <c r="M23" s="31" t="n">
        <v>6.4</v>
      </c>
      <c r="N23" s="31" t="n">
        <v>5.7</v>
      </c>
      <c r="O23" s="31" t="n">
        <v>5.7</v>
      </c>
      <c r="P23" s="31" t="n">
        <v>5.7</v>
      </c>
      <c r="Q23" s="31" t="n">
        <v>5.1</v>
      </c>
      <c r="R23" s="31" t="n">
        <v>3.7</v>
      </c>
      <c r="S23" s="32">
        <f>IF($F23="","",IF(IFERROR(VLOOKUP($F23,'维度字典'!$M$2:$N$50,2,0),"求和")="手工录入","",IF(IFERROR(VLOOKUP($F23,'维度字典'!$M$2:$N$50,2,0),"求和")="最新值",IFERROR(LOOKUP(9.99E+307,G23:R23),""),SUM(G23:R23))))</f>
        <v/>
      </c>
      <c r="T23" s="33" t="n"/>
    </row>
    <row r="24">
      <c r="A24" s="26">
        <f>IF($B24="","",ROW()-3)</f>
        <v/>
      </c>
      <c r="B24" s="27" t="inlineStr">
        <is>
          <t>李四</t>
        </is>
      </c>
      <c r="C24" s="27" t="inlineStr">
        <is>
          <t>空调制冷</t>
        </is>
      </c>
      <c r="D24" s="28" t="inlineStr">
        <is>
          <t>钎焊</t>
        </is>
      </c>
      <c r="E24" s="29" t="inlineStr">
        <is>
          <t>华南</t>
        </is>
      </c>
      <c r="F24" s="30" t="inlineStr">
        <is>
          <t>实绩销售额</t>
        </is>
      </c>
      <c r="G24" s="31" t="n">
        <v>47</v>
      </c>
      <c r="H24" s="31" t="n">
        <v>40</v>
      </c>
      <c r="I24" s="31" t="n">
        <v>53</v>
      </c>
      <c r="J24" s="31" t="n">
        <v>60</v>
      </c>
      <c r="K24" s="31" t="n">
        <v>60</v>
      </c>
      <c r="L24" s="31" t="n">
        <v>67</v>
      </c>
      <c r="M24" s="31" t="n">
        <v>67</v>
      </c>
      <c r="N24" s="31" t="n">
        <v>60</v>
      </c>
      <c r="O24" s="31" t="n">
        <v>60</v>
      </c>
      <c r="P24" s="31" t="n">
        <v>60</v>
      </c>
      <c r="Q24" s="31" t="n">
        <v>53</v>
      </c>
      <c r="R24" s="31" t="n">
        <v>40</v>
      </c>
      <c r="S24" s="32">
        <f>IF($F24="","",IF(IFERROR(VLOOKUP($F24,'维度字典'!$M$2:$N$50,2,0),"求和")="手工录入","",IF(IFERROR(VLOOKUP($F24,'维度字典'!$M$2:$N$50,2,0),"求和")="最新值",IFERROR(LOOKUP(9.99E+307,G24:R24),""),SUM(G24:R24))))</f>
        <v/>
      </c>
      <c r="T24" s="33" t="n"/>
    </row>
    <row r="25">
      <c r="A25" s="26">
        <f>IF($B25="","",ROW()-3)</f>
        <v/>
      </c>
      <c r="B25" s="27" t="inlineStr">
        <is>
          <t>李四</t>
        </is>
      </c>
      <c r="C25" s="27" t="inlineStr">
        <is>
          <t>空调制冷</t>
        </is>
      </c>
      <c r="D25" s="28" t="inlineStr">
        <is>
          <t>钎焊</t>
        </is>
      </c>
      <c r="E25" s="29" t="inlineStr">
        <is>
          <t>华南</t>
        </is>
      </c>
      <c r="F25" s="30" t="inlineStr">
        <is>
          <t>实绩毛利</t>
        </is>
      </c>
      <c r="G25" s="31" t="n">
        <v>7</v>
      </c>
      <c r="H25" s="31" t="n">
        <v>6</v>
      </c>
      <c r="I25" s="31" t="n">
        <v>7.9</v>
      </c>
      <c r="J25" s="31" t="n">
        <v>9</v>
      </c>
      <c r="K25" s="31" t="n">
        <v>9</v>
      </c>
      <c r="L25" s="31" t="n">
        <v>10</v>
      </c>
      <c r="M25" s="31" t="n">
        <v>10</v>
      </c>
      <c r="N25" s="31" t="n">
        <v>9</v>
      </c>
      <c r="O25" s="31" t="n">
        <v>9</v>
      </c>
      <c r="P25" s="31" t="n">
        <v>9</v>
      </c>
      <c r="Q25" s="31" t="n">
        <v>7.9</v>
      </c>
      <c r="R25" s="31" t="n">
        <v>6</v>
      </c>
      <c r="S25" s="32">
        <f>IF($F25="","",IF(IFERROR(VLOOKUP($F25,'维度字典'!$M$2:$N$50,2,0),"求和")="手工录入","",IF(IFERROR(VLOOKUP($F25,'维度字典'!$M$2:$N$50,2,0),"求和")="最新值",IFERROR(LOOKUP(9.99E+307,G25:R25),""),SUM(G25:R25))))</f>
        <v/>
      </c>
      <c r="T25" s="33" t="n"/>
    </row>
    <row r="26">
      <c r="A26" s="26">
        <f>IF($B26="","",ROW()-3)</f>
        <v/>
      </c>
      <c r="B26" s="27" t="inlineStr">
        <is>
          <t>李四</t>
        </is>
      </c>
      <c r="C26" s="27" t="inlineStr">
        <is>
          <t>空调制冷</t>
        </is>
      </c>
      <c r="D26" s="28" t="inlineStr">
        <is>
          <t>可拆</t>
        </is>
      </c>
      <c r="E26" s="29" t="inlineStr">
        <is>
          <t>华南</t>
        </is>
      </c>
      <c r="F26" s="30" t="inlineStr">
        <is>
          <t>实绩销售额</t>
        </is>
      </c>
      <c r="G26" s="31" t="n">
        <v>19</v>
      </c>
      <c r="H26" s="31" t="n">
        <v>16</v>
      </c>
      <c r="I26" s="31" t="n">
        <v>22</v>
      </c>
      <c r="J26" s="31" t="n">
        <v>24</v>
      </c>
      <c r="K26" s="31" t="n">
        <v>24</v>
      </c>
      <c r="L26" s="31" t="n">
        <v>27</v>
      </c>
      <c r="M26" s="31" t="n">
        <v>27</v>
      </c>
      <c r="N26" s="31" t="n">
        <v>24</v>
      </c>
      <c r="O26" s="31" t="n">
        <v>24</v>
      </c>
      <c r="P26" s="31" t="n">
        <v>24</v>
      </c>
      <c r="Q26" s="31" t="n">
        <v>22</v>
      </c>
      <c r="R26" s="31" t="n">
        <v>16</v>
      </c>
      <c r="S26" s="32">
        <f>IF($F26="","",IF(IFERROR(VLOOKUP($F26,'维度字典'!$M$2:$N$50,2,0),"求和")="手工录入","",IF(IFERROR(VLOOKUP($F26,'维度字典'!$M$2:$N$50,2,0),"求和")="最新值",IFERROR(LOOKUP(9.99E+307,G26:R26),""),SUM(G26:R26))))</f>
        <v/>
      </c>
      <c r="T26" s="33" t="n"/>
    </row>
    <row r="27">
      <c r="A27" s="26">
        <f>IF($B27="","",ROW()-3)</f>
        <v/>
      </c>
      <c r="B27" s="27" t="inlineStr">
        <is>
          <t>李四</t>
        </is>
      </c>
      <c r="C27" s="27" t="inlineStr">
        <is>
          <t>空调制冷</t>
        </is>
      </c>
      <c r="D27" s="28" t="inlineStr">
        <is>
          <t>可拆</t>
        </is>
      </c>
      <c r="E27" s="29" t="inlineStr">
        <is>
          <t>华南</t>
        </is>
      </c>
      <c r="F27" s="30" t="inlineStr">
        <is>
          <t>实绩毛利</t>
        </is>
      </c>
      <c r="G27" s="31" t="n">
        <v>2.9</v>
      </c>
      <c r="H27" s="31" t="n">
        <v>2.4</v>
      </c>
      <c r="I27" s="31" t="n">
        <v>3.3</v>
      </c>
      <c r="J27" s="31" t="n">
        <v>3.6</v>
      </c>
      <c r="K27" s="31" t="n">
        <v>3.6</v>
      </c>
      <c r="L27" s="31" t="n">
        <v>4</v>
      </c>
      <c r="M27" s="31" t="n">
        <v>4</v>
      </c>
      <c r="N27" s="31" t="n">
        <v>3.6</v>
      </c>
      <c r="O27" s="31" t="n">
        <v>3.6</v>
      </c>
      <c r="P27" s="31" t="n">
        <v>3.6</v>
      </c>
      <c r="Q27" s="31" t="n">
        <v>3.3</v>
      </c>
      <c r="R27" s="31" t="n">
        <v>2.4</v>
      </c>
      <c r="S27" s="32">
        <f>IF($F27="","",IF(IFERROR(VLOOKUP($F27,'维度字典'!$M$2:$N$50,2,0),"求和")="手工录入","",IF(IFERROR(VLOOKUP($F27,'维度字典'!$M$2:$N$50,2,0),"求和")="最新值",IFERROR(LOOKUP(9.99E+307,G27:R27),""),SUM(G27:R27))))</f>
        <v/>
      </c>
      <c r="T27" s="33" t="n"/>
    </row>
    <row r="28">
      <c r="A28" s="26">
        <f>IF($B28="","",ROW()-3)</f>
        <v/>
      </c>
      <c r="B28" s="27" t="inlineStr">
        <is>
          <t>李四</t>
        </is>
      </c>
      <c r="C28" s="27" t="inlineStr">
        <is>
          <t>工业制冷</t>
        </is>
      </c>
      <c r="D28" s="28" t="inlineStr">
        <is>
          <t>钎焊</t>
        </is>
      </c>
      <c r="E28" s="29" t="inlineStr">
        <is>
          <t>华南</t>
        </is>
      </c>
      <c r="F28" s="30" t="inlineStr">
        <is>
          <t>实绩销售额</t>
        </is>
      </c>
      <c r="G28" s="31" t="n">
        <v>29</v>
      </c>
      <c r="H28" s="31" t="n">
        <v>25</v>
      </c>
      <c r="I28" s="31" t="n">
        <v>34</v>
      </c>
      <c r="J28" s="31" t="n">
        <v>38</v>
      </c>
      <c r="K28" s="31" t="n">
        <v>38</v>
      </c>
      <c r="L28" s="31" t="n">
        <v>42</v>
      </c>
      <c r="M28" s="31" t="n">
        <v>42</v>
      </c>
      <c r="N28" s="31" t="n">
        <v>38</v>
      </c>
      <c r="O28" s="31" t="n">
        <v>38</v>
      </c>
      <c r="P28" s="31" t="n">
        <v>38</v>
      </c>
      <c r="Q28" s="31" t="n">
        <v>34</v>
      </c>
      <c r="R28" s="31" t="n">
        <v>25</v>
      </c>
      <c r="S28" s="32">
        <f>IF($F28="","",IF(IFERROR(VLOOKUP($F28,'维度字典'!$M$2:$N$50,2,0),"求和")="手工录入","",IF(IFERROR(VLOOKUP($F28,'维度字典'!$M$2:$N$50,2,0),"求和")="最新值",IFERROR(LOOKUP(9.99E+307,G28:R28),""),SUM(G28:R28))))</f>
        <v/>
      </c>
      <c r="T28" s="33" t="n"/>
    </row>
    <row r="29">
      <c r="A29" s="26">
        <f>IF($B29="","",ROW()-3)</f>
        <v/>
      </c>
      <c r="B29" s="27" t="inlineStr">
        <is>
          <t>李四</t>
        </is>
      </c>
      <c r="C29" s="27" t="inlineStr">
        <is>
          <t>工业制冷</t>
        </is>
      </c>
      <c r="D29" s="28" t="inlineStr">
        <is>
          <t>钎焊</t>
        </is>
      </c>
      <c r="E29" s="29" t="inlineStr">
        <is>
          <t>华南</t>
        </is>
      </c>
      <c r="F29" s="30" t="inlineStr">
        <is>
          <t>实绩毛利</t>
        </is>
      </c>
      <c r="G29" s="31" t="n">
        <v>4.6</v>
      </c>
      <c r="H29" s="31" t="n">
        <v>4</v>
      </c>
      <c r="I29" s="31" t="n">
        <v>5.4</v>
      </c>
      <c r="J29" s="31" t="n">
        <v>6.1</v>
      </c>
      <c r="K29" s="31" t="n">
        <v>6.1</v>
      </c>
      <c r="L29" s="31" t="n">
        <v>6.7</v>
      </c>
      <c r="M29" s="31" t="n">
        <v>6.7</v>
      </c>
      <c r="N29" s="31" t="n">
        <v>6.1</v>
      </c>
      <c r="O29" s="31" t="n">
        <v>6.1</v>
      </c>
      <c r="P29" s="31" t="n">
        <v>6.1</v>
      </c>
      <c r="Q29" s="31" t="n">
        <v>5.4</v>
      </c>
      <c r="R29" s="31" t="n">
        <v>4</v>
      </c>
      <c r="S29" s="32">
        <f>IF($F29="","",IF(IFERROR(VLOOKUP($F29,'维度字典'!$M$2:$N$50,2,0),"求和")="手工录入","",IF(IFERROR(VLOOKUP($F29,'维度字典'!$M$2:$N$50,2,0),"求和")="最新值",IFERROR(LOOKUP(9.99E+307,G29:R29),""),SUM(G29:R29))))</f>
        <v/>
      </c>
      <c r="T29" s="33" t="n"/>
    </row>
    <row r="30">
      <c r="A30" s="26">
        <f>IF($B30="","",ROW()-3)</f>
        <v/>
      </c>
      <c r="B30" s="27" t="inlineStr">
        <is>
          <t>李四</t>
        </is>
      </c>
      <c r="C30" s="27" t="inlineStr">
        <is>
          <t>工业制冷</t>
        </is>
      </c>
      <c r="D30" s="28" t="inlineStr">
        <is>
          <t>可拆</t>
        </is>
      </c>
      <c r="E30" s="29" t="inlineStr">
        <is>
          <t>华南</t>
        </is>
      </c>
      <c r="F30" s="30" t="inlineStr">
        <is>
          <t>实绩销售额</t>
        </is>
      </c>
      <c r="G30" s="31" t="n">
        <v>28</v>
      </c>
      <c r="H30" s="31" t="n">
        <v>24</v>
      </c>
      <c r="I30" s="31" t="n">
        <v>32</v>
      </c>
      <c r="J30" s="31" t="n">
        <v>36</v>
      </c>
      <c r="K30" s="31" t="n">
        <v>36</v>
      </c>
      <c r="L30" s="31" t="n">
        <v>40</v>
      </c>
      <c r="M30" s="31" t="n">
        <v>40</v>
      </c>
      <c r="N30" s="31" t="n">
        <v>36</v>
      </c>
      <c r="O30" s="31" t="n">
        <v>36</v>
      </c>
      <c r="P30" s="31" t="n">
        <v>36</v>
      </c>
      <c r="Q30" s="31" t="n">
        <v>32</v>
      </c>
      <c r="R30" s="31" t="n">
        <v>24</v>
      </c>
      <c r="S30" s="32">
        <f>IF($F30="","",IF(IFERROR(VLOOKUP($F30,'维度字典'!$M$2:$N$50,2,0),"求和")="手工录入","",IF(IFERROR(VLOOKUP($F30,'维度字典'!$M$2:$N$50,2,0),"求和")="最新值",IFERROR(LOOKUP(9.99E+307,G30:R30),""),SUM(G30:R30))))</f>
        <v/>
      </c>
      <c r="T30" s="33" t="n"/>
    </row>
    <row r="31">
      <c r="A31" s="26">
        <f>IF($B31="","",ROW()-3)</f>
        <v/>
      </c>
      <c r="B31" s="27" t="inlineStr">
        <is>
          <t>李四</t>
        </is>
      </c>
      <c r="C31" s="27" t="inlineStr">
        <is>
          <t>工业制冷</t>
        </is>
      </c>
      <c r="D31" s="28" t="inlineStr">
        <is>
          <t>可拆</t>
        </is>
      </c>
      <c r="E31" s="29" t="inlineStr">
        <is>
          <t>华南</t>
        </is>
      </c>
      <c r="F31" s="30" t="inlineStr">
        <is>
          <t>实绩毛利</t>
        </is>
      </c>
      <c r="G31" s="31" t="n">
        <v>4.5</v>
      </c>
      <c r="H31" s="31" t="n">
        <v>3.8</v>
      </c>
      <c r="I31" s="31" t="n">
        <v>5.1</v>
      </c>
      <c r="J31" s="31" t="n">
        <v>5.8</v>
      </c>
      <c r="K31" s="31" t="n">
        <v>5.8</v>
      </c>
      <c r="L31" s="31" t="n">
        <v>6.4</v>
      </c>
      <c r="M31" s="31" t="n">
        <v>6.4</v>
      </c>
      <c r="N31" s="31" t="n">
        <v>5.8</v>
      </c>
      <c r="O31" s="31" t="n">
        <v>5.8</v>
      </c>
      <c r="P31" s="31" t="n">
        <v>5.8</v>
      </c>
      <c r="Q31" s="31" t="n">
        <v>5.1</v>
      </c>
      <c r="R31" s="31" t="n">
        <v>3.8</v>
      </c>
      <c r="S31" s="32">
        <f>IF($F31="","",IF(IFERROR(VLOOKUP($F31,'维度字典'!$M$2:$N$50,2,0),"求和")="手工录入","",IF(IFERROR(VLOOKUP($F31,'维度字典'!$M$2:$N$50,2,0),"求和")="最新值",IFERROR(LOOKUP(9.99E+307,G31:R31),""),SUM(G31:R31))))</f>
        <v/>
      </c>
      <c r="T31" s="33" t="n"/>
    </row>
    <row r="32">
      <c r="A32" s="26">
        <f>IF($B32="","",ROW()-3)</f>
        <v/>
      </c>
      <c r="B32" s="27" t="inlineStr">
        <is>
          <t>李四</t>
        </is>
      </c>
      <c r="C32" s="27" t="inlineStr">
        <is>
          <t>船舶行业</t>
        </is>
      </c>
      <c r="D32" s="28" t="inlineStr">
        <is>
          <t>钎焊</t>
        </is>
      </c>
      <c r="E32" s="29" t="inlineStr">
        <is>
          <t>华南</t>
        </is>
      </c>
      <c r="F32" s="30" t="inlineStr">
        <is>
          <t>实绩销售额</t>
        </is>
      </c>
      <c r="G32" s="31" t="n">
        <v>6</v>
      </c>
      <c r="H32" s="31" t="n">
        <v>5</v>
      </c>
      <c r="I32" s="31" t="n">
        <v>7</v>
      </c>
      <c r="J32" s="31" t="n">
        <v>8</v>
      </c>
      <c r="K32" s="31" t="n">
        <v>8</v>
      </c>
      <c r="L32" s="31" t="n">
        <v>9</v>
      </c>
      <c r="M32" s="31" t="n">
        <v>9</v>
      </c>
      <c r="N32" s="31" t="n">
        <v>8</v>
      </c>
      <c r="O32" s="31" t="n">
        <v>8</v>
      </c>
      <c r="P32" s="31" t="n">
        <v>8</v>
      </c>
      <c r="Q32" s="31" t="n">
        <v>7</v>
      </c>
      <c r="R32" s="31" t="n">
        <v>5</v>
      </c>
      <c r="S32" s="32">
        <f>IF($F32="","",IF(IFERROR(VLOOKUP($F32,'维度字典'!$M$2:$N$50,2,0),"求和")="手工录入","",IF(IFERROR(VLOOKUP($F32,'维度字典'!$M$2:$N$50,2,0),"求和")="最新值",IFERROR(LOOKUP(9.99E+307,G32:R32),""),SUM(G32:R32))))</f>
        <v/>
      </c>
      <c r="T32" s="33" t="n"/>
    </row>
    <row r="33">
      <c r="A33" s="26">
        <f>IF($B33="","",ROW()-3)</f>
        <v/>
      </c>
      <c r="B33" s="27" t="inlineStr">
        <is>
          <t>李四</t>
        </is>
      </c>
      <c r="C33" s="27" t="inlineStr">
        <is>
          <t>船舶行业</t>
        </is>
      </c>
      <c r="D33" s="28" t="inlineStr">
        <is>
          <t>钎焊</t>
        </is>
      </c>
      <c r="E33" s="29" t="inlineStr">
        <is>
          <t>华南</t>
        </is>
      </c>
      <c r="F33" s="30" t="inlineStr">
        <is>
          <t>实绩毛利</t>
        </is>
      </c>
      <c r="G33" s="31" t="n">
        <v>1.2</v>
      </c>
      <c r="H33" s="31" t="n">
        <v>1</v>
      </c>
      <c r="I33" s="31" t="n">
        <v>1.4</v>
      </c>
      <c r="J33" s="31" t="n">
        <v>1.6</v>
      </c>
      <c r="K33" s="31" t="n">
        <v>1.6</v>
      </c>
      <c r="L33" s="31" t="n">
        <v>1.8</v>
      </c>
      <c r="M33" s="31" t="n">
        <v>1.8</v>
      </c>
      <c r="N33" s="31" t="n">
        <v>1.6</v>
      </c>
      <c r="O33" s="31" t="n">
        <v>1.6</v>
      </c>
      <c r="P33" s="31" t="n">
        <v>1.6</v>
      </c>
      <c r="Q33" s="31" t="n">
        <v>1.4</v>
      </c>
      <c r="R33" s="31" t="n">
        <v>1</v>
      </c>
      <c r="S33" s="32">
        <f>IF($F33="","",IF(IFERROR(VLOOKUP($F33,'维度字典'!$M$2:$N$50,2,0),"求和")="手工录入","",IF(IFERROR(VLOOKUP($F33,'维度字典'!$M$2:$N$50,2,0),"求和")="最新值",IFERROR(LOOKUP(9.99E+307,G33:R33),""),SUM(G33:R33))))</f>
        <v/>
      </c>
      <c r="T33" s="33" t="n"/>
    </row>
    <row r="34">
      <c r="A34" s="26">
        <f>IF($B34="","",ROW()-3)</f>
        <v/>
      </c>
      <c r="B34" s="27" t="inlineStr">
        <is>
          <t>李四</t>
        </is>
      </c>
      <c r="C34" s="27" t="inlineStr">
        <is>
          <t>船舶行业</t>
        </is>
      </c>
      <c r="D34" s="28" t="inlineStr">
        <is>
          <t>可拆</t>
        </is>
      </c>
      <c r="E34" s="29" t="inlineStr">
        <is>
          <t>华南</t>
        </is>
      </c>
      <c r="F34" s="30" t="inlineStr">
        <is>
          <t>实绩销售额</t>
        </is>
      </c>
      <c r="G34" s="31" t="n">
        <v>9</v>
      </c>
      <c r="H34" s="31" t="n">
        <v>8</v>
      </c>
      <c r="I34" s="31" t="n">
        <v>10</v>
      </c>
      <c r="J34" s="31" t="n">
        <v>12</v>
      </c>
      <c r="K34" s="31" t="n">
        <v>12</v>
      </c>
      <c r="L34" s="31" t="n">
        <v>13</v>
      </c>
      <c r="M34" s="31" t="n">
        <v>13</v>
      </c>
      <c r="N34" s="31" t="n">
        <v>12</v>
      </c>
      <c r="O34" s="31" t="n">
        <v>12</v>
      </c>
      <c r="P34" s="31" t="n">
        <v>12</v>
      </c>
      <c r="Q34" s="31" t="n">
        <v>10</v>
      </c>
      <c r="R34" s="31" t="n">
        <v>8</v>
      </c>
      <c r="S34" s="32">
        <f>IF($F34="","",IF(IFERROR(VLOOKUP($F34,'维度字典'!$M$2:$N$50,2,0),"求和")="手工录入","",IF(IFERROR(VLOOKUP($F34,'维度字典'!$M$2:$N$50,2,0),"求和")="最新值",IFERROR(LOOKUP(9.99E+307,G34:R34),""),SUM(G34:R34))))</f>
        <v/>
      </c>
      <c r="T34" s="33" t="n"/>
    </row>
    <row r="35">
      <c r="A35" s="26">
        <f>IF($B35="","",ROW()-3)</f>
        <v/>
      </c>
      <c r="B35" s="27" t="inlineStr">
        <is>
          <t>李四</t>
        </is>
      </c>
      <c r="C35" s="27" t="inlineStr">
        <is>
          <t>船舶行业</t>
        </is>
      </c>
      <c r="D35" s="28" t="inlineStr">
        <is>
          <t>可拆</t>
        </is>
      </c>
      <c r="E35" s="29" t="inlineStr">
        <is>
          <t>华南</t>
        </is>
      </c>
      <c r="F35" s="30" t="inlineStr">
        <is>
          <t>实绩毛利</t>
        </is>
      </c>
      <c r="G35" s="31" t="n">
        <v>1.8</v>
      </c>
      <c r="H35" s="31" t="n">
        <v>1.6</v>
      </c>
      <c r="I35" s="31" t="n">
        <v>2</v>
      </c>
      <c r="J35" s="31" t="n">
        <v>2.4</v>
      </c>
      <c r="K35" s="31" t="n">
        <v>2.4</v>
      </c>
      <c r="L35" s="31" t="n">
        <v>2.6</v>
      </c>
      <c r="M35" s="31" t="n">
        <v>2.6</v>
      </c>
      <c r="N35" s="31" t="n">
        <v>2.4</v>
      </c>
      <c r="O35" s="31" t="n">
        <v>2.4</v>
      </c>
      <c r="P35" s="31" t="n">
        <v>2.4</v>
      </c>
      <c r="Q35" s="31" t="n">
        <v>2</v>
      </c>
      <c r="R35" s="31" t="n">
        <v>1.6</v>
      </c>
      <c r="S35" s="32">
        <f>IF($F35="","",IF(IFERROR(VLOOKUP($F35,'维度字典'!$M$2:$N$50,2,0),"求和")="手工录入","",IF(IFERROR(VLOOKUP($F35,'维度字典'!$M$2:$N$50,2,0),"求和")="最新值",IFERROR(LOOKUP(9.99E+307,G35:R35),""),SUM(G35:R35))))</f>
        <v/>
      </c>
      <c r="T35" s="33" t="n"/>
    </row>
    <row r="36">
      <c r="A36" s="26">
        <f>IF($B36="","",ROW()-3)</f>
        <v/>
      </c>
      <c r="B36" s="27" t="inlineStr">
        <is>
          <t>李四</t>
        </is>
      </c>
      <c r="C36" s="27" t="inlineStr">
        <is>
          <t>储能行业</t>
        </is>
      </c>
      <c r="D36" s="28" t="inlineStr">
        <is>
          <t>钎焊</t>
        </is>
      </c>
      <c r="E36" s="29" t="inlineStr">
        <is>
          <t>华南</t>
        </is>
      </c>
      <c r="F36" s="30" t="inlineStr">
        <is>
          <t>实绩销售额</t>
        </is>
      </c>
      <c r="G36" s="31" t="n">
        <v>3</v>
      </c>
      <c r="H36" s="31" t="n">
        <v>3</v>
      </c>
      <c r="I36" s="31" t="n">
        <v>4</v>
      </c>
      <c r="J36" s="31" t="n">
        <v>4</v>
      </c>
      <c r="K36" s="31" t="n">
        <v>4</v>
      </c>
      <c r="L36" s="31" t="n">
        <v>5</v>
      </c>
      <c r="M36" s="31" t="n">
        <v>5</v>
      </c>
      <c r="N36" s="31" t="n">
        <v>4</v>
      </c>
      <c r="O36" s="31" t="n">
        <v>4</v>
      </c>
      <c r="P36" s="31" t="n">
        <v>4</v>
      </c>
      <c r="Q36" s="31" t="n">
        <v>4</v>
      </c>
      <c r="R36" s="31" t="n">
        <v>3</v>
      </c>
      <c r="S36" s="32">
        <f>IF($F36="","",IF(IFERROR(VLOOKUP($F36,'维度字典'!$M$2:$N$50,2,0),"求和")="手工录入","",IF(IFERROR(VLOOKUP($F36,'维度字典'!$M$2:$N$50,2,0),"求和")="最新值",IFERROR(LOOKUP(9.99E+307,G36:R36),""),SUM(G36:R36))))</f>
        <v/>
      </c>
      <c r="T36" s="33" t="n"/>
    </row>
    <row r="37">
      <c r="A37" s="26">
        <f>IF($B37="","",ROW()-3)</f>
        <v/>
      </c>
      <c r="B37" s="27" t="inlineStr">
        <is>
          <t>李四</t>
        </is>
      </c>
      <c r="C37" s="27" t="inlineStr">
        <is>
          <t>储能行业</t>
        </is>
      </c>
      <c r="D37" s="28" t="inlineStr">
        <is>
          <t>钎焊</t>
        </is>
      </c>
      <c r="E37" s="29" t="inlineStr">
        <is>
          <t>华南</t>
        </is>
      </c>
      <c r="F37" s="30" t="inlineStr">
        <is>
          <t>实绩毛利</t>
        </is>
      </c>
      <c r="G37" s="31" t="n">
        <v>0.6</v>
      </c>
      <c r="H37" s="31" t="n">
        <v>0.6</v>
      </c>
      <c r="I37" s="31" t="n">
        <v>0.8</v>
      </c>
      <c r="J37" s="31" t="n">
        <v>0.8</v>
      </c>
      <c r="K37" s="31" t="n">
        <v>0.8</v>
      </c>
      <c r="L37" s="31" t="n">
        <v>1</v>
      </c>
      <c r="M37" s="31" t="n">
        <v>1</v>
      </c>
      <c r="N37" s="31" t="n">
        <v>0.8</v>
      </c>
      <c r="O37" s="31" t="n">
        <v>0.8</v>
      </c>
      <c r="P37" s="31" t="n">
        <v>0.8</v>
      </c>
      <c r="Q37" s="31" t="n">
        <v>0.8</v>
      </c>
      <c r="R37" s="31" t="n">
        <v>0.6</v>
      </c>
      <c r="S37" s="32">
        <f>IF($F37="","",IF(IFERROR(VLOOKUP($F37,'维度字典'!$M$2:$N$50,2,0),"求和")="手工录入","",IF(IFERROR(VLOOKUP($F37,'维度字典'!$M$2:$N$50,2,0),"求和")="最新值",IFERROR(LOOKUP(9.99E+307,G37:R37),""),SUM(G37:R37))))</f>
        <v/>
      </c>
      <c r="T37" s="33" t="n"/>
    </row>
    <row r="38">
      <c r="A38" s="26">
        <f>IF($B38="","",ROW()-3)</f>
        <v/>
      </c>
      <c r="B38" s="27" t="inlineStr">
        <is>
          <t>李四</t>
        </is>
      </c>
      <c r="C38" s="27" t="inlineStr">
        <is>
          <t>储能行业</t>
        </is>
      </c>
      <c r="D38" s="28" t="inlineStr">
        <is>
          <t>可拆</t>
        </is>
      </c>
      <c r="E38" s="29" t="inlineStr">
        <is>
          <t>华南</t>
        </is>
      </c>
      <c r="F38" s="30" t="inlineStr">
        <is>
          <t>实绩销售额</t>
        </is>
      </c>
      <c r="G38" s="31" t="n">
        <v>7</v>
      </c>
      <c r="H38" s="31" t="n">
        <v>6</v>
      </c>
      <c r="I38" s="31" t="n">
        <v>8</v>
      </c>
      <c r="J38" s="31" t="n">
        <v>9</v>
      </c>
      <c r="K38" s="31" t="n">
        <v>9</v>
      </c>
      <c r="L38" s="31" t="n">
        <v>10</v>
      </c>
      <c r="M38" s="31" t="n">
        <v>10</v>
      </c>
      <c r="N38" s="31" t="n">
        <v>9</v>
      </c>
      <c r="O38" s="31" t="n">
        <v>9</v>
      </c>
      <c r="P38" s="31" t="n">
        <v>9</v>
      </c>
      <c r="Q38" s="31" t="n">
        <v>8</v>
      </c>
      <c r="R38" s="31" t="n">
        <v>6</v>
      </c>
      <c r="S38" s="32">
        <f>IF($F38="","",IF(IFERROR(VLOOKUP($F38,'维度字典'!$M$2:$N$50,2,0),"求和")="手工录入","",IF(IFERROR(VLOOKUP($F38,'维度字典'!$M$2:$N$50,2,0),"求和")="最新值",IFERROR(LOOKUP(9.99E+307,G38:R38),""),SUM(G38:R38))))</f>
        <v/>
      </c>
      <c r="T38" s="33" t="n"/>
    </row>
    <row r="39">
      <c r="A39" s="26">
        <f>IF($B39="","",ROW()-3)</f>
        <v/>
      </c>
      <c r="B39" s="27" t="inlineStr">
        <is>
          <t>李四</t>
        </is>
      </c>
      <c r="C39" s="27" t="inlineStr">
        <is>
          <t>储能行业</t>
        </is>
      </c>
      <c r="D39" s="28" t="inlineStr">
        <is>
          <t>可拆</t>
        </is>
      </c>
      <c r="E39" s="29" t="inlineStr">
        <is>
          <t>华南</t>
        </is>
      </c>
      <c r="F39" s="30" t="inlineStr">
        <is>
          <t>实绩毛利</t>
        </is>
      </c>
      <c r="G39" s="31" t="n">
        <v>1.4</v>
      </c>
      <c r="H39" s="31" t="n">
        <v>1.2</v>
      </c>
      <c r="I39" s="31" t="n">
        <v>1.6</v>
      </c>
      <c r="J39" s="31" t="n">
        <v>1.8</v>
      </c>
      <c r="K39" s="31" t="n">
        <v>1.8</v>
      </c>
      <c r="L39" s="31" t="n">
        <v>2</v>
      </c>
      <c r="M39" s="31" t="n">
        <v>2</v>
      </c>
      <c r="N39" s="31" t="n">
        <v>1.8</v>
      </c>
      <c r="O39" s="31" t="n">
        <v>1.8</v>
      </c>
      <c r="P39" s="31" t="n">
        <v>1.8</v>
      </c>
      <c r="Q39" s="31" t="n">
        <v>1.6</v>
      </c>
      <c r="R39" s="31" t="n">
        <v>1.2</v>
      </c>
      <c r="S39" s="32">
        <f>IF($F39="","",IF(IFERROR(VLOOKUP($F39,'维度字典'!$M$2:$N$50,2,0),"求和")="手工录入","",IF(IFERROR(VLOOKUP($F39,'维度字典'!$M$2:$N$50,2,0),"求和")="最新值",IFERROR(LOOKUP(9.99E+307,G39:R39),""),SUM(G39:R39))))</f>
        <v/>
      </c>
      <c r="T39" s="33" t="n"/>
    </row>
    <row r="40">
      <c r="A40" s="26">
        <f>IF($B40="","",ROW()-3)</f>
        <v/>
      </c>
      <c r="B40" s="27" t="inlineStr">
        <is>
          <t>李四</t>
        </is>
      </c>
      <c r="C40" s="27" t="inlineStr">
        <is>
          <t>数据中心</t>
        </is>
      </c>
      <c r="D40" s="28" t="inlineStr">
        <is>
          <t>钎焊</t>
        </is>
      </c>
      <c r="E40" s="29" t="inlineStr">
        <is>
          <t>华南</t>
        </is>
      </c>
      <c r="F40" s="30" t="inlineStr">
        <is>
          <t>实绩销售额</t>
        </is>
      </c>
      <c r="G40" s="31" t="n">
        <v>24</v>
      </c>
      <c r="H40" s="31" t="n">
        <v>21</v>
      </c>
      <c r="I40" s="31" t="n">
        <v>27</v>
      </c>
      <c r="J40" s="31" t="n">
        <v>31</v>
      </c>
      <c r="K40" s="31" t="n">
        <v>31</v>
      </c>
      <c r="L40" s="31" t="n">
        <v>34</v>
      </c>
      <c r="M40" s="31" t="n">
        <v>34</v>
      </c>
      <c r="N40" s="31" t="n">
        <v>31</v>
      </c>
      <c r="O40" s="31" t="n">
        <v>31</v>
      </c>
      <c r="P40" s="31" t="n">
        <v>31</v>
      </c>
      <c r="Q40" s="31" t="n">
        <v>27</v>
      </c>
      <c r="R40" s="31" t="n">
        <v>21</v>
      </c>
      <c r="S40" s="32">
        <f>IF($F40="","",IF(IFERROR(VLOOKUP($F40,'维度字典'!$M$2:$N$50,2,0),"求和")="手工录入","",IF(IFERROR(VLOOKUP($F40,'维度字典'!$M$2:$N$50,2,0),"求和")="最新值",IFERROR(LOOKUP(9.99E+307,G40:R40),""),SUM(G40:R40))))</f>
        <v/>
      </c>
      <c r="T40" s="33" t="n"/>
    </row>
    <row r="41">
      <c r="A41" s="26">
        <f>IF($B41="","",ROW()-3)</f>
        <v/>
      </c>
      <c r="B41" s="27" t="inlineStr">
        <is>
          <t>李四</t>
        </is>
      </c>
      <c r="C41" s="27" t="inlineStr">
        <is>
          <t>数据中心</t>
        </is>
      </c>
      <c r="D41" s="28" t="inlineStr">
        <is>
          <t>钎焊</t>
        </is>
      </c>
      <c r="E41" s="29" t="inlineStr">
        <is>
          <t>华南</t>
        </is>
      </c>
      <c r="F41" s="30" t="inlineStr">
        <is>
          <t>实绩毛利</t>
        </is>
      </c>
      <c r="G41" s="31" t="n">
        <v>5.3</v>
      </c>
      <c r="H41" s="31" t="n">
        <v>4.6</v>
      </c>
      <c r="I41" s="31" t="n">
        <v>5.9</v>
      </c>
      <c r="J41" s="31" t="n">
        <v>6.8</v>
      </c>
      <c r="K41" s="31" t="n">
        <v>6.8</v>
      </c>
      <c r="L41" s="31" t="n">
        <v>7.5</v>
      </c>
      <c r="M41" s="31" t="n">
        <v>7.5</v>
      </c>
      <c r="N41" s="31" t="n">
        <v>6.8</v>
      </c>
      <c r="O41" s="31" t="n">
        <v>6.8</v>
      </c>
      <c r="P41" s="31" t="n">
        <v>6.8</v>
      </c>
      <c r="Q41" s="31" t="n">
        <v>5.9</v>
      </c>
      <c r="R41" s="31" t="n">
        <v>4.6</v>
      </c>
      <c r="S41" s="32">
        <f>IF($F41="","",IF(IFERROR(VLOOKUP($F41,'维度字典'!$M$2:$N$50,2,0),"求和")="手工录入","",IF(IFERROR(VLOOKUP($F41,'维度字典'!$M$2:$N$50,2,0),"求和")="最新值",IFERROR(LOOKUP(9.99E+307,G41:R41),""),SUM(G41:R41))))</f>
        <v/>
      </c>
      <c r="T41" s="33" t="n"/>
    </row>
    <row r="42">
      <c r="A42" s="26">
        <f>IF($B42="","",ROW()-3)</f>
        <v/>
      </c>
      <c r="B42" s="27" t="inlineStr">
        <is>
          <t>李四</t>
        </is>
      </c>
      <c r="C42" s="27" t="inlineStr">
        <is>
          <t>数据中心</t>
        </is>
      </c>
      <c r="D42" s="28" t="inlineStr">
        <is>
          <t>可拆</t>
        </is>
      </c>
      <c r="E42" s="29" t="inlineStr">
        <is>
          <t>华南</t>
        </is>
      </c>
      <c r="F42" s="30" t="inlineStr">
        <is>
          <t>实绩销售额</t>
        </is>
      </c>
      <c r="G42" s="31" t="n">
        <v>15</v>
      </c>
      <c r="H42" s="31" t="n">
        <v>13</v>
      </c>
      <c r="I42" s="31" t="n">
        <v>17</v>
      </c>
      <c r="J42" s="31" t="n">
        <v>20</v>
      </c>
      <c r="K42" s="31" t="n">
        <v>20</v>
      </c>
      <c r="L42" s="31" t="n">
        <v>22</v>
      </c>
      <c r="M42" s="31" t="n">
        <v>22</v>
      </c>
      <c r="N42" s="31" t="n">
        <v>20</v>
      </c>
      <c r="O42" s="31" t="n">
        <v>20</v>
      </c>
      <c r="P42" s="31" t="n">
        <v>20</v>
      </c>
      <c r="Q42" s="31" t="n">
        <v>17</v>
      </c>
      <c r="R42" s="31" t="n">
        <v>13</v>
      </c>
      <c r="S42" s="32">
        <f>IF($F42="","",IF(IFERROR(VLOOKUP($F42,'维度字典'!$M$2:$N$50,2,0),"求和")="手工录入","",IF(IFERROR(VLOOKUP($F42,'维度字典'!$M$2:$N$50,2,0),"求和")="最新值",IFERROR(LOOKUP(9.99E+307,G42:R42),""),SUM(G42:R42))))</f>
        <v/>
      </c>
      <c r="T42" s="33" t="n"/>
    </row>
    <row r="43">
      <c r="A43" s="26">
        <f>IF($B43="","",ROW()-3)</f>
        <v/>
      </c>
      <c r="B43" s="27" t="inlineStr">
        <is>
          <t>李四</t>
        </is>
      </c>
      <c r="C43" s="27" t="inlineStr">
        <is>
          <t>数据中心</t>
        </is>
      </c>
      <c r="D43" s="28" t="inlineStr">
        <is>
          <t>可拆</t>
        </is>
      </c>
      <c r="E43" s="29" t="inlineStr">
        <is>
          <t>华南</t>
        </is>
      </c>
      <c r="F43" s="30" t="inlineStr">
        <is>
          <t>实绩毛利</t>
        </is>
      </c>
      <c r="G43" s="31" t="n">
        <v>3.3</v>
      </c>
      <c r="H43" s="31" t="n">
        <v>2.9</v>
      </c>
      <c r="I43" s="31" t="n">
        <v>3.7</v>
      </c>
      <c r="J43" s="31" t="n">
        <v>4.4</v>
      </c>
      <c r="K43" s="31" t="n">
        <v>4.4</v>
      </c>
      <c r="L43" s="31" t="n">
        <v>4.8</v>
      </c>
      <c r="M43" s="31" t="n">
        <v>4.8</v>
      </c>
      <c r="N43" s="31" t="n">
        <v>4.4</v>
      </c>
      <c r="O43" s="31" t="n">
        <v>4.4</v>
      </c>
      <c r="P43" s="31" t="n">
        <v>4.4</v>
      </c>
      <c r="Q43" s="31" t="n">
        <v>3.7</v>
      </c>
      <c r="R43" s="31" t="n">
        <v>2.9</v>
      </c>
      <c r="S43" s="32">
        <f>IF($F43="","",IF(IFERROR(VLOOKUP($F43,'维度字典'!$M$2:$N$50,2,0),"求和")="手工录入","",IF(IFERROR(VLOOKUP($F43,'维度字典'!$M$2:$N$50,2,0),"求和")="最新值",IFERROR(LOOKUP(9.99E+307,G43:R43),""),SUM(G43:R43))))</f>
        <v/>
      </c>
      <c r="T43" s="33" t="n"/>
    </row>
    <row r="44">
      <c r="A44" s="26">
        <f>IF($B44="","",ROW()-3)</f>
        <v/>
      </c>
      <c r="B44" s="27" t="inlineStr">
        <is>
          <t>王五</t>
        </is>
      </c>
      <c r="C44" s="27" t="inlineStr">
        <is>
          <t>空调制冷</t>
        </is>
      </c>
      <c r="D44" s="28" t="inlineStr">
        <is>
          <t>钎焊</t>
        </is>
      </c>
      <c r="E44" s="29" t="inlineStr">
        <is>
          <t>华北</t>
        </is>
      </c>
      <c r="F44" s="30" t="inlineStr">
        <is>
          <t>实绩销售额</t>
        </is>
      </c>
      <c r="G44" s="31" t="n">
        <v>23</v>
      </c>
      <c r="H44" s="31" t="n">
        <v>20</v>
      </c>
      <c r="I44" s="31" t="n">
        <v>27</v>
      </c>
      <c r="J44" s="31" t="n">
        <v>30</v>
      </c>
      <c r="K44" s="31" t="n">
        <v>30</v>
      </c>
      <c r="L44" s="31" t="n">
        <v>33</v>
      </c>
      <c r="M44" s="31" t="n">
        <v>33</v>
      </c>
      <c r="N44" s="31" t="n">
        <v>30</v>
      </c>
      <c r="O44" s="31" t="n">
        <v>30</v>
      </c>
      <c r="P44" s="31" t="n">
        <v>30</v>
      </c>
      <c r="Q44" s="31" t="n">
        <v>27</v>
      </c>
      <c r="R44" s="31" t="n">
        <v>20</v>
      </c>
      <c r="S44" s="32">
        <f>IF($F44="","",IF(IFERROR(VLOOKUP($F44,'维度字典'!$M$2:$N$50,2,0),"求和")="手工录入","",IF(IFERROR(VLOOKUP($F44,'维度字典'!$M$2:$N$50,2,0),"求和")="最新值",IFERROR(LOOKUP(9.99E+307,G44:R44),""),SUM(G44:R44))))</f>
        <v/>
      </c>
      <c r="T44" s="33" t="n"/>
    </row>
    <row r="45">
      <c r="A45" s="26">
        <f>IF($B45="","",ROW()-3)</f>
        <v/>
      </c>
      <c r="B45" s="27" t="inlineStr">
        <is>
          <t>王五</t>
        </is>
      </c>
      <c r="C45" s="27" t="inlineStr">
        <is>
          <t>空调制冷</t>
        </is>
      </c>
      <c r="D45" s="28" t="inlineStr">
        <is>
          <t>钎焊</t>
        </is>
      </c>
      <c r="E45" s="29" t="inlineStr">
        <is>
          <t>华北</t>
        </is>
      </c>
      <c r="F45" s="30" t="inlineStr">
        <is>
          <t>实绩毛利</t>
        </is>
      </c>
      <c r="G45" s="31" t="n">
        <v>3.4</v>
      </c>
      <c r="H45" s="31" t="n">
        <v>3</v>
      </c>
      <c r="I45" s="31" t="n">
        <v>4</v>
      </c>
      <c r="J45" s="31" t="n">
        <v>4.5</v>
      </c>
      <c r="K45" s="31" t="n">
        <v>4.5</v>
      </c>
      <c r="L45" s="31" t="n">
        <v>5</v>
      </c>
      <c r="M45" s="31" t="n">
        <v>5</v>
      </c>
      <c r="N45" s="31" t="n">
        <v>4.5</v>
      </c>
      <c r="O45" s="31" t="n">
        <v>4.5</v>
      </c>
      <c r="P45" s="31" t="n">
        <v>4.5</v>
      </c>
      <c r="Q45" s="31" t="n">
        <v>4</v>
      </c>
      <c r="R45" s="31" t="n">
        <v>3</v>
      </c>
      <c r="S45" s="32">
        <f>IF($F45="","",IF(IFERROR(VLOOKUP($F45,'维度字典'!$M$2:$N$50,2,0),"求和")="手工录入","",IF(IFERROR(VLOOKUP($F45,'维度字典'!$M$2:$N$50,2,0),"求和")="最新值",IFERROR(LOOKUP(9.99E+307,G45:R45),""),SUM(G45:R45))))</f>
        <v/>
      </c>
      <c r="T45" s="33" t="n"/>
    </row>
    <row r="46">
      <c r="A46" s="26">
        <f>IF($B46="","",ROW()-3)</f>
        <v/>
      </c>
      <c r="B46" s="27" t="inlineStr">
        <is>
          <t>王五</t>
        </is>
      </c>
      <c r="C46" s="27" t="inlineStr">
        <is>
          <t>空调制冷</t>
        </is>
      </c>
      <c r="D46" s="28" t="inlineStr">
        <is>
          <t>可拆</t>
        </is>
      </c>
      <c r="E46" s="29" t="inlineStr">
        <is>
          <t>华北</t>
        </is>
      </c>
      <c r="F46" s="30" t="inlineStr">
        <is>
          <t>实绩销售额</t>
        </is>
      </c>
      <c r="G46" s="31" t="n">
        <v>9</v>
      </c>
      <c r="H46" s="31" t="n">
        <v>8</v>
      </c>
      <c r="I46" s="31" t="n">
        <v>11</v>
      </c>
      <c r="J46" s="31" t="n">
        <v>12</v>
      </c>
      <c r="K46" s="31" t="n">
        <v>12</v>
      </c>
      <c r="L46" s="31" t="n">
        <v>13</v>
      </c>
      <c r="M46" s="31" t="n">
        <v>13</v>
      </c>
      <c r="N46" s="31" t="n">
        <v>12</v>
      </c>
      <c r="O46" s="31" t="n">
        <v>12</v>
      </c>
      <c r="P46" s="31" t="n">
        <v>12</v>
      </c>
      <c r="Q46" s="31" t="n">
        <v>11</v>
      </c>
      <c r="R46" s="31" t="n">
        <v>8</v>
      </c>
      <c r="S46" s="32">
        <f>IF($F46="","",IF(IFERROR(VLOOKUP($F46,'维度字典'!$M$2:$N$50,2,0),"求和")="手工录入","",IF(IFERROR(VLOOKUP($F46,'维度字典'!$M$2:$N$50,2,0),"求和")="最新值",IFERROR(LOOKUP(9.99E+307,G46:R46),""),SUM(G46:R46))))</f>
        <v/>
      </c>
      <c r="T46" s="33" t="n"/>
    </row>
    <row r="47">
      <c r="A47" s="26">
        <f>IF($B47="","",ROW()-3)</f>
        <v/>
      </c>
      <c r="B47" s="27" t="inlineStr">
        <is>
          <t>王五</t>
        </is>
      </c>
      <c r="C47" s="27" t="inlineStr">
        <is>
          <t>空调制冷</t>
        </is>
      </c>
      <c r="D47" s="28" t="inlineStr">
        <is>
          <t>可拆</t>
        </is>
      </c>
      <c r="E47" s="29" t="inlineStr">
        <is>
          <t>华北</t>
        </is>
      </c>
      <c r="F47" s="30" t="inlineStr">
        <is>
          <t>实绩毛利</t>
        </is>
      </c>
      <c r="G47" s="31" t="n">
        <v>1.3</v>
      </c>
      <c r="H47" s="31" t="n">
        <v>1.2</v>
      </c>
      <c r="I47" s="31" t="n">
        <v>1.6</v>
      </c>
      <c r="J47" s="31" t="n">
        <v>1.8</v>
      </c>
      <c r="K47" s="31" t="n">
        <v>1.8</v>
      </c>
      <c r="L47" s="31" t="n">
        <v>1.9</v>
      </c>
      <c r="M47" s="31" t="n">
        <v>1.9</v>
      </c>
      <c r="N47" s="31" t="n">
        <v>1.8</v>
      </c>
      <c r="O47" s="31" t="n">
        <v>1.8</v>
      </c>
      <c r="P47" s="31" t="n">
        <v>1.8</v>
      </c>
      <c r="Q47" s="31" t="n">
        <v>1.6</v>
      </c>
      <c r="R47" s="31" t="n">
        <v>1.2</v>
      </c>
      <c r="S47" s="32">
        <f>IF($F47="","",IF(IFERROR(VLOOKUP($F47,'维度字典'!$M$2:$N$50,2,0),"求和")="手工录入","",IF(IFERROR(VLOOKUP($F47,'维度字典'!$M$2:$N$50,2,0),"求和")="最新值",IFERROR(LOOKUP(9.99E+307,G47:R47),""),SUM(G47:R47))))</f>
        <v/>
      </c>
      <c r="T47" s="33" t="n"/>
    </row>
    <row r="48">
      <c r="A48" s="26">
        <f>IF($B48="","",ROW()-3)</f>
        <v/>
      </c>
      <c r="B48" s="27" t="inlineStr">
        <is>
          <t>王五</t>
        </is>
      </c>
      <c r="C48" s="27" t="inlineStr">
        <is>
          <t>工业制冷</t>
        </is>
      </c>
      <c r="D48" s="28" t="inlineStr">
        <is>
          <t>钎焊</t>
        </is>
      </c>
      <c r="E48" s="29" t="inlineStr">
        <is>
          <t>华北</t>
        </is>
      </c>
      <c r="F48" s="30" t="inlineStr">
        <is>
          <t>实绩销售额</t>
        </is>
      </c>
      <c r="G48" s="31" t="n">
        <v>15</v>
      </c>
      <c r="H48" s="31" t="n">
        <v>13</v>
      </c>
      <c r="I48" s="31" t="n">
        <v>17</v>
      </c>
      <c r="J48" s="31" t="n">
        <v>19</v>
      </c>
      <c r="K48" s="31" t="n">
        <v>19</v>
      </c>
      <c r="L48" s="31" t="n">
        <v>21</v>
      </c>
      <c r="M48" s="31" t="n">
        <v>21</v>
      </c>
      <c r="N48" s="31" t="n">
        <v>19</v>
      </c>
      <c r="O48" s="31" t="n">
        <v>19</v>
      </c>
      <c r="P48" s="31" t="n">
        <v>19</v>
      </c>
      <c r="Q48" s="31" t="n">
        <v>17</v>
      </c>
      <c r="R48" s="31" t="n">
        <v>13</v>
      </c>
      <c r="S48" s="32">
        <f>IF($F48="","",IF(IFERROR(VLOOKUP($F48,'维度字典'!$M$2:$N$50,2,0),"求和")="手工录入","",IF(IFERROR(VLOOKUP($F48,'维度字典'!$M$2:$N$50,2,0),"求和")="最新值",IFERROR(LOOKUP(9.99E+307,G48:R48),""),SUM(G48:R48))))</f>
        <v/>
      </c>
      <c r="T48" s="33" t="n"/>
    </row>
    <row r="49">
      <c r="A49" s="26">
        <f>IF($B49="","",ROW()-3)</f>
        <v/>
      </c>
      <c r="B49" s="27" t="inlineStr">
        <is>
          <t>王五</t>
        </is>
      </c>
      <c r="C49" s="27" t="inlineStr">
        <is>
          <t>工业制冷</t>
        </is>
      </c>
      <c r="D49" s="28" t="inlineStr">
        <is>
          <t>钎焊</t>
        </is>
      </c>
      <c r="E49" s="29" t="inlineStr">
        <is>
          <t>华北</t>
        </is>
      </c>
      <c r="F49" s="30" t="inlineStr">
        <is>
          <t>实绩毛利</t>
        </is>
      </c>
      <c r="G49" s="31" t="n">
        <v>2.4</v>
      </c>
      <c r="H49" s="31" t="n">
        <v>2.1</v>
      </c>
      <c r="I49" s="31" t="n">
        <v>2.7</v>
      </c>
      <c r="J49" s="31" t="n">
        <v>3</v>
      </c>
      <c r="K49" s="31" t="n">
        <v>3</v>
      </c>
      <c r="L49" s="31" t="n">
        <v>3.4</v>
      </c>
      <c r="M49" s="31" t="n">
        <v>3.4</v>
      </c>
      <c r="N49" s="31" t="n">
        <v>3</v>
      </c>
      <c r="O49" s="31" t="n">
        <v>3</v>
      </c>
      <c r="P49" s="31" t="n">
        <v>3</v>
      </c>
      <c r="Q49" s="31" t="n">
        <v>2.7</v>
      </c>
      <c r="R49" s="31" t="n">
        <v>2.1</v>
      </c>
      <c r="S49" s="32">
        <f>IF($F49="","",IF(IFERROR(VLOOKUP($F49,'维度字典'!$M$2:$N$50,2,0),"求和")="手工录入","",IF(IFERROR(VLOOKUP($F49,'维度字典'!$M$2:$N$50,2,0),"求和")="最新值",IFERROR(LOOKUP(9.99E+307,G49:R49),""),SUM(G49:R49))))</f>
        <v/>
      </c>
      <c r="T49" s="33" t="n"/>
    </row>
    <row r="50">
      <c r="A50" s="26">
        <f>IF($B50="","",ROW()-3)</f>
        <v/>
      </c>
      <c r="B50" s="27" t="inlineStr">
        <is>
          <t>王五</t>
        </is>
      </c>
      <c r="C50" s="27" t="inlineStr">
        <is>
          <t>工业制冷</t>
        </is>
      </c>
      <c r="D50" s="28" t="inlineStr">
        <is>
          <t>可拆</t>
        </is>
      </c>
      <c r="E50" s="29" t="inlineStr">
        <is>
          <t>华北</t>
        </is>
      </c>
      <c r="F50" s="30" t="inlineStr">
        <is>
          <t>实绩销售额</t>
        </is>
      </c>
      <c r="G50" s="31" t="n">
        <v>14</v>
      </c>
      <c r="H50" s="31" t="n">
        <v>12</v>
      </c>
      <c r="I50" s="31" t="n">
        <v>16</v>
      </c>
      <c r="J50" s="31" t="n">
        <v>18</v>
      </c>
      <c r="K50" s="31" t="n">
        <v>18</v>
      </c>
      <c r="L50" s="31" t="n">
        <v>20</v>
      </c>
      <c r="M50" s="31" t="n">
        <v>20</v>
      </c>
      <c r="N50" s="31" t="n">
        <v>18</v>
      </c>
      <c r="O50" s="31" t="n">
        <v>18</v>
      </c>
      <c r="P50" s="31" t="n">
        <v>18</v>
      </c>
      <c r="Q50" s="31" t="n">
        <v>16</v>
      </c>
      <c r="R50" s="31" t="n">
        <v>12</v>
      </c>
      <c r="S50" s="32">
        <f>IF($F50="","",IF(IFERROR(VLOOKUP($F50,'维度字典'!$M$2:$N$50,2,0),"求和")="手工录入","",IF(IFERROR(VLOOKUP($F50,'维度字典'!$M$2:$N$50,2,0),"求和")="最新值",IFERROR(LOOKUP(9.99E+307,G50:R50),""),SUM(G50:R50))))</f>
        <v/>
      </c>
      <c r="T50" s="33" t="n"/>
    </row>
    <row r="51">
      <c r="A51" s="26">
        <f>IF($B51="","",ROW()-3)</f>
        <v/>
      </c>
      <c r="B51" s="27" t="inlineStr">
        <is>
          <t>王五</t>
        </is>
      </c>
      <c r="C51" s="27" t="inlineStr">
        <is>
          <t>工业制冷</t>
        </is>
      </c>
      <c r="D51" s="28" t="inlineStr">
        <is>
          <t>可拆</t>
        </is>
      </c>
      <c r="E51" s="29" t="inlineStr">
        <is>
          <t>华北</t>
        </is>
      </c>
      <c r="F51" s="30" t="inlineStr">
        <is>
          <t>实绩毛利</t>
        </is>
      </c>
      <c r="G51" s="31" t="n">
        <v>2.2</v>
      </c>
      <c r="H51" s="31" t="n">
        <v>1.9</v>
      </c>
      <c r="I51" s="31" t="n">
        <v>2.6</v>
      </c>
      <c r="J51" s="31" t="n">
        <v>2.9</v>
      </c>
      <c r="K51" s="31" t="n">
        <v>2.9</v>
      </c>
      <c r="L51" s="31" t="n">
        <v>3.2</v>
      </c>
      <c r="M51" s="31" t="n">
        <v>3.2</v>
      </c>
      <c r="N51" s="31" t="n">
        <v>2.9</v>
      </c>
      <c r="O51" s="31" t="n">
        <v>2.9</v>
      </c>
      <c r="P51" s="31" t="n">
        <v>2.9</v>
      </c>
      <c r="Q51" s="31" t="n">
        <v>2.6</v>
      </c>
      <c r="R51" s="31" t="n">
        <v>1.9</v>
      </c>
      <c r="S51" s="32">
        <f>IF($F51="","",IF(IFERROR(VLOOKUP($F51,'维度字典'!$M$2:$N$50,2,0),"求和")="手工录入","",IF(IFERROR(VLOOKUP($F51,'维度字典'!$M$2:$N$50,2,0),"求和")="最新值",IFERROR(LOOKUP(9.99E+307,G51:R51),""),SUM(G51:R51))))</f>
        <v/>
      </c>
      <c r="T51" s="33" t="n"/>
    </row>
    <row r="52">
      <c r="A52" s="26">
        <f>IF($B52="","",ROW()-3)</f>
        <v/>
      </c>
      <c r="B52" s="27" t="inlineStr">
        <is>
          <t>王五</t>
        </is>
      </c>
      <c r="C52" s="27" t="inlineStr">
        <is>
          <t>船舶行业</t>
        </is>
      </c>
      <c r="D52" s="28" t="inlineStr">
        <is>
          <t>钎焊</t>
        </is>
      </c>
      <c r="E52" s="29" t="inlineStr">
        <is>
          <t>华北</t>
        </is>
      </c>
      <c r="F52" s="30" t="inlineStr">
        <is>
          <t>实绩销售额</t>
        </is>
      </c>
      <c r="G52" s="31" t="n">
        <v>3</v>
      </c>
      <c r="H52" s="31" t="n">
        <v>3</v>
      </c>
      <c r="I52" s="31" t="n">
        <v>4</v>
      </c>
      <c r="J52" s="31" t="n">
        <v>4</v>
      </c>
      <c r="K52" s="31" t="n">
        <v>4</v>
      </c>
      <c r="L52" s="31" t="n">
        <v>5</v>
      </c>
      <c r="M52" s="31" t="n">
        <v>5</v>
      </c>
      <c r="N52" s="31" t="n">
        <v>4</v>
      </c>
      <c r="O52" s="31" t="n">
        <v>4</v>
      </c>
      <c r="P52" s="31" t="n">
        <v>4</v>
      </c>
      <c r="Q52" s="31" t="n">
        <v>4</v>
      </c>
      <c r="R52" s="31" t="n">
        <v>3</v>
      </c>
      <c r="S52" s="32">
        <f>IF($F52="","",IF(IFERROR(VLOOKUP($F52,'维度字典'!$M$2:$N$50,2,0),"求和")="手工录入","",IF(IFERROR(VLOOKUP($F52,'维度字典'!$M$2:$N$50,2,0),"求和")="最新值",IFERROR(LOOKUP(9.99E+307,G52:R52),""),SUM(G52:R52))))</f>
        <v/>
      </c>
      <c r="T52" s="33" t="n"/>
    </row>
    <row r="53">
      <c r="A53" s="26">
        <f>IF($B53="","",ROW()-3)</f>
        <v/>
      </c>
      <c r="B53" s="27" t="inlineStr">
        <is>
          <t>王五</t>
        </is>
      </c>
      <c r="C53" s="27" t="inlineStr">
        <is>
          <t>船舶行业</t>
        </is>
      </c>
      <c r="D53" s="28" t="inlineStr">
        <is>
          <t>钎焊</t>
        </is>
      </c>
      <c r="E53" s="29" t="inlineStr">
        <is>
          <t>华北</t>
        </is>
      </c>
      <c r="F53" s="30" t="inlineStr">
        <is>
          <t>实绩毛利</t>
        </is>
      </c>
      <c r="G53" s="31" t="n">
        <v>0.6</v>
      </c>
      <c r="H53" s="31" t="n">
        <v>0.6</v>
      </c>
      <c r="I53" s="31" t="n">
        <v>0.8</v>
      </c>
      <c r="J53" s="31" t="n">
        <v>0.8</v>
      </c>
      <c r="K53" s="31" t="n">
        <v>0.8</v>
      </c>
      <c r="L53" s="31" t="n">
        <v>1</v>
      </c>
      <c r="M53" s="31" t="n">
        <v>1</v>
      </c>
      <c r="N53" s="31" t="n">
        <v>0.8</v>
      </c>
      <c r="O53" s="31" t="n">
        <v>0.8</v>
      </c>
      <c r="P53" s="31" t="n">
        <v>0.8</v>
      </c>
      <c r="Q53" s="31" t="n">
        <v>0.8</v>
      </c>
      <c r="R53" s="31" t="n">
        <v>0.6</v>
      </c>
      <c r="S53" s="32">
        <f>IF($F53="","",IF(IFERROR(VLOOKUP($F53,'维度字典'!$M$2:$N$50,2,0),"求和")="手工录入","",IF(IFERROR(VLOOKUP($F53,'维度字典'!$M$2:$N$50,2,0),"求和")="最新值",IFERROR(LOOKUP(9.99E+307,G53:R53),""),SUM(G53:R53))))</f>
        <v/>
      </c>
      <c r="T53" s="33" t="n"/>
    </row>
    <row r="54">
      <c r="A54" s="26">
        <f>IF($B54="","",ROW()-3)</f>
        <v/>
      </c>
      <c r="B54" s="27" t="inlineStr">
        <is>
          <t>王五</t>
        </is>
      </c>
      <c r="C54" s="27" t="inlineStr">
        <is>
          <t>船舶行业</t>
        </is>
      </c>
      <c r="D54" s="28" t="inlineStr">
        <is>
          <t>可拆</t>
        </is>
      </c>
      <c r="E54" s="29" t="inlineStr">
        <is>
          <t>华北</t>
        </is>
      </c>
      <c r="F54" s="30" t="inlineStr">
        <is>
          <t>实绩销售额</t>
        </is>
      </c>
      <c r="G54" s="31" t="n">
        <v>5</v>
      </c>
      <c r="H54" s="31" t="n">
        <v>4</v>
      </c>
      <c r="I54" s="31" t="n">
        <v>5</v>
      </c>
      <c r="J54" s="31" t="n">
        <v>6</v>
      </c>
      <c r="K54" s="31" t="n">
        <v>6</v>
      </c>
      <c r="L54" s="31" t="n">
        <v>6</v>
      </c>
      <c r="M54" s="31" t="n">
        <v>6</v>
      </c>
      <c r="N54" s="31" t="n">
        <v>6</v>
      </c>
      <c r="O54" s="31" t="n">
        <v>6</v>
      </c>
      <c r="P54" s="31" t="n">
        <v>6</v>
      </c>
      <c r="Q54" s="31" t="n">
        <v>5</v>
      </c>
      <c r="R54" s="31" t="n">
        <v>4</v>
      </c>
      <c r="S54" s="32">
        <f>IF($F54="","",IF(IFERROR(VLOOKUP($F54,'维度字典'!$M$2:$N$50,2,0),"求和")="手工录入","",IF(IFERROR(VLOOKUP($F54,'维度字典'!$M$2:$N$50,2,0),"求和")="最新值",IFERROR(LOOKUP(9.99E+307,G54:R54),""),SUM(G54:R54))))</f>
        <v/>
      </c>
      <c r="T54" s="33" t="n"/>
    </row>
    <row r="55">
      <c r="A55" s="26">
        <f>IF($B55="","",ROW()-3)</f>
        <v/>
      </c>
      <c r="B55" s="27" t="inlineStr">
        <is>
          <t>王五</t>
        </is>
      </c>
      <c r="C55" s="27" t="inlineStr">
        <is>
          <t>船舶行业</t>
        </is>
      </c>
      <c r="D55" s="28" t="inlineStr">
        <is>
          <t>可拆</t>
        </is>
      </c>
      <c r="E55" s="29" t="inlineStr">
        <is>
          <t>华北</t>
        </is>
      </c>
      <c r="F55" s="30" t="inlineStr">
        <is>
          <t>实绩毛利</t>
        </is>
      </c>
      <c r="G55" s="31" t="n">
        <v>1</v>
      </c>
      <c r="H55" s="31" t="n">
        <v>0.8</v>
      </c>
      <c r="I55" s="31" t="n">
        <v>1</v>
      </c>
      <c r="J55" s="31" t="n">
        <v>1.2</v>
      </c>
      <c r="K55" s="31" t="n">
        <v>1.2</v>
      </c>
      <c r="L55" s="31" t="n">
        <v>1.2</v>
      </c>
      <c r="M55" s="31" t="n">
        <v>1.2</v>
      </c>
      <c r="N55" s="31" t="n">
        <v>1.2</v>
      </c>
      <c r="O55" s="31" t="n">
        <v>1.2</v>
      </c>
      <c r="P55" s="31" t="n">
        <v>1.2</v>
      </c>
      <c r="Q55" s="31" t="n">
        <v>1</v>
      </c>
      <c r="R55" s="31" t="n">
        <v>0.8</v>
      </c>
      <c r="S55" s="32">
        <f>IF($F55="","",IF(IFERROR(VLOOKUP($F55,'维度字典'!$M$2:$N$50,2,0),"求和")="手工录入","",IF(IFERROR(VLOOKUP($F55,'维度字典'!$M$2:$N$50,2,0),"求和")="最新值",IFERROR(LOOKUP(9.99E+307,G55:R55),""),SUM(G55:R55))))</f>
        <v/>
      </c>
      <c r="T55" s="33" t="n"/>
    </row>
    <row r="56">
      <c r="A56" s="26">
        <f>IF($B56="","",ROW()-3)</f>
        <v/>
      </c>
      <c r="B56" s="27" t="inlineStr">
        <is>
          <t>王五</t>
        </is>
      </c>
      <c r="C56" s="27" t="inlineStr">
        <is>
          <t>储能行业</t>
        </is>
      </c>
      <c r="D56" s="28" t="inlineStr">
        <is>
          <t>钎焊</t>
        </is>
      </c>
      <c r="E56" s="29" t="inlineStr">
        <is>
          <t>华北</t>
        </is>
      </c>
      <c r="F56" s="30" t="inlineStr">
        <is>
          <t>实绩销售额</t>
        </is>
      </c>
      <c r="G56" s="31" t="n">
        <v>2</v>
      </c>
      <c r="H56" s="31" t="n">
        <v>1</v>
      </c>
      <c r="I56" s="31" t="n">
        <v>2</v>
      </c>
      <c r="J56" s="31" t="n">
        <v>2</v>
      </c>
      <c r="K56" s="31" t="n">
        <v>2</v>
      </c>
      <c r="L56" s="31" t="n">
        <v>2</v>
      </c>
      <c r="M56" s="31" t="n">
        <v>2</v>
      </c>
      <c r="N56" s="31" t="n">
        <v>2</v>
      </c>
      <c r="O56" s="31" t="n">
        <v>2</v>
      </c>
      <c r="P56" s="31" t="n">
        <v>2</v>
      </c>
      <c r="Q56" s="31" t="n">
        <v>2</v>
      </c>
      <c r="R56" s="31" t="n">
        <v>1</v>
      </c>
      <c r="S56" s="32">
        <f>IF($F56="","",IF(IFERROR(VLOOKUP($F56,'维度字典'!$M$2:$N$50,2,0),"求和")="手工录入","",IF(IFERROR(VLOOKUP($F56,'维度字典'!$M$2:$N$50,2,0),"求和")="最新值",IFERROR(LOOKUP(9.99E+307,G56:R56),""),SUM(G56:R56))))</f>
        <v/>
      </c>
      <c r="T56" s="33" t="n"/>
    </row>
    <row r="57">
      <c r="A57" s="26">
        <f>IF($B57="","",ROW()-3)</f>
        <v/>
      </c>
      <c r="B57" s="27" t="inlineStr">
        <is>
          <t>王五</t>
        </is>
      </c>
      <c r="C57" s="27" t="inlineStr">
        <is>
          <t>储能行业</t>
        </is>
      </c>
      <c r="D57" s="28" t="inlineStr">
        <is>
          <t>钎焊</t>
        </is>
      </c>
      <c r="E57" s="29" t="inlineStr">
        <is>
          <t>华北</t>
        </is>
      </c>
      <c r="F57" s="30" t="inlineStr">
        <is>
          <t>实绩毛利</t>
        </is>
      </c>
      <c r="G57" s="31" t="n">
        <v>0.4</v>
      </c>
      <c r="H57" s="31" t="n">
        <v>0.2</v>
      </c>
      <c r="I57" s="31" t="n">
        <v>0.4</v>
      </c>
      <c r="J57" s="31" t="n">
        <v>0.4</v>
      </c>
      <c r="K57" s="31" t="n">
        <v>0.4</v>
      </c>
      <c r="L57" s="31" t="n">
        <v>0.4</v>
      </c>
      <c r="M57" s="31" t="n">
        <v>0.4</v>
      </c>
      <c r="N57" s="31" t="n">
        <v>0.4</v>
      </c>
      <c r="O57" s="31" t="n">
        <v>0.4</v>
      </c>
      <c r="P57" s="31" t="n">
        <v>0.4</v>
      </c>
      <c r="Q57" s="31" t="n">
        <v>0.4</v>
      </c>
      <c r="R57" s="31" t="n">
        <v>0.2</v>
      </c>
      <c r="S57" s="32">
        <f>IF($F57="","",IF(IFERROR(VLOOKUP($F57,'维度字典'!$M$2:$N$50,2,0),"求和")="手工录入","",IF(IFERROR(VLOOKUP($F57,'维度字典'!$M$2:$N$50,2,0),"求和")="最新值",IFERROR(LOOKUP(9.99E+307,G57:R57),""),SUM(G57:R57))))</f>
        <v/>
      </c>
      <c r="T57" s="33" t="n"/>
    </row>
    <row r="58">
      <c r="A58" s="26">
        <f>IF($B58="","",ROW()-3)</f>
        <v/>
      </c>
      <c r="B58" s="27" t="inlineStr">
        <is>
          <t>王五</t>
        </is>
      </c>
      <c r="C58" s="27" t="inlineStr">
        <is>
          <t>储能行业</t>
        </is>
      </c>
      <c r="D58" s="28" t="inlineStr">
        <is>
          <t>可拆</t>
        </is>
      </c>
      <c r="E58" s="29" t="inlineStr">
        <is>
          <t>华北</t>
        </is>
      </c>
      <c r="F58" s="30" t="inlineStr">
        <is>
          <t>实绩销售额</t>
        </is>
      </c>
      <c r="G58" s="31" t="n">
        <v>4</v>
      </c>
      <c r="H58" s="31" t="n">
        <v>3</v>
      </c>
      <c r="I58" s="31" t="n">
        <v>4</v>
      </c>
      <c r="J58" s="31" t="n">
        <v>5</v>
      </c>
      <c r="K58" s="31" t="n">
        <v>5</v>
      </c>
      <c r="L58" s="31" t="n">
        <v>5</v>
      </c>
      <c r="M58" s="31" t="n">
        <v>5</v>
      </c>
      <c r="N58" s="31" t="n">
        <v>5</v>
      </c>
      <c r="O58" s="31" t="n">
        <v>5</v>
      </c>
      <c r="P58" s="31" t="n">
        <v>5</v>
      </c>
      <c r="Q58" s="31" t="n">
        <v>4</v>
      </c>
      <c r="R58" s="31" t="n">
        <v>3</v>
      </c>
      <c r="S58" s="32">
        <f>IF($F58="","",IF(IFERROR(VLOOKUP($F58,'维度字典'!$M$2:$N$50,2,0),"求和")="手工录入","",IF(IFERROR(VLOOKUP($F58,'维度字典'!$M$2:$N$50,2,0),"求和")="最新值",IFERROR(LOOKUP(9.99E+307,G58:R58),""),SUM(G58:R58))))</f>
        <v/>
      </c>
      <c r="T58" s="33" t="n"/>
    </row>
    <row r="59">
      <c r="A59" s="26">
        <f>IF($B59="","",ROW()-3)</f>
        <v/>
      </c>
      <c r="B59" s="27" t="inlineStr">
        <is>
          <t>王五</t>
        </is>
      </c>
      <c r="C59" s="27" t="inlineStr">
        <is>
          <t>储能行业</t>
        </is>
      </c>
      <c r="D59" s="28" t="inlineStr">
        <is>
          <t>可拆</t>
        </is>
      </c>
      <c r="E59" s="29" t="inlineStr">
        <is>
          <t>华北</t>
        </is>
      </c>
      <c r="F59" s="30" t="inlineStr">
        <is>
          <t>实绩毛利</t>
        </is>
      </c>
      <c r="G59" s="31" t="n">
        <v>0.8</v>
      </c>
      <c r="H59" s="31" t="n">
        <v>0.6</v>
      </c>
      <c r="I59" s="31" t="n">
        <v>0.8</v>
      </c>
      <c r="J59" s="31" t="n">
        <v>1</v>
      </c>
      <c r="K59" s="31" t="n">
        <v>1</v>
      </c>
      <c r="L59" s="31" t="n">
        <v>1</v>
      </c>
      <c r="M59" s="31" t="n">
        <v>1</v>
      </c>
      <c r="N59" s="31" t="n">
        <v>1</v>
      </c>
      <c r="O59" s="31" t="n">
        <v>1</v>
      </c>
      <c r="P59" s="31" t="n">
        <v>1</v>
      </c>
      <c r="Q59" s="31" t="n">
        <v>0.8</v>
      </c>
      <c r="R59" s="31" t="n">
        <v>0.6</v>
      </c>
      <c r="S59" s="32">
        <f>IF($F59="","",IF(IFERROR(VLOOKUP($F59,'维度字典'!$M$2:$N$50,2,0),"求和")="手工录入","",IF(IFERROR(VLOOKUP($F59,'维度字典'!$M$2:$N$50,2,0),"求和")="最新值",IFERROR(LOOKUP(9.99E+307,G59:R59),""),SUM(G59:R59))))</f>
        <v/>
      </c>
      <c r="T59" s="33" t="n"/>
    </row>
    <row r="60">
      <c r="A60" s="26">
        <f>IF($B60="","",ROW()-3)</f>
        <v/>
      </c>
      <c r="B60" s="27" t="inlineStr">
        <is>
          <t>王五</t>
        </is>
      </c>
      <c r="C60" s="27" t="inlineStr">
        <is>
          <t>数据中心</t>
        </is>
      </c>
      <c r="D60" s="28" t="inlineStr">
        <is>
          <t>钎焊</t>
        </is>
      </c>
      <c r="E60" s="29" t="inlineStr">
        <is>
          <t>华北</t>
        </is>
      </c>
      <c r="F60" s="30" t="inlineStr">
        <is>
          <t>实绩销售额</t>
        </is>
      </c>
      <c r="G60" s="31" t="n">
        <v>12</v>
      </c>
      <c r="H60" s="31" t="n">
        <v>10</v>
      </c>
      <c r="I60" s="31" t="n">
        <v>14</v>
      </c>
      <c r="J60" s="31" t="n">
        <v>15</v>
      </c>
      <c r="K60" s="31" t="n">
        <v>15</v>
      </c>
      <c r="L60" s="31" t="n">
        <v>17</v>
      </c>
      <c r="M60" s="31" t="n">
        <v>17</v>
      </c>
      <c r="N60" s="31" t="n">
        <v>15</v>
      </c>
      <c r="O60" s="31" t="n">
        <v>15</v>
      </c>
      <c r="P60" s="31" t="n">
        <v>15</v>
      </c>
      <c r="Q60" s="31" t="n">
        <v>14</v>
      </c>
      <c r="R60" s="31" t="n">
        <v>10</v>
      </c>
      <c r="S60" s="32">
        <f>IF($F60="","",IF(IFERROR(VLOOKUP($F60,'维度字典'!$M$2:$N$50,2,0),"求和")="手工录入","",IF(IFERROR(VLOOKUP($F60,'维度字典'!$M$2:$N$50,2,0),"求和")="最新值",IFERROR(LOOKUP(9.99E+307,G60:R60),""),SUM(G60:R60))))</f>
        <v/>
      </c>
      <c r="T60" s="33" t="n"/>
    </row>
    <row r="61">
      <c r="A61" s="26">
        <f>IF($B61="","",ROW()-3)</f>
        <v/>
      </c>
      <c r="B61" s="27" t="inlineStr">
        <is>
          <t>王五</t>
        </is>
      </c>
      <c r="C61" s="27" t="inlineStr">
        <is>
          <t>数据中心</t>
        </is>
      </c>
      <c r="D61" s="28" t="inlineStr">
        <is>
          <t>钎焊</t>
        </is>
      </c>
      <c r="E61" s="29" t="inlineStr">
        <is>
          <t>华北</t>
        </is>
      </c>
      <c r="F61" s="30" t="inlineStr">
        <is>
          <t>实绩毛利</t>
        </is>
      </c>
      <c r="G61" s="31" t="n">
        <v>2.6</v>
      </c>
      <c r="H61" s="31" t="n">
        <v>2.2</v>
      </c>
      <c r="I61" s="31" t="n">
        <v>3.1</v>
      </c>
      <c r="J61" s="31" t="n">
        <v>3.3</v>
      </c>
      <c r="K61" s="31" t="n">
        <v>3.3</v>
      </c>
      <c r="L61" s="31" t="n">
        <v>3.7</v>
      </c>
      <c r="M61" s="31" t="n">
        <v>3.7</v>
      </c>
      <c r="N61" s="31" t="n">
        <v>3.3</v>
      </c>
      <c r="O61" s="31" t="n">
        <v>3.3</v>
      </c>
      <c r="P61" s="31" t="n">
        <v>3.3</v>
      </c>
      <c r="Q61" s="31" t="n">
        <v>3.1</v>
      </c>
      <c r="R61" s="31" t="n">
        <v>2.2</v>
      </c>
      <c r="S61" s="32">
        <f>IF($F61="","",IF(IFERROR(VLOOKUP($F61,'维度字典'!$M$2:$N$50,2,0),"求和")="手工录入","",IF(IFERROR(VLOOKUP($F61,'维度字典'!$M$2:$N$50,2,0),"求和")="最新值",IFERROR(LOOKUP(9.99E+307,G61:R61),""),SUM(G61:R61))))</f>
        <v/>
      </c>
      <c r="T61" s="33" t="n"/>
    </row>
    <row r="62">
      <c r="A62" s="26">
        <f>IF($B62="","",ROW()-3)</f>
        <v/>
      </c>
      <c r="B62" s="27" t="inlineStr">
        <is>
          <t>王五</t>
        </is>
      </c>
      <c r="C62" s="27" t="inlineStr">
        <is>
          <t>数据中心</t>
        </is>
      </c>
      <c r="D62" s="28" t="inlineStr">
        <is>
          <t>可拆</t>
        </is>
      </c>
      <c r="E62" s="29" t="inlineStr">
        <is>
          <t>华北</t>
        </is>
      </c>
      <c r="F62" s="30" t="inlineStr">
        <is>
          <t>实绩销售额</t>
        </is>
      </c>
      <c r="G62" s="31" t="n">
        <v>8</v>
      </c>
      <c r="H62" s="31" t="n">
        <v>6</v>
      </c>
      <c r="I62" s="31" t="n">
        <v>9</v>
      </c>
      <c r="J62" s="31" t="n">
        <v>10</v>
      </c>
      <c r="K62" s="31" t="n">
        <v>10</v>
      </c>
      <c r="L62" s="31" t="n">
        <v>11</v>
      </c>
      <c r="M62" s="31" t="n">
        <v>11</v>
      </c>
      <c r="N62" s="31" t="n">
        <v>10</v>
      </c>
      <c r="O62" s="31" t="n">
        <v>10</v>
      </c>
      <c r="P62" s="31" t="n">
        <v>10</v>
      </c>
      <c r="Q62" s="31" t="n">
        <v>9</v>
      </c>
      <c r="R62" s="31" t="n">
        <v>6</v>
      </c>
      <c r="S62" s="32">
        <f>IF($F62="","",IF(IFERROR(VLOOKUP($F62,'维度字典'!$M$2:$N$50,2,0),"求和")="手工录入","",IF(IFERROR(VLOOKUP($F62,'维度字典'!$M$2:$N$50,2,0),"求和")="最新值",IFERROR(LOOKUP(9.99E+307,G62:R62),""),SUM(G62:R62))))</f>
        <v/>
      </c>
      <c r="T62" s="33" t="n"/>
    </row>
    <row r="63">
      <c r="A63" s="26">
        <f>IF($B63="","",ROW()-3)</f>
        <v/>
      </c>
      <c r="B63" s="27" t="inlineStr">
        <is>
          <t>王五</t>
        </is>
      </c>
      <c r="C63" s="27" t="inlineStr">
        <is>
          <t>数据中心</t>
        </is>
      </c>
      <c r="D63" s="28" t="inlineStr">
        <is>
          <t>可拆</t>
        </is>
      </c>
      <c r="E63" s="29" t="inlineStr">
        <is>
          <t>华北</t>
        </is>
      </c>
      <c r="F63" s="30" t="inlineStr">
        <is>
          <t>实绩毛利</t>
        </is>
      </c>
      <c r="G63" s="31" t="n">
        <v>1.8</v>
      </c>
      <c r="H63" s="31" t="n">
        <v>1.3</v>
      </c>
      <c r="I63" s="31" t="n">
        <v>2</v>
      </c>
      <c r="J63" s="31" t="n">
        <v>2.2</v>
      </c>
      <c r="K63" s="31" t="n">
        <v>2.2</v>
      </c>
      <c r="L63" s="31" t="n">
        <v>2.4</v>
      </c>
      <c r="M63" s="31" t="n">
        <v>2.4</v>
      </c>
      <c r="N63" s="31" t="n">
        <v>2.2</v>
      </c>
      <c r="O63" s="31" t="n">
        <v>2.2</v>
      </c>
      <c r="P63" s="31" t="n">
        <v>2.2</v>
      </c>
      <c r="Q63" s="31" t="n">
        <v>2</v>
      </c>
      <c r="R63" s="31" t="n">
        <v>1.3</v>
      </c>
      <c r="S63" s="32">
        <f>IF($F63="","",IF(IFERROR(VLOOKUP($F63,'维度字典'!$M$2:$N$50,2,0),"求和")="手工录入","",IF(IFERROR(VLOOKUP($F63,'维度字典'!$M$2:$N$50,2,0),"求和")="最新值",IFERROR(LOOKUP(9.99E+307,G63:R63),""),SUM(G63:R63))))</f>
        <v/>
      </c>
      <c r="T63" s="33" t="n"/>
    </row>
    <row r="64">
      <c r="A64" s="26">
        <f>IF($B64="","",ROW()-3)</f>
        <v/>
      </c>
      <c r="B64" s="27" t="n"/>
      <c r="C64" s="27" t="n"/>
      <c r="D64" s="28" t="n"/>
      <c r="E64" s="29" t="n"/>
      <c r="F64" s="30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2">
        <f>IF($F64="","",IF(IFERROR(VLOOKUP($F64,'维度字典'!$M$2:$N$50,2,0),"求和")="手工录入","",IF(IFERROR(VLOOKUP($F64,'维度字典'!$M$2:$N$50,2,0),"求和")="最新值",IFERROR(LOOKUP(9.99E+307,G64:R64),""),SUM(G64:R64))))</f>
        <v/>
      </c>
      <c r="T64" s="33" t="n"/>
    </row>
    <row r="65">
      <c r="A65" s="26">
        <f>IF($B65="","",ROW()-3)</f>
        <v/>
      </c>
      <c r="B65" s="27" t="n"/>
      <c r="C65" s="27" t="n"/>
      <c r="D65" s="28" t="n"/>
      <c r="E65" s="29" t="n"/>
      <c r="F65" s="30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2">
        <f>IF($F65="","",IF(IFERROR(VLOOKUP($F65,'维度字典'!$M$2:$N$50,2,0),"求和")="手工录入","",IF(IFERROR(VLOOKUP($F65,'维度字典'!$M$2:$N$50,2,0),"求和")="最新值",IFERROR(LOOKUP(9.99E+307,G65:R65),""),SUM(G65:R65))))</f>
        <v/>
      </c>
      <c r="T65" s="33" t="n"/>
    </row>
    <row r="66">
      <c r="A66" s="26">
        <f>IF($B66="","",ROW()-3)</f>
        <v/>
      </c>
      <c r="B66" s="27" t="n"/>
      <c r="C66" s="27" t="n"/>
      <c r="D66" s="28" t="n"/>
      <c r="E66" s="29" t="n"/>
      <c r="F66" s="30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2">
        <f>IF($F66="","",IF(IFERROR(VLOOKUP($F66,'维度字典'!$M$2:$N$50,2,0),"求和")="手工录入","",IF(IFERROR(VLOOKUP($F66,'维度字典'!$M$2:$N$50,2,0),"求和")="最新值",IFERROR(LOOKUP(9.99E+307,G66:R66),""),SUM(G66:R66))))</f>
        <v/>
      </c>
      <c r="T66" s="33" t="n"/>
    </row>
    <row r="67">
      <c r="A67" s="26">
        <f>IF($B67="","",ROW()-3)</f>
        <v/>
      </c>
      <c r="B67" s="27" t="n"/>
      <c r="C67" s="27" t="n"/>
      <c r="D67" s="28" t="n"/>
      <c r="E67" s="29" t="n"/>
      <c r="F67" s="30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2">
        <f>IF($F67="","",IF(IFERROR(VLOOKUP($F67,'维度字典'!$M$2:$N$50,2,0),"求和")="手工录入","",IF(IFERROR(VLOOKUP($F67,'维度字典'!$M$2:$N$50,2,0),"求和")="最新值",IFERROR(LOOKUP(9.99E+307,G67:R67),""),SUM(G67:R67))))</f>
        <v/>
      </c>
      <c r="T67" s="33" t="n"/>
    </row>
    <row r="68">
      <c r="A68" s="26">
        <f>IF($B68="","",ROW()-3)</f>
        <v/>
      </c>
      <c r="B68" s="27" t="n"/>
      <c r="C68" s="27" t="n"/>
      <c r="D68" s="28" t="n"/>
      <c r="E68" s="29" t="n"/>
      <c r="F68" s="30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2">
        <f>IF($F68="","",IF(IFERROR(VLOOKUP($F68,'维度字典'!$M$2:$N$50,2,0),"求和")="手工录入","",IF(IFERROR(VLOOKUP($F68,'维度字典'!$M$2:$N$50,2,0),"求和")="最新值",IFERROR(LOOKUP(9.99E+307,G68:R68),""),SUM(G68:R68))))</f>
        <v/>
      </c>
      <c r="T68" s="33" t="n"/>
    </row>
    <row r="69">
      <c r="A69" s="26">
        <f>IF($B69="","",ROW()-3)</f>
        <v/>
      </c>
      <c r="B69" s="27" t="n"/>
      <c r="C69" s="27" t="n"/>
      <c r="D69" s="28" t="n"/>
      <c r="E69" s="29" t="n"/>
      <c r="F69" s="30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2">
        <f>IF($F69="","",IF(IFERROR(VLOOKUP($F69,'维度字典'!$M$2:$N$50,2,0),"求和")="手工录入","",IF(IFERROR(VLOOKUP($F69,'维度字典'!$M$2:$N$50,2,0),"求和")="最新值",IFERROR(LOOKUP(9.99E+307,G69:R69),""),SUM(G69:R69))))</f>
        <v/>
      </c>
      <c r="T69" s="33" t="n"/>
    </row>
    <row r="70">
      <c r="A70" s="26">
        <f>IF($B70="","",ROW()-3)</f>
        <v/>
      </c>
      <c r="B70" s="27" t="n"/>
      <c r="C70" s="27" t="n"/>
      <c r="D70" s="28" t="n"/>
      <c r="E70" s="29" t="n"/>
      <c r="F70" s="30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2">
        <f>IF($F70="","",IF(IFERROR(VLOOKUP($F70,'维度字典'!$M$2:$N$50,2,0),"求和")="手工录入","",IF(IFERROR(VLOOKUP($F70,'维度字典'!$M$2:$N$50,2,0),"求和")="最新值",IFERROR(LOOKUP(9.99E+307,G70:R70),""),SUM(G70:R70))))</f>
        <v/>
      </c>
      <c r="T70" s="33" t="n"/>
    </row>
    <row r="71">
      <c r="A71" s="26">
        <f>IF($B71="","",ROW()-3)</f>
        <v/>
      </c>
      <c r="B71" s="27" t="n"/>
      <c r="C71" s="27" t="n"/>
      <c r="D71" s="28" t="n"/>
      <c r="E71" s="29" t="n"/>
      <c r="F71" s="30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2">
        <f>IF($F71="","",IF(IFERROR(VLOOKUP($F71,'维度字典'!$M$2:$N$50,2,0),"求和")="手工录入","",IF(IFERROR(VLOOKUP($F71,'维度字典'!$M$2:$N$50,2,0),"求和")="最新值",IFERROR(LOOKUP(9.99E+307,G71:R71),""),SUM(G71:R71))))</f>
        <v/>
      </c>
      <c r="T71" s="33" t="n"/>
    </row>
    <row r="72">
      <c r="A72" s="26">
        <f>IF($B72="","",ROW()-3)</f>
        <v/>
      </c>
      <c r="B72" s="27" t="n"/>
      <c r="C72" s="27" t="n"/>
      <c r="D72" s="28" t="n"/>
      <c r="E72" s="29" t="n"/>
      <c r="F72" s="30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2">
        <f>IF($F72="","",IF(IFERROR(VLOOKUP($F72,'维度字典'!$M$2:$N$50,2,0),"求和")="手工录入","",IF(IFERROR(VLOOKUP($F72,'维度字典'!$M$2:$N$50,2,0),"求和")="最新值",IFERROR(LOOKUP(9.99E+307,G72:R72),""),SUM(G72:R72))))</f>
        <v/>
      </c>
      <c r="T72" s="33" t="n"/>
    </row>
    <row r="73">
      <c r="A73" s="26">
        <f>IF($B73="","",ROW()-3)</f>
        <v/>
      </c>
      <c r="B73" s="27" t="n"/>
      <c r="C73" s="27" t="n"/>
      <c r="D73" s="28" t="n"/>
      <c r="E73" s="29" t="n"/>
      <c r="F73" s="30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2">
        <f>IF($F73="","",IF(IFERROR(VLOOKUP($F73,'维度字典'!$M$2:$N$50,2,0),"求和")="手工录入","",IF(IFERROR(VLOOKUP($F73,'维度字典'!$M$2:$N$50,2,0),"求和")="最新值",IFERROR(LOOKUP(9.99E+307,G73:R73),""),SUM(G73:R73))))</f>
        <v/>
      </c>
      <c r="T73" s="33" t="n"/>
    </row>
    <row r="74">
      <c r="A74" s="26">
        <f>IF($B74="","",ROW()-3)</f>
        <v/>
      </c>
      <c r="B74" s="27" t="n"/>
      <c r="C74" s="27" t="n"/>
      <c r="D74" s="28" t="n"/>
      <c r="E74" s="29" t="n"/>
      <c r="F74" s="30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2">
        <f>IF($F74="","",IF(IFERROR(VLOOKUP($F74,'维度字典'!$M$2:$N$50,2,0),"求和")="手工录入","",IF(IFERROR(VLOOKUP($F74,'维度字典'!$M$2:$N$50,2,0),"求和")="最新值",IFERROR(LOOKUP(9.99E+307,G74:R74),""),SUM(G74:R74))))</f>
        <v/>
      </c>
      <c r="T74" s="33" t="n"/>
    </row>
    <row r="75">
      <c r="A75" s="26">
        <f>IF($B75="","",ROW()-3)</f>
        <v/>
      </c>
      <c r="B75" s="27" t="n"/>
      <c r="C75" s="27" t="n"/>
      <c r="D75" s="28" t="n"/>
      <c r="E75" s="29" t="n"/>
      <c r="F75" s="30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2">
        <f>IF($F75="","",IF(IFERROR(VLOOKUP($F75,'维度字典'!$M$2:$N$50,2,0),"求和")="手工录入","",IF(IFERROR(VLOOKUP($F75,'维度字典'!$M$2:$N$50,2,0),"求和")="最新值",IFERROR(LOOKUP(9.99E+307,G75:R75),""),SUM(G75:R75))))</f>
        <v/>
      </c>
      <c r="T75" s="33" t="n"/>
    </row>
    <row r="76">
      <c r="A76" s="26">
        <f>IF($B76="","",ROW()-3)</f>
        <v/>
      </c>
      <c r="B76" s="27" t="n"/>
      <c r="C76" s="27" t="n"/>
      <c r="D76" s="28" t="n"/>
      <c r="E76" s="29" t="n"/>
      <c r="F76" s="30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2">
        <f>IF($F76="","",IF(IFERROR(VLOOKUP($F76,'维度字典'!$M$2:$N$50,2,0),"求和")="手工录入","",IF(IFERROR(VLOOKUP($F76,'维度字典'!$M$2:$N$50,2,0),"求和")="最新值",IFERROR(LOOKUP(9.99E+307,G76:R76),""),SUM(G76:R76))))</f>
        <v/>
      </c>
      <c r="T76" s="33" t="n"/>
    </row>
    <row r="77">
      <c r="A77" s="26">
        <f>IF($B77="","",ROW()-3)</f>
        <v/>
      </c>
      <c r="B77" s="27" t="n"/>
      <c r="C77" s="27" t="n"/>
      <c r="D77" s="28" t="n"/>
      <c r="E77" s="29" t="n"/>
      <c r="F77" s="30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2">
        <f>IF($F77="","",IF(IFERROR(VLOOKUP($F77,'维度字典'!$M$2:$N$50,2,0),"求和")="手工录入","",IF(IFERROR(VLOOKUP($F77,'维度字典'!$M$2:$N$50,2,0),"求和")="最新值",IFERROR(LOOKUP(9.99E+307,G77:R77),""),SUM(G77:R77))))</f>
        <v/>
      </c>
      <c r="T77" s="33" t="n"/>
    </row>
    <row r="78">
      <c r="A78" s="26">
        <f>IF($B78="","",ROW()-3)</f>
        <v/>
      </c>
      <c r="B78" s="27" t="n"/>
      <c r="C78" s="27" t="n"/>
      <c r="D78" s="28" t="n"/>
      <c r="E78" s="29" t="n"/>
      <c r="F78" s="30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2">
        <f>IF($F78="","",IF(IFERROR(VLOOKUP($F78,'维度字典'!$M$2:$N$50,2,0),"求和")="手工录入","",IF(IFERROR(VLOOKUP($F78,'维度字典'!$M$2:$N$50,2,0),"求和")="最新值",IFERROR(LOOKUP(9.99E+307,G78:R78),""),SUM(G78:R78))))</f>
        <v/>
      </c>
      <c r="T78" s="33" t="n"/>
    </row>
    <row r="79">
      <c r="A79" s="26">
        <f>IF($B79="","",ROW()-3)</f>
        <v/>
      </c>
      <c r="B79" s="27" t="n"/>
      <c r="C79" s="27" t="n"/>
      <c r="D79" s="28" t="n"/>
      <c r="E79" s="29" t="n"/>
      <c r="F79" s="30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2">
        <f>IF($F79="","",IF(IFERROR(VLOOKUP($F79,'维度字典'!$M$2:$N$50,2,0),"求和")="手工录入","",IF(IFERROR(VLOOKUP($F79,'维度字典'!$M$2:$N$50,2,0),"求和")="最新值",IFERROR(LOOKUP(9.99E+307,G79:R79),""),SUM(G79:R79))))</f>
        <v/>
      </c>
      <c r="T79" s="33" t="n"/>
    </row>
    <row r="80">
      <c r="A80" s="26">
        <f>IF($B80="","",ROW()-3)</f>
        <v/>
      </c>
      <c r="B80" s="27" t="n"/>
      <c r="C80" s="27" t="n"/>
      <c r="D80" s="28" t="n"/>
      <c r="E80" s="29" t="n"/>
      <c r="F80" s="30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2">
        <f>IF($F80="","",IF(IFERROR(VLOOKUP($F80,'维度字典'!$M$2:$N$50,2,0),"求和")="手工录入","",IF(IFERROR(VLOOKUP($F80,'维度字典'!$M$2:$N$50,2,0),"求和")="最新值",IFERROR(LOOKUP(9.99E+307,G80:R80),""),SUM(G80:R80))))</f>
        <v/>
      </c>
      <c r="T80" s="33" t="n"/>
    </row>
    <row r="81">
      <c r="A81" s="26">
        <f>IF($B81="","",ROW()-3)</f>
        <v/>
      </c>
      <c r="B81" s="27" t="n"/>
      <c r="C81" s="27" t="n"/>
      <c r="D81" s="28" t="n"/>
      <c r="E81" s="29" t="n"/>
      <c r="F81" s="30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2">
        <f>IF($F81="","",IF(IFERROR(VLOOKUP($F81,'维度字典'!$M$2:$N$50,2,0),"求和")="手工录入","",IF(IFERROR(VLOOKUP($F81,'维度字典'!$M$2:$N$50,2,0),"求和")="最新值",IFERROR(LOOKUP(9.99E+307,G81:R81),""),SUM(G81:R81))))</f>
        <v/>
      </c>
      <c r="T81" s="33" t="n"/>
    </row>
    <row r="82">
      <c r="A82" s="26">
        <f>IF($B82="","",ROW()-3)</f>
        <v/>
      </c>
      <c r="B82" s="27" t="n"/>
      <c r="C82" s="27" t="n"/>
      <c r="D82" s="28" t="n"/>
      <c r="E82" s="29" t="n"/>
      <c r="F82" s="30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2">
        <f>IF($F82="","",IF(IFERROR(VLOOKUP($F82,'维度字典'!$M$2:$N$50,2,0),"求和")="手工录入","",IF(IFERROR(VLOOKUP($F82,'维度字典'!$M$2:$N$50,2,0),"求和")="最新值",IFERROR(LOOKUP(9.99E+307,G82:R82),""),SUM(G82:R82))))</f>
        <v/>
      </c>
      <c r="T82" s="33" t="n"/>
    </row>
    <row r="83">
      <c r="A83" s="26">
        <f>IF($B83="","",ROW()-3)</f>
        <v/>
      </c>
      <c r="B83" s="27" t="n"/>
      <c r="C83" s="27" t="n"/>
      <c r="D83" s="28" t="n"/>
      <c r="E83" s="29" t="n"/>
      <c r="F83" s="30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2">
        <f>IF($F83="","",IF(IFERROR(VLOOKUP($F83,'维度字典'!$M$2:$N$50,2,0),"求和")="手工录入","",IF(IFERROR(VLOOKUP($F83,'维度字典'!$M$2:$N$50,2,0),"求和")="最新值",IFERROR(LOOKUP(9.99E+307,G83:R83),""),SUM(G83:R83))))</f>
        <v/>
      </c>
      <c r="T83" s="33" t="n"/>
    </row>
    <row r="84">
      <c r="A84" s="26">
        <f>IF($B84="","",ROW()-3)</f>
        <v/>
      </c>
      <c r="B84" s="27" t="n"/>
      <c r="C84" s="27" t="n"/>
      <c r="D84" s="28" t="n"/>
      <c r="E84" s="29" t="n"/>
      <c r="F84" s="30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2">
        <f>IF($F84="","",IF(IFERROR(VLOOKUP($F84,'维度字典'!$M$2:$N$50,2,0),"求和")="手工录入","",IF(IFERROR(VLOOKUP($F84,'维度字典'!$M$2:$N$50,2,0),"求和")="最新值",IFERROR(LOOKUP(9.99E+307,G84:R84),""),SUM(G84:R84))))</f>
        <v/>
      </c>
      <c r="T84" s="33" t="n"/>
    </row>
    <row r="85">
      <c r="A85" s="26">
        <f>IF($B85="","",ROW()-3)</f>
        <v/>
      </c>
      <c r="B85" s="27" t="n"/>
      <c r="C85" s="27" t="n"/>
      <c r="D85" s="28" t="n"/>
      <c r="E85" s="29" t="n"/>
      <c r="F85" s="30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2">
        <f>IF($F85="","",IF(IFERROR(VLOOKUP($F85,'维度字典'!$M$2:$N$50,2,0),"求和")="手工录入","",IF(IFERROR(VLOOKUP($F85,'维度字典'!$M$2:$N$50,2,0),"求和")="最新值",IFERROR(LOOKUP(9.99E+307,G85:R85),""),SUM(G85:R85))))</f>
        <v/>
      </c>
      <c r="T85" s="33" t="n"/>
    </row>
    <row r="86">
      <c r="A86" s="26">
        <f>IF($B86="","",ROW()-3)</f>
        <v/>
      </c>
      <c r="B86" s="27" t="n"/>
      <c r="C86" s="27" t="n"/>
      <c r="D86" s="28" t="n"/>
      <c r="E86" s="29" t="n"/>
      <c r="F86" s="30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31" t="n"/>
      <c r="R86" s="31" t="n"/>
      <c r="S86" s="32">
        <f>IF($F86="","",IF(IFERROR(VLOOKUP($F86,'维度字典'!$M$2:$N$50,2,0),"求和")="手工录入","",IF(IFERROR(VLOOKUP($F86,'维度字典'!$M$2:$N$50,2,0),"求和")="最新值",IFERROR(LOOKUP(9.99E+307,G86:R86),""),SUM(G86:R86))))</f>
        <v/>
      </c>
      <c r="T86" s="33" t="n"/>
    </row>
    <row r="87">
      <c r="A87" s="26">
        <f>IF($B87="","",ROW()-3)</f>
        <v/>
      </c>
      <c r="B87" s="27" t="n"/>
      <c r="C87" s="27" t="n"/>
      <c r="D87" s="28" t="n"/>
      <c r="E87" s="29" t="n"/>
      <c r="F87" s="30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1" t="n"/>
      <c r="Q87" s="31" t="n"/>
      <c r="R87" s="31" t="n"/>
      <c r="S87" s="32">
        <f>IF($F87="","",IF(IFERROR(VLOOKUP($F87,'维度字典'!$M$2:$N$50,2,0),"求和")="手工录入","",IF(IFERROR(VLOOKUP($F87,'维度字典'!$M$2:$N$50,2,0),"求和")="最新值",IFERROR(LOOKUP(9.99E+307,G87:R87),""),SUM(G87:R87))))</f>
        <v/>
      </c>
      <c r="T87" s="33" t="n"/>
    </row>
    <row r="88">
      <c r="A88" s="26">
        <f>IF($B88="","",ROW()-3)</f>
        <v/>
      </c>
      <c r="B88" s="27" t="n"/>
      <c r="C88" s="27" t="n"/>
      <c r="D88" s="28" t="n"/>
      <c r="E88" s="29" t="n"/>
      <c r="F88" s="30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  <c r="S88" s="32">
        <f>IF($F88="","",IF(IFERROR(VLOOKUP($F88,'维度字典'!$M$2:$N$50,2,0),"求和")="手工录入","",IF(IFERROR(VLOOKUP($F88,'维度字典'!$M$2:$N$50,2,0),"求和")="最新值",IFERROR(LOOKUP(9.99E+307,G88:R88),""),SUM(G88:R88))))</f>
        <v/>
      </c>
      <c r="T88" s="33" t="n"/>
    </row>
    <row r="89">
      <c r="A89" s="26">
        <f>IF($B89="","",ROW()-3)</f>
        <v/>
      </c>
      <c r="B89" s="27" t="n"/>
      <c r="C89" s="27" t="n"/>
      <c r="D89" s="28" t="n"/>
      <c r="E89" s="29" t="n"/>
      <c r="F89" s="30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  <c r="S89" s="32">
        <f>IF($F89="","",IF(IFERROR(VLOOKUP($F89,'维度字典'!$M$2:$N$50,2,0),"求和")="手工录入","",IF(IFERROR(VLOOKUP($F89,'维度字典'!$M$2:$N$50,2,0),"求和")="最新值",IFERROR(LOOKUP(9.99E+307,G89:R89),""),SUM(G89:R89))))</f>
        <v/>
      </c>
      <c r="T89" s="33" t="n"/>
    </row>
    <row r="90">
      <c r="A90" s="26">
        <f>IF($B90="","",ROW()-3)</f>
        <v/>
      </c>
      <c r="B90" s="27" t="n"/>
      <c r="C90" s="27" t="n"/>
      <c r="D90" s="28" t="n"/>
      <c r="E90" s="29" t="n"/>
      <c r="F90" s="30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1" t="n"/>
      <c r="Q90" s="31" t="n"/>
      <c r="R90" s="31" t="n"/>
      <c r="S90" s="32">
        <f>IF($F90="","",IF(IFERROR(VLOOKUP($F90,'维度字典'!$M$2:$N$50,2,0),"求和")="手工录入","",IF(IFERROR(VLOOKUP($F90,'维度字典'!$M$2:$N$50,2,0),"求和")="最新值",IFERROR(LOOKUP(9.99E+307,G90:R90),""),SUM(G90:R90))))</f>
        <v/>
      </c>
      <c r="T90" s="33" t="n"/>
    </row>
    <row r="91">
      <c r="A91" s="26">
        <f>IF($B91="","",ROW()-3)</f>
        <v/>
      </c>
      <c r="B91" s="27" t="n"/>
      <c r="C91" s="27" t="n"/>
      <c r="D91" s="28" t="n"/>
      <c r="E91" s="29" t="n"/>
      <c r="F91" s="30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1" t="n"/>
      <c r="Q91" s="31" t="n"/>
      <c r="R91" s="31" t="n"/>
      <c r="S91" s="32">
        <f>IF($F91="","",IF(IFERROR(VLOOKUP($F91,'维度字典'!$M$2:$N$50,2,0),"求和")="手工录入","",IF(IFERROR(VLOOKUP($F91,'维度字典'!$M$2:$N$50,2,0),"求和")="最新值",IFERROR(LOOKUP(9.99E+307,G91:R91),""),SUM(G91:R91))))</f>
        <v/>
      </c>
      <c r="T91" s="33" t="n"/>
    </row>
    <row r="92">
      <c r="A92" s="26">
        <f>IF($B92="","",ROW()-3)</f>
        <v/>
      </c>
      <c r="B92" s="27" t="n"/>
      <c r="C92" s="27" t="n"/>
      <c r="D92" s="28" t="n"/>
      <c r="E92" s="29" t="n"/>
      <c r="F92" s="30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1" t="n"/>
      <c r="P92" s="31" t="n"/>
      <c r="Q92" s="31" t="n"/>
      <c r="R92" s="31" t="n"/>
      <c r="S92" s="32">
        <f>IF($F92="","",IF(IFERROR(VLOOKUP($F92,'维度字典'!$M$2:$N$50,2,0),"求和")="手工录入","",IF(IFERROR(VLOOKUP($F92,'维度字典'!$M$2:$N$50,2,0),"求和")="最新值",IFERROR(LOOKUP(9.99E+307,G92:R92),""),SUM(G92:R92))))</f>
        <v/>
      </c>
      <c r="T92" s="33" t="n"/>
    </row>
    <row r="93">
      <c r="A93" s="26">
        <f>IF($B93="","",ROW()-3)</f>
        <v/>
      </c>
      <c r="B93" s="27" t="n"/>
      <c r="C93" s="27" t="n"/>
      <c r="D93" s="28" t="n"/>
      <c r="E93" s="29" t="n"/>
      <c r="F93" s="30" t="n"/>
      <c r="G93" s="31" t="n"/>
      <c r="H93" s="31" t="n"/>
      <c r="I93" s="31" t="n"/>
      <c r="J93" s="31" t="n"/>
      <c r="K93" s="31" t="n"/>
      <c r="L93" s="31" t="n"/>
      <c r="M93" s="31" t="n"/>
      <c r="N93" s="31" t="n"/>
      <c r="O93" s="31" t="n"/>
      <c r="P93" s="31" t="n"/>
      <c r="Q93" s="31" t="n"/>
      <c r="R93" s="31" t="n"/>
      <c r="S93" s="32">
        <f>IF($F93="","",IF(IFERROR(VLOOKUP($F93,'维度字典'!$M$2:$N$50,2,0),"求和")="手工录入","",IF(IFERROR(VLOOKUP($F93,'维度字典'!$M$2:$N$50,2,0),"求和")="最新值",IFERROR(LOOKUP(9.99E+307,G93:R93),""),SUM(G93:R93))))</f>
        <v/>
      </c>
      <c r="T93" s="33" t="n"/>
    </row>
    <row r="94">
      <c r="A94" s="26">
        <f>IF($B94="","",ROW()-3)</f>
        <v/>
      </c>
      <c r="B94" s="27" t="n"/>
      <c r="C94" s="27" t="n"/>
      <c r="D94" s="28" t="n"/>
      <c r="E94" s="29" t="n"/>
      <c r="F94" s="30" t="n"/>
      <c r="G94" s="31" t="n"/>
      <c r="H94" s="31" t="n"/>
      <c r="I94" s="31" t="n"/>
      <c r="J94" s="31" t="n"/>
      <c r="K94" s="31" t="n"/>
      <c r="L94" s="31" t="n"/>
      <c r="M94" s="31" t="n"/>
      <c r="N94" s="31" t="n"/>
      <c r="O94" s="31" t="n"/>
      <c r="P94" s="31" t="n"/>
      <c r="Q94" s="31" t="n"/>
      <c r="R94" s="31" t="n"/>
      <c r="S94" s="32">
        <f>IF($F94="","",IF(IFERROR(VLOOKUP($F94,'维度字典'!$M$2:$N$50,2,0),"求和")="手工录入","",IF(IFERROR(VLOOKUP($F94,'维度字典'!$M$2:$N$50,2,0),"求和")="最新值",IFERROR(LOOKUP(9.99E+307,G94:R94),""),SUM(G94:R94))))</f>
        <v/>
      </c>
      <c r="T94" s="33" t="n"/>
    </row>
    <row r="95">
      <c r="A95" s="26">
        <f>IF($B95="","",ROW()-3)</f>
        <v/>
      </c>
      <c r="B95" s="27" t="n"/>
      <c r="C95" s="27" t="n"/>
      <c r="D95" s="28" t="n"/>
      <c r="E95" s="29" t="n"/>
      <c r="F95" s="30" t="n"/>
      <c r="G95" s="31" t="n"/>
      <c r="H95" s="31" t="n"/>
      <c r="I95" s="31" t="n"/>
      <c r="J95" s="31" t="n"/>
      <c r="K95" s="31" t="n"/>
      <c r="L95" s="31" t="n"/>
      <c r="M95" s="31" t="n"/>
      <c r="N95" s="31" t="n"/>
      <c r="O95" s="31" t="n"/>
      <c r="P95" s="31" t="n"/>
      <c r="Q95" s="31" t="n"/>
      <c r="R95" s="31" t="n"/>
      <c r="S95" s="32">
        <f>IF($F95="","",IF(IFERROR(VLOOKUP($F95,'维度字典'!$M$2:$N$50,2,0),"求和")="手工录入","",IF(IFERROR(VLOOKUP($F95,'维度字典'!$M$2:$N$50,2,0),"求和")="最新值",IFERROR(LOOKUP(9.99E+307,G95:R95),""),SUM(G95:R95))))</f>
        <v/>
      </c>
      <c r="T95" s="33" t="n"/>
    </row>
    <row r="96">
      <c r="A96" s="26">
        <f>IF($B96="","",ROW()-3)</f>
        <v/>
      </c>
      <c r="B96" s="27" t="n"/>
      <c r="C96" s="27" t="n"/>
      <c r="D96" s="28" t="n"/>
      <c r="E96" s="29" t="n"/>
      <c r="F96" s="30" t="n"/>
      <c r="G96" s="31" t="n"/>
      <c r="H96" s="31" t="n"/>
      <c r="I96" s="31" t="n"/>
      <c r="J96" s="31" t="n"/>
      <c r="K96" s="31" t="n"/>
      <c r="L96" s="31" t="n"/>
      <c r="M96" s="31" t="n"/>
      <c r="N96" s="31" t="n"/>
      <c r="O96" s="31" t="n"/>
      <c r="P96" s="31" t="n"/>
      <c r="Q96" s="31" t="n"/>
      <c r="R96" s="31" t="n"/>
      <c r="S96" s="32">
        <f>IF($F96="","",IF(IFERROR(VLOOKUP($F96,'维度字典'!$M$2:$N$50,2,0),"求和")="手工录入","",IF(IFERROR(VLOOKUP($F96,'维度字典'!$M$2:$N$50,2,0),"求和")="最新值",IFERROR(LOOKUP(9.99E+307,G96:R96),""),SUM(G96:R96))))</f>
        <v/>
      </c>
      <c r="T96" s="33" t="n"/>
    </row>
    <row r="97">
      <c r="A97" s="26">
        <f>IF($B97="","",ROW()-3)</f>
        <v/>
      </c>
      <c r="B97" s="27" t="n"/>
      <c r="C97" s="27" t="n"/>
      <c r="D97" s="28" t="n"/>
      <c r="E97" s="29" t="n"/>
      <c r="F97" s="30" t="n"/>
      <c r="G97" s="31" t="n"/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  <c r="S97" s="32">
        <f>IF($F97="","",IF(IFERROR(VLOOKUP($F97,'维度字典'!$M$2:$N$50,2,0),"求和")="手工录入","",IF(IFERROR(VLOOKUP($F97,'维度字典'!$M$2:$N$50,2,0),"求和")="最新值",IFERROR(LOOKUP(9.99E+307,G97:R97),""),SUM(G97:R97))))</f>
        <v/>
      </c>
      <c r="T97" s="33" t="n"/>
    </row>
    <row r="98">
      <c r="A98" s="26">
        <f>IF($B98="","",ROW()-3)</f>
        <v/>
      </c>
      <c r="B98" s="27" t="n"/>
      <c r="C98" s="27" t="n"/>
      <c r="D98" s="28" t="n"/>
      <c r="E98" s="29" t="n"/>
      <c r="F98" s="30" t="n"/>
      <c r="G98" s="31" t="n"/>
      <c r="H98" s="31" t="n"/>
      <c r="I98" s="31" t="n"/>
      <c r="J98" s="31" t="n"/>
      <c r="K98" s="31" t="n"/>
      <c r="L98" s="31" t="n"/>
      <c r="M98" s="31" t="n"/>
      <c r="N98" s="31" t="n"/>
      <c r="O98" s="31" t="n"/>
      <c r="P98" s="31" t="n"/>
      <c r="Q98" s="31" t="n"/>
      <c r="R98" s="31" t="n"/>
      <c r="S98" s="32">
        <f>IF($F98="","",IF(IFERROR(VLOOKUP($F98,'维度字典'!$M$2:$N$50,2,0),"求和")="手工录入","",IF(IFERROR(VLOOKUP($F98,'维度字典'!$M$2:$N$50,2,0),"求和")="最新值",IFERROR(LOOKUP(9.99E+307,G98:R98),""),SUM(G98:R98))))</f>
        <v/>
      </c>
      <c r="T98" s="33" t="n"/>
    </row>
    <row r="99">
      <c r="A99" s="26">
        <f>IF($B99="","",ROW()-3)</f>
        <v/>
      </c>
      <c r="B99" s="27" t="n"/>
      <c r="C99" s="27" t="n"/>
      <c r="D99" s="28" t="n"/>
      <c r="E99" s="29" t="n"/>
      <c r="F99" s="30" t="n"/>
      <c r="G99" s="31" t="n"/>
      <c r="H99" s="31" t="n"/>
      <c r="I99" s="31" t="n"/>
      <c r="J99" s="31" t="n"/>
      <c r="K99" s="31" t="n"/>
      <c r="L99" s="31" t="n"/>
      <c r="M99" s="31" t="n"/>
      <c r="N99" s="31" t="n"/>
      <c r="O99" s="31" t="n"/>
      <c r="P99" s="31" t="n"/>
      <c r="Q99" s="31" t="n"/>
      <c r="R99" s="31" t="n"/>
      <c r="S99" s="32">
        <f>IF($F99="","",IF(IFERROR(VLOOKUP($F99,'维度字典'!$M$2:$N$50,2,0),"求和")="手工录入","",IF(IFERROR(VLOOKUP($F99,'维度字典'!$M$2:$N$50,2,0),"求和")="最新值",IFERROR(LOOKUP(9.99E+307,G99:R99),""),SUM(G99:R99))))</f>
        <v/>
      </c>
      <c r="T99" s="33" t="n"/>
    </row>
    <row r="100">
      <c r="A100" s="26">
        <f>IF($B100="","",ROW()-3)</f>
        <v/>
      </c>
      <c r="B100" s="27" t="n"/>
      <c r="C100" s="27" t="n"/>
      <c r="D100" s="28" t="n"/>
      <c r="E100" s="29" t="n"/>
      <c r="F100" s="30" t="n"/>
      <c r="G100" s="31" t="n"/>
      <c r="H100" s="31" t="n"/>
      <c r="I100" s="31" t="n"/>
      <c r="J100" s="31" t="n"/>
      <c r="K100" s="31" t="n"/>
      <c r="L100" s="31" t="n"/>
      <c r="M100" s="31" t="n"/>
      <c r="N100" s="31" t="n"/>
      <c r="O100" s="31" t="n"/>
      <c r="P100" s="31" t="n"/>
      <c r="Q100" s="31" t="n"/>
      <c r="R100" s="31" t="n"/>
      <c r="S100" s="32">
        <f>IF($F100="","",IF(IFERROR(VLOOKUP($F100,'维度字典'!$M$2:$N$50,2,0),"求和")="手工录入","",IF(IFERROR(VLOOKUP($F100,'维度字典'!$M$2:$N$50,2,0),"求和")="最新值",IFERROR(LOOKUP(9.99E+307,G100:R100),""),SUM(G100:R100))))</f>
        <v/>
      </c>
      <c r="T100" s="33" t="n"/>
    </row>
    <row r="101">
      <c r="A101" s="26">
        <f>IF($B101="","",ROW()-3)</f>
        <v/>
      </c>
      <c r="B101" s="27" t="n"/>
      <c r="C101" s="27" t="n"/>
      <c r="D101" s="28" t="n"/>
      <c r="E101" s="29" t="n"/>
      <c r="F101" s="30" t="n"/>
      <c r="G101" s="31" t="n"/>
      <c r="H101" s="31" t="n"/>
      <c r="I101" s="31" t="n"/>
      <c r="J101" s="31" t="n"/>
      <c r="K101" s="31" t="n"/>
      <c r="L101" s="31" t="n"/>
      <c r="M101" s="31" t="n"/>
      <c r="N101" s="31" t="n"/>
      <c r="O101" s="31" t="n"/>
      <c r="P101" s="31" t="n"/>
      <c r="Q101" s="31" t="n"/>
      <c r="R101" s="31" t="n"/>
      <c r="S101" s="32">
        <f>IF($F101="","",IF(IFERROR(VLOOKUP($F101,'维度字典'!$M$2:$N$50,2,0),"求和")="手工录入","",IF(IFERROR(VLOOKUP($F101,'维度字典'!$M$2:$N$50,2,0),"求和")="最新值",IFERROR(LOOKUP(9.99E+307,G101:R101),""),SUM(G101:R101))))</f>
        <v/>
      </c>
      <c r="T101" s="33" t="n"/>
    </row>
    <row r="102">
      <c r="A102" s="26">
        <f>IF($B102="","",ROW()-3)</f>
        <v/>
      </c>
      <c r="B102" s="27" t="n"/>
      <c r="C102" s="27" t="n"/>
      <c r="D102" s="28" t="n"/>
      <c r="E102" s="29" t="n"/>
      <c r="F102" s="30" t="n"/>
      <c r="G102" s="31" t="n"/>
      <c r="H102" s="31" t="n"/>
      <c r="I102" s="31" t="n"/>
      <c r="J102" s="31" t="n"/>
      <c r="K102" s="31" t="n"/>
      <c r="L102" s="31" t="n"/>
      <c r="M102" s="31" t="n"/>
      <c r="N102" s="31" t="n"/>
      <c r="O102" s="31" t="n"/>
      <c r="P102" s="31" t="n"/>
      <c r="Q102" s="31" t="n"/>
      <c r="R102" s="31" t="n"/>
      <c r="S102" s="32">
        <f>IF($F102="","",IF(IFERROR(VLOOKUP($F102,'维度字典'!$M$2:$N$50,2,0),"求和")="手工录入","",IF(IFERROR(VLOOKUP($F102,'维度字典'!$M$2:$N$50,2,0),"求和")="最新值",IFERROR(LOOKUP(9.99E+307,G102:R102),""),SUM(G102:R102))))</f>
        <v/>
      </c>
      <c r="T102" s="33" t="n"/>
    </row>
    <row r="103">
      <c r="A103" s="26">
        <f>IF($B103="","",ROW()-3)</f>
        <v/>
      </c>
      <c r="B103" s="27" t="n"/>
      <c r="C103" s="27" t="n"/>
      <c r="D103" s="28" t="n"/>
      <c r="E103" s="29" t="n"/>
      <c r="F103" s="30" t="n"/>
      <c r="G103" s="31" t="n"/>
      <c r="H103" s="31" t="n"/>
      <c r="I103" s="31" t="n"/>
      <c r="J103" s="31" t="n"/>
      <c r="K103" s="31" t="n"/>
      <c r="L103" s="31" t="n"/>
      <c r="M103" s="31" t="n"/>
      <c r="N103" s="31" t="n"/>
      <c r="O103" s="31" t="n"/>
      <c r="P103" s="31" t="n"/>
      <c r="Q103" s="31" t="n"/>
      <c r="R103" s="31" t="n"/>
      <c r="S103" s="32">
        <f>IF($F103="","",IF(IFERROR(VLOOKUP($F103,'维度字典'!$M$2:$N$50,2,0),"求和")="手工录入","",IF(IFERROR(VLOOKUP($F103,'维度字典'!$M$2:$N$50,2,0),"求和")="最新值",IFERROR(LOOKUP(9.99E+307,G103:R103),""),SUM(G103:R103))))</f>
        <v/>
      </c>
      <c r="T103" s="33" t="n"/>
    </row>
    <row r="104">
      <c r="A104" s="26">
        <f>IF($B104="","",ROW()-3)</f>
        <v/>
      </c>
      <c r="B104" s="27" t="n"/>
      <c r="C104" s="27" t="n"/>
      <c r="D104" s="28" t="n"/>
      <c r="E104" s="29" t="n"/>
      <c r="F104" s="30" t="n"/>
      <c r="G104" s="31" t="n"/>
      <c r="H104" s="31" t="n"/>
      <c r="I104" s="31" t="n"/>
      <c r="J104" s="31" t="n"/>
      <c r="K104" s="31" t="n"/>
      <c r="L104" s="31" t="n"/>
      <c r="M104" s="31" t="n"/>
      <c r="N104" s="31" t="n"/>
      <c r="O104" s="31" t="n"/>
      <c r="P104" s="31" t="n"/>
      <c r="Q104" s="31" t="n"/>
      <c r="R104" s="31" t="n"/>
      <c r="S104" s="32">
        <f>IF($F104="","",IF(IFERROR(VLOOKUP($F104,'维度字典'!$M$2:$N$50,2,0),"求和")="手工录入","",IF(IFERROR(VLOOKUP($F104,'维度字典'!$M$2:$N$50,2,0),"求和")="最新值",IFERROR(LOOKUP(9.99E+307,G104:R104),""),SUM(G104:R104))))</f>
        <v/>
      </c>
      <c r="T104" s="33" t="n"/>
    </row>
    <row r="105">
      <c r="A105" s="26">
        <f>IF($B105="","",ROW()-3)</f>
        <v/>
      </c>
      <c r="B105" s="27" t="n"/>
      <c r="C105" s="27" t="n"/>
      <c r="D105" s="28" t="n"/>
      <c r="E105" s="29" t="n"/>
      <c r="F105" s="30" t="n"/>
      <c r="G105" s="31" t="n"/>
      <c r="H105" s="31" t="n"/>
      <c r="I105" s="31" t="n"/>
      <c r="J105" s="31" t="n"/>
      <c r="K105" s="31" t="n"/>
      <c r="L105" s="31" t="n"/>
      <c r="M105" s="31" t="n"/>
      <c r="N105" s="31" t="n"/>
      <c r="O105" s="31" t="n"/>
      <c r="P105" s="31" t="n"/>
      <c r="Q105" s="31" t="n"/>
      <c r="R105" s="31" t="n"/>
      <c r="S105" s="32">
        <f>IF($F105="","",IF(IFERROR(VLOOKUP($F105,'维度字典'!$M$2:$N$50,2,0),"求和")="手工录入","",IF(IFERROR(VLOOKUP($F105,'维度字典'!$M$2:$N$50,2,0),"求和")="最新值",IFERROR(LOOKUP(9.99E+307,G105:R105),""),SUM(G105:R105))))</f>
        <v/>
      </c>
      <c r="T105" s="33" t="n"/>
    </row>
    <row r="106">
      <c r="A106" s="26">
        <f>IF($B106="","",ROW()-3)</f>
        <v/>
      </c>
      <c r="B106" s="27" t="n"/>
      <c r="C106" s="27" t="n"/>
      <c r="D106" s="28" t="n"/>
      <c r="E106" s="29" t="n"/>
      <c r="F106" s="30" t="n"/>
      <c r="G106" s="31" t="n"/>
      <c r="H106" s="31" t="n"/>
      <c r="I106" s="31" t="n"/>
      <c r="J106" s="31" t="n"/>
      <c r="K106" s="31" t="n"/>
      <c r="L106" s="31" t="n"/>
      <c r="M106" s="31" t="n"/>
      <c r="N106" s="31" t="n"/>
      <c r="O106" s="31" t="n"/>
      <c r="P106" s="31" t="n"/>
      <c r="Q106" s="31" t="n"/>
      <c r="R106" s="31" t="n"/>
      <c r="S106" s="32">
        <f>IF($F106="","",IF(IFERROR(VLOOKUP($F106,'维度字典'!$M$2:$N$50,2,0),"求和")="手工录入","",IF(IFERROR(VLOOKUP($F106,'维度字典'!$M$2:$N$50,2,0),"求和")="最新值",IFERROR(LOOKUP(9.99E+307,G106:R106),""),SUM(G106:R106))))</f>
        <v/>
      </c>
      <c r="T106" s="33" t="n"/>
    </row>
    <row r="107">
      <c r="A107" s="26">
        <f>IF($B107="","",ROW()-3)</f>
        <v/>
      </c>
      <c r="B107" s="27" t="n"/>
      <c r="C107" s="27" t="n"/>
      <c r="D107" s="28" t="n"/>
      <c r="E107" s="29" t="n"/>
      <c r="F107" s="30" t="n"/>
      <c r="G107" s="31" t="n"/>
      <c r="H107" s="31" t="n"/>
      <c r="I107" s="31" t="n"/>
      <c r="J107" s="31" t="n"/>
      <c r="K107" s="31" t="n"/>
      <c r="L107" s="31" t="n"/>
      <c r="M107" s="31" t="n"/>
      <c r="N107" s="31" t="n"/>
      <c r="O107" s="31" t="n"/>
      <c r="P107" s="31" t="n"/>
      <c r="Q107" s="31" t="n"/>
      <c r="R107" s="31" t="n"/>
      <c r="S107" s="32">
        <f>IF($F107="","",IF(IFERROR(VLOOKUP($F107,'维度字典'!$M$2:$N$50,2,0),"求和")="手工录入","",IF(IFERROR(VLOOKUP($F107,'维度字典'!$M$2:$N$50,2,0),"求和")="最新值",IFERROR(LOOKUP(9.99E+307,G107:R107),""),SUM(G107:R107))))</f>
        <v/>
      </c>
      <c r="T107" s="33" t="n"/>
    </row>
    <row r="108">
      <c r="A108" s="26">
        <f>IF($B108="","",ROW()-3)</f>
        <v/>
      </c>
      <c r="B108" s="27" t="n"/>
      <c r="C108" s="27" t="n"/>
      <c r="D108" s="28" t="n"/>
      <c r="E108" s="29" t="n"/>
      <c r="F108" s="30" t="n"/>
      <c r="G108" s="31" t="n"/>
      <c r="H108" s="31" t="n"/>
      <c r="I108" s="31" t="n"/>
      <c r="J108" s="31" t="n"/>
      <c r="K108" s="31" t="n"/>
      <c r="L108" s="31" t="n"/>
      <c r="M108" s="31" t="n"/>
      <c r="N108" s="31" t="n"/>
      <c r="O108" s="31" t="n"/>
      <c r="P108" s="31" t="n"/>
      <c r="Q108" s="31" t="n"/>
      <c r="R108" s="31" t="n"/>
      <c r="S108" s="32">
        <f>IF($F108="","",IF(IFERROR(VLOOKUP($F108,'维度字典'!$M$2:$N$50,2,0),"求和")="手工录入","",IF(IFERROR(VLOOKUP($F108,'维度字典'!$M$2:$N$50,2,0),"求和")="最新值",IFERROR(LOOKUP(9.99E+307,G108:R108),""),SUM(G108:R108))))</f>
        <v/>
      </c>
      <c r="T108" s="33" t="n"/>
    </row>
    <row r="109">
      <c r="A109" s="26">
        <f>IF($B109="","",ROW()-3)</f>
        <v/>
      </c>
      <c r="B109" s="27" t="n"/>
      <c r="C109" s="27" t="n"/>
      <c r="D109" s="28" t="n"/>
      <c r="E109" s="29" t="n"/>
      <c r="F109" s="30" t="n"/>
      <c r="G109" s="31" t="n"/>
      <c r="H109" s="31" t="n"/>
      <c r="I109" s="31" t="n"/>
      <c r="J109" s="31" t="n"/>
      <c r="K109" s="31" t="n"/>
      <c r="L109" s="31" t="n"/>
      <c r="M109" s="31" t="n"/>
      <c r="N109" s="31" t="n"/>
      <c r="O109" s="31" t="n"/>
      <c r="P109" s="31" t="n"/>
      <c r="Q109" s="31" t="n"/>
      <c r="R109" s="31" t="n"/>
      <c r="S109" s="32">
        <f>IF($F109="","",IF(IFERROR(VLOOKUP($F109,'维度字典'!$M$2:$N$50,2,0),"求和")="手工录入","",IF(IFERROR(VLOOKUP($F109,'维度字典'!$M$2:$N$50,2,0),"求和")="最新值",IFERROR(LOOKUP(9.99E+307,G109:R109),""),SUM(G109:R109))))</f>
        <v/>
      </c>
      <c r="T109" s="33" t="n"/>
    </row>
    <row r="110">
      <c r="A110" s="26">
        <f>IF($B110="","",ROW()-3)</f>
        <v/>
      </c>
      <c r="B110" s="27" t="n"/>
      <c r="C110" s="27" t="n"/>
      <c r="D110" s="28" t="n"/>
      <c r="E110" s="29" t="n"/>
      <c r="F110" s="30" t="n"/>
      <c r="G110" s="31" t="n"/>
      <c r="H110" s="31" t="n"/>
      <c r="I110" s="31" t="n"/>
      <c r="J110" s="31" t="n"/>
      <c r="K110" s="31" t="n"/>
      <c r="L110" s="31" t="n"/>
      <c r="M110" s="31" t="n"/>
      <c r="N110" s="31" t="n"/>
      <c r="O110" s="31" t="n"/>
      <c r="P110" s="31" t="n"/>
      <c r="Q110" s="31" t="n"/>
      <c r="R110" s="31" t="n"/>
      <c r="S110" s="32">
        <f>IF($F110="","",IF(IFERROR(VLOOKUP($F110,'维度字典'!$M$2:$N$50,2,0),"求和")="手工录入","",IF(IFERROR(VLOOKUP($F110,'维度字典'!$M$2:$N$50,2,0),"求和")="最新值",IFERROR(LOOKUP(9.99E+307,G110:R110),""),SUM(G110:R110))))</f>
        <v/>
      </c>
      <c r="T110" s="33" t="n"/>
    </row>
    <row r="111">
      <c r="A111" s="26">
        <f>IF($B111="","",ROW()-3)</f>
        <v/>
      </c>
      <c r="B111" s="27" t="n"/>
      <c r="C111" s="27" t="n"/>
      <c r="D111" s="28" t="n"/>
      <c r="E111" s="29" t="n"/>
      <c r="F111" s="30" t="n"/>
      <c r="G111" s="31" t="n"/>
      <c r="H111" s="31" t="n"/>
      <c r="I111" s="31" t="n"/>
      <c r="J111" s="31" t="n"/>
      <c r="K111" s="31" t="n"/>
      <c r="L111" s="31" t="n"/>
      <c r="M111" s="31" t="n"/>
      <c r="N111" s="31" t="n"/>
      <c r="O111" s="31" t="n"/>
      <c r="P111" s="31" t="n"/>
      <c r="Q111" s="31" t="n"/>
      <c r="R111" s="31" t="n"/>
      <c r="S111" s="32">
        <f>IF($F111="","",IF(IFERROR(VLOOKUP($F111,'维度字典'!$M$2:$N$50,2,0),"求和")="手工录入","",IF(IFERROR(VLOOKUP($F111,'维度字典'!$M$2:$N$50,2,0),"求和")="最新值",IFERROR(LOOKUP(9.99E+307,G111:R111),""),SUM(G111:R111))))</f>
        <v/>
      </c>
      <c r="T111" s="33" t="n"/>
    </row>
    <row r="112">
      <c r="A112" s="26">
        <f>IF($B112="","",ROW()-3)</f>
        <v/>
      </c>
      <c r="B112" s="27" t="n"/>
      <c r="C112" s="27" t="n"/>
      <c r="D112" s="28" t="n"/>
      <c r="E112" s="29" t="n"/>
      <c r="F112" s="30" t="n"/>
      <c r="G112" s="31" t="n"/>
      <c r="H112" s="31" t="n"/>
      <c r="I112" s="31" t="n"/>
      <c r="J112" s="31" t="n"/>
      <c r="K112" s="31" t="n"/>
      <c r="L112" s="31" t="n"/>
      <c r="M112" s="31" t="n"/>
      <c r="N112" s="31" t="n"/>
      <c r="O112" s="31" t="n"/>
      <c r="P112" s="31" t="n"/>
      <c r="Q112" s="31" t="n"/>
      <c r="R112" s="31" t="n"/>
      <c r="S112" s="32">
        <f>IF($F112="","",IF(IFERROR(VLOOKUP($F112,'维度字典'!$M$2:$N$50,2,0),"求和")="手工录入","",IF(IFERROR(VLOOKUP($F112,'维度字典'!$M$2:$N$50,2,0),"求和")="最新值",IFERROR(LOOKUP(9.99E+307,G112:R112),""),SUM(G112:R112))))</f>
        <v/>
      </c>
      <c r="T112" s="33" t="n"/>
    </row>
    <row r="113">
      <c r="A113" s="26">
        <f>IF($B113="","",ROW()-3)</f>
        <v/>
      </c>
      <c r="B113" s="27" t="n"/>
      <c r="C113" s="27" t="n"/>
      <c r="D113" s="28" t="n"/>
      <c r="E113" s="29" t="n"/>
      <c r="F113" s="30" t="n"/>
      <c r="G113" s="31" t="n"/>
      <c r="H113" s="31" t="n"/>
      <c r="I113" s="31" t="n"/>
      <c r="J113" s="31" t="n"/>
      <c r="K113" s="31" t="n"/>
      <c r="L113" s="31" t="n"/>
      <c r="M113" s="31" t="n"/>
      <c r="N113" s="31" t="n"/>
      <c r="O113" s="31" t="n"/>
      <c r="P113" s="31" t="n"/>
      <c r="Q113" s="31" t="n"/>
      <c r="R113" s="31" t="n"/>
      <c r="S113" s="32">
        <f>IF($F113="","",IF(IFERROR(VLOOKUP($F113,'维度字典'!$M$2:$N$50,2,0),"求和")="手工录入","",IF(IFERROR(VLOOKUP($F113,'维度字典'!$M$2:$N$50,2,0),"求和")="最新值",IFERROR(LOOKUP(9.99E+307,G113:R113),""),SUM(G113:R113))))</f>
        <v/>
      </c>
      <c r="T113" s="33" t="n"/>
    </row>
    <row r="114">
      <c r="A114" s="26">
        <f>IF($B114="","",ROW()-3)</f>
        <v/>
      </c>
      <c r="B114" s="27" t="n"/>
      <c r="C114" s="27" t="n"/>
      <c r="D114" s="28" t="n"/>
      <c r="E114" s="29" t="n"/>
      <c r="F114" s="30" t="n"/>
      <c r="G114" s="31" t="n"/>
      <c r="H114" s="31" t="n"/>
      <c r="I114" s="31" t="n"/>
      <c r="J114" s="31" t="n"/>
      <c r="K114" s="31" t="n"/>
      <c r="L114" s="31" t="n"/>
      <c r="M114" s="31" t="n"/>
      <c r="N114" s="31" t="n"/>
      <c r="O114" s="31" t="n"/>
      <c r="P114" s="31" t="n"/>
      <c r="Q114" s="31" t="n"/>
      <c r="R114" s="31" t="n"/>
      <c r="S114" s="32">
        <f>IF($F114="","",IF(IFERROR(VLOOKUP($F114,'维度字典'!$M$2:$N$50,2,0),"求和")="手工录入","",IF(IFERROR(VLOOKUP($F114,'维度字典'!$M$2:$N$50,2,0),"求和")="最新值",IFERROR(LOOKUP(9.99E+307,G114:R114),""),SUM(G114:R114))))</f>
        <v/>
      </c>
      <c r="T114" s="33" t="n"/>
    </row>
    <row r="115">
      <c r="A115" s="26">
        <f>IF($B115="","",ROW()-3)</f>
        <v/>
      </c>
      <c r="B115" s="27" t="n"/>
      <c r="C115" s="27" t="n"/>
      <c r="D115" s="28" t="n"/>
      <c r="E115" s="29" t="n"/>
      <c r="F115" s="30" t="n"/>
      <c r="G115" s="31" t="n"/>
      <c r="H115" s="31" t="n"/>
      <c r="I115" s="31" t="n"/>
      <c r="J115" s="31" t="n"/>
      <c r="K115" s="31" t="n"/>
      <c r="L115" s="31" t="n"/>
      <c r="M115" s="31" t="n"/>
      <c r="N115" s="31" t="n"/>
      <c r="O115" s="31" t="n"/>
      <c r="P115" s="31" t="n"/>
      <c r="Q115" s="31" t="n"/>
      <c r="R115" s="31" t="n"/>
      <c r="S115" s="32">
        <f>IF($F115="","",IF(IFERROR(VLOOKUP($F115,'维度字典'!$M$2:$N$50,2,0),"求和")="手工录入","",IF(IFERROR(VLOOKUP($F115,'维度字典'!$M$2:$N$50,2,0),"求和")="最新值",IFERROR(LOOKUP(9.99E+307,G115:R115),""),SUM(G115:R115))))</f>
        <v/>
      </c>
      <c r="T115" s="33" t="n"/>
    </row>
    <row r="116">
      <c r="A116" s="26">
        <f>IF($B116="","",ROW()-3)</f>
        <v/>
      </c>
      <c r="B116" s="27" t="n"/>
      <c r="C116" s="27" t="n"/>
      <c r="D116" s="28" t="n"/>
      <c r="E116" s="29" t="n"/>
      <c r="F116" s="30" t="n"/>
      <c r="G116" s="31" t="n"/>
      <c r="H116" s="31" t="n"/>
      <c r="I116" s="31" t="n"/>
      <c r="J116" s="31" t="n"/>
      <c r="K116" s="31" t="n"/>
      <c r="L116" s="31" t="n"/>
      <c r="M116" s="31" t="n"/>
      <c r="N116" s="31" t="n"/>
      <c r="O116" s="31" t="n"/>
      <c r="P116" s="31" t="n"/>
      <c r="Q116" s="31" t="n"/>
      <c r="R116" s="31" t="n"/>
      <c r="S116" s="32">
        <f>IF($F116="","",IF(IFERROR(VLOOKUP($F116,'维度字典'!$M$2:$N$50,2,0),"求和")="手工录入","",IF(IFERROR(VLOOKUP($F116,'维度字典'!$M$2:$N$50,2,0),"求和")="最新值",IFERROR(LOOKUP(9.99E+307,G116:R116),""),SUM(G116:R116))))</f>
        <v/>
      </c>
      <c r="T116" s="33" t="n"/>
    </row>
    <row r="117">
      <c r="A117" s="26">
        <f>IF($B117="","",ROW()-3)</f>
        <v/>
      </c>
      <c r="B117" s="27" t="n"/>
      <c r="C117" s="27" t="n"/>
      <c r="D117" s="28" t="n"/>
      <c r="E117" s="29" t="n"/>
      <c r="F117" s="30" t="n"/>
      <c r="G117" s="31" t="n"/>
      <c r="H117" s="31" t="n"/>
      <c r="I117" s="31" t="n"/>
      <c r="J117" s="31" t="n"/>
      <c r="K117" s="31" t="n"/>
      <c r="L117" s="31" t="n"/>
      <c r="M117" s="31" t="n"/>
      <c r="N117" s="31" t="n"/>
      <c r="O117" s="31" t="n"/>
      <c r="P117" s="31" t="n"/>
      <c r="Q117" s="31" t="n"/>
      <c r="R117" s="31" t="n"/>
      <c r="S117" s="32">
        <f>IF($F117="","",IF(IFERROR(VLOOKUP($F117,'维度字典'!$M$2:$N$50,2,0),"求和")="手工录入","",IF(IFERROR(VLOOKUP($F117,'维度字典'!$M$2:$N$50,2,0),"求和")="最新值",IFERROR(LOOKUP(9.99E+307,G117:R117),""),SUM(G117:R117))))</f>
        <v/>
      </c>
      <c r="T117" s="33" t="n"/>
    </row>
    <row r="118">
      <c r="A118" s="26">
        <f>IF($B118="","",ROW()-3)</f>
        <v/>
      </c>
      <c r="B118" s="27" t="n"/>
      <c r="C118" s="27" t="n"/>
      <c r="D118" s="28" t="n"/>
      <c r="E118" s="29" t="n"/>
      <c r="F118" s="30" t="n"/>
      <c r="G118" s="31" t="n"/>
      <c r="H118" s="31" t="n"/>
      <c r="I118" s="31" t="n"/>
      <c r="J118" s="31" t="n"/>
      <c r="K118" s="31" t="n"/>
      <c r="L118" s="31" t="n"/>
      <c r="M118" s="31" t="n"/>
      <c r="N118" s="31" t="n"/>
      <c r="O118" s="31" t="n"/>
      <c r="P118" s="31" t="n"/>
      <c r="Q118" s="31" t="n"/>
      <c r="R118" s="31" t="n"/>
      <c r="S118" s="32">
        <f>IF($F118="","",IF(IFERROR(VLOOKUP($F118,'维度字典'!$M$2:$N$50,2,0),"求和")="手工录入","",IF(IFERROR(VLOOKUP($F118,'维度字典'!$M$2:$N$50,2,0),"求和")="最新值",IFERROR(LOOKUP(9.99E+307,G118:R118),""),SUM(G118:R118))))</f>
        <v/>
      </c>
      <c r="T118" s="33" t="n"/>
    </row>
    <row r="119">
      <c r="A119" s="26">
        <f>IF($B119="","",ROW()-3)</f>
        <v/>
      </c>
      <c r="B119" s="27" t="n"/>
      <c r="C119" s="27" t="n"/>
      <c r="D119" s="28" t="n"/>
      <c r="E119" s="29" t="n"/>
      <c r="F119" s="30" t="n"/>
      <c r="G119" s="31" t="n"/>
      <c r="H119" s="31" t="n"/>
      <c r="I119" s="31" t="n"/>
      <c r="J119" s="31" t="n"/>
      <c r="K119" s="31" t="n"/>
      <c r="L119" s="31" t="n"/>
      <c r="M119" s="31" t="n"/>
      <c r="N119" s="31" t="n"/>
      <c r="O119" s="31" t="n"/>
      <c r="P119" s="31" t="n"/>
      <c r="Q119" s="31" t="n"/>
      <c r="R119" s="31" t="n"/>
      <c r="S119" s="32">
        <f>IF($F119="","",IF(IFERROR(VLOOKUP($F119,'维度字典'!$M$2:$N$50,2,0),"求和")="手工录入","",IF(IFERROR(VLOOKUP($F119,'维度字典'!$M$2:$N$50,2,0),"求和")="最新值",IFERROR(LOOKUP(9.99E+307,G119:R119),""),SUM(G119:R119))))</f>
        <v/>
      </c>
      <c r="T119" s="33" t="n"/>
    </row>
    <row r="120">
      <c r="A120" s="26">
        <f>IF($B120="","",ROW()-3)</f>
        <v/>
      </c>
      <c r="B120" s="27" t="n"/>
      <c r="C120" s="27" t="n"/>
      <c r="D120" s="28" t="n"/>
      <c r="E120" s="29" t="n"/>
      <c r="F120" s="30" t="n"/>
      <c r="G120" s="31" t="n"/>
      <c r="H120" s="31" t="n"/>
      <c r="I120" s="31" t="n"/>
      <c r="J120" s="31" t="n"/>
      <c r="K120" s="31" t="n"/>
      <c r="L120" s="31" t="n"/>
      <c r="M120" s="31" t="n"/>
      <c r="N120" s="31" t="n"/>
      <c r="O120" s="31" t="n"/>
      <c r="P120" s="31" t="n"/>
      <c r="Q120" s="31" t="n"/>
      <c r="R120" s="31" t="n"/>
      <c r="S120" s="32">
        <f>IF($F120="","",IF(IFERROR(VLOOKUP($F120,'维度字典'!$M$2:$N$50,2,0),"求和")="手工录入","",IF(IFERROR(VLOOKUP($F120,'维度字典'!$M$2:$N$50,2,0),"求和")="最新值",IFERROR(LOOKUP(9.99E+307,G120:R120),""),SUM(G120:R120))))</f>
        <v/>
      </c>
      <c r="T120" s="33" t="n"/>
    </row>
    <row r="121">
      <c r="A121" s="26">
        <f>IF($B121="","",ROW()-3)</f>
        <v/>
      </c>
      <c r="B121" s="27" t="n"/>
      <c r="C121" s="27" t="n"/>
      <c r="D121" s="28" t="n"/>
      <c r="E121" s="29" t="n"/>
      <c r="F121" s="30" t="n"/>
      <c r="G121" s="31" t="n"/>
      <c r="H121" s="31" t="n"/>
      <c r="I121" s="31" t="n"/>
      <c r="J121" s="31" t="n"/>
      <c r="K121" s="31" t="n"/>
      <c r="L121" s="31" t="n"/>
      <c r="M121" s="31" t="n"/>
      <c r="N121" s="31" t="n"/>
      <c r="O121" s="31" t="n"/>
      <c r="P121" s="31" t="n"/>
      <c r="Q121" s="31" t="n"/>
      <c r="R121" s="31" t="n"/>
      <c r="S121" s="32">
        <f>IF($F121="","",IF(IFERROR(VLOOKUP($F121,'维度字典'!$M$2:$N$50,2,0),"求和")="手工录入","",IF(IFERROR(VLOOKUP($F121,'维度字典'!$M$2:$N$50,2,0),"求和")="最新值",IFERROR(LOOKUP(9.99E+307,G121:R121),""),SUM(G121:R121))))</f>
        <v/>
      </c>
      <c r="T121" s="33" t="n"/>
    </row>
    <row r="122">
      <c r="A122" s="26">
        <f>IF($B122="","",ROW()-3)</f>
        <v/>
      </c>
      <c r="B122" s="27" t="n"/>
      <c r="C122" s="27" t="n"/>
      <c r="D122" s="28" t="n"/>
      <c r="E122" s="29" t="n"/>
      <c r="F122" s="30" t="n"/>
      <c r="G122" s="31" t="n"/>
      <c r="H122" s="31" t="n"/>
      <c r="I122" s="31" t="n"/>
      <c r="J122" s="31" t="n"/>
      <c r="K122" s="31" t="n"/>
      <c r="L122" s="31" t="n"/>
      <c r="M122" s="31" t="n"/>
      <c r="N122" s="31" t="n"/>
      <c r="O122" s="31" t="n"/>
      <c r="P122" s="31" t="n"/>
      <c r="Q122" s="31" t="n"/>
      <c r="R122" s="31" t="n"/>
      <c r="S122" s="32">
        <f>IF($F122="","",IF(IFERROR(VLOOKUP($F122,'维度字典'!$M$2:$N$50,2,0),"求和")="手工录入","",IF(IFERROR(VLOOKUP($F122,'维度字典'!$M$2:$N$50,2,0),"求和")="最新值",IFERROR(LOOKUP(9.99E+307,G122:R122),""),SUM(G122:R122))))</f>
        <v/>
      </c>
      <c r="T122" s="33" t="n"/>
    </row>
    <row r="123">
      <c r="A123" s="26">
        <f>IF($B123="","",ROW()-3)</f>
        <v/>
      </c>
      <c r="B123" s="27" t="n"/>
      <c r="C123" s="27" t="n"/>
      <c r="D123" s="28" t="n"/>
      <c r="E123" s="29" t="n"/>
      <c r="F123" s="30" t="n"/>
      <c r="G123" s="31" t="n"/>
      <c r="H123" s="31" t="n"/>
      <c r="I123" s="31" t="n"/>
      <c r="J123" s="31" t="n"/>
      <c r="K123" s="31" t="n"/>
      <c r="L123" s="31" t="n"/>
      <c r="M123" s="31" t="n"/>
      <c r="N123" s="31" t="n"/>
      <c r="O123" s="31" t="n"/>
      <c r="P123" s="31" t="n"/>
      <c r="Q123" s="31" t="n"/>
      <c r="R123" s="31" t="n"/>
      <c r="S123" s="32">
        <f>IF($F123="","",IF(IFERROR(VLOOKUP($F123,'维度字典'!$M$2:$N$50,2,0),"求和")="手工录入","",IF(IFERROR(VLOOKUP($F123,'维度字典'!$M$2:$N$50,2,0),"求和")="最新值",IFERROR(LOOKUP(9.99E+307,G123:R123),""),SUM(G123:R123))))</f>
        <v/>
      </c>
      <c r="T123" s="33" t="n"/>
    </row>
    <row r="124">
      <c r="A124" s="26">
        <f>IF($B124="","",ROW()-3)</f>
        <v/>
      </c>
      <c r="B124" s="27" t="n"/>
      <c r="C124" s="27" t="n"/>
      <c r="D124" s="28" t="n"/>
      <c r="E124" s="29" t="n"/>
      <c r="F124" s="30" t="n"/>
      <c r="G124" s="31" t="n"/>
      <c r="H124" s="31" t="n"/>
      <c r="I124" s="31" t="n"/>
      <c r="J124" s="31" t="n"/>
      <c r="K124" s="31" t="n"/>
      <c r="L124" s="31" t="n"/>
      <c r="M124" s="31" t="n"/>
      <c r="N124" s="31" t="n"/>
      <c r="O124" s="31" t="n"/>
      <c r="P124" s="31" t="n"/>
      <c r="Q124" s="31" t="n"/>
      <c r="R124" s="31" t="n"/>
      <c r="S124" s="32">
        <f>IF($F124="","",IF(IFERROR(VLOOKUP($F124,'维度字典'!$M$2:$N$50,2,0),"求和")="手工录入","",IF(IFERROR(VLOOKUP($F124,'维度字典'!$M$2:$N$50,2,0),"求和")="最新值",IFERROR(LOOKUP(9.99E+307,G124:R124),""),SUM(G124:R124))))</f>
        <v/>
      </c>
      <c r="T124" s="33" t="n"/>
    </row>
    <row r="125">
      <c r="A125" s="26">
        <f>IF($B125="","",ROW()-3)</f>
        <v/>
      </c>
      <c r="B125" s="27" t="n"/>
      <c r="C125" s="27" t="n"/>
      <c r="D125" s="28" t="n"/>
      <c r="E125" s="29" t="n"/>
      <c r="F125" s="30" t="n"/>
      <c r="G125" s="31" t="n"/>
      <c r="H125" s="31" t="n"/>
      <c r="I125" s="31" t="n"/>
      <c r="J125" s="31" t="n"/>
      <c r="K125" s="31" t="n"/>
      <c r="L125" s="31" t="n"/>
      <c r="M125" s="31" t="n"/>
      <c r="N125" s="31" t="n"/>
      <c r="O125" s="31" t="n"/>
      <c r="P125" s="31" t="n"/>
      <c r="Q125" s="31" t="n"/>
      <c r="R125" s="31" t="n"/>
      <c r="S125" s="32">
        <f>IF($F125="","",IF(IFERROR(VLOOKUP($F125,'维度字典'!$M$2:$N$50,2,0),"求和")="手工录入","",IF(IFERROR(VLOOKUP($F125,'维度字典'!$M$2:$N$50,2,0),"求和")="最新值",IFERROR(LOOKUP(9.99E+307,G125:R125),""),SUM(G125:R125))))</f>
        <v/>
      </c>
      <c r="T125" s="33" t="n"/>
    </row>
    <row r="126">
      <c r="A126" s="26">
        <f>IF($B126="","",ROW()-3)</f>
        <v/>
      </c>
      <c r="B126" s="27" t="n"/>
      <c r="C126" s="27" t="n"/>
      <c r="D126" s="28" t="n"/>
      <c r="E126" s="29" t="n"/>
      <c r="F126" s="30" t="n"/>
      <c r="G126" s="31" t="n"/>
      <c r="H126" s="31" t="n"/>
      <c r="I126" s="31" t="n"/>
      <c r="J126" s="31" t="n"/>
      <c r="K126" s="31" t="n"/>
      <c r="L126" s="31" t="n"/>
      <c r="M126" s="31" t="n"/>
      <c r="N126" s="31" t="n"/>
      <c r="O126" s="31" t="n"/>
      <c r="P126" s="31" t="n"/>
      <c r="Q126" s="31" t="n"/>
      <c r="R126" s="31" t="n"/>
      <c r="S126" s="32">
        <f>IF($F126="","",IF(IFERROR(VLOOKUP($F126,'维度字典'!$M$2:$N$50,2,0),"求和")="手工录入","",IF(IFERROR(VLOOKUP($F126,'维度字典'!$M$2:$N$50,2,0),"求和")="最新值",IFERROR(LOOKUP(9.99E+307,G126:R126),""),SUM(G126:R126))))</f>
        <v/>
      </c>
      <c r="T126" s="33" t="n"/>
    </row>
    <row r="127">
      <c r="A127" s="26">
        <f>IF($B127="","",ROW()-3)</f>
        <v/>
      </c>
      <c r="B127" s="27" t="n"/>
      <c r="C127" s="27" t="n"/>
      <c r="D127" s="28" t="n"/>
      <c r="E127" s="29" t="n"/>
      <c r="F127" s="30" t="n"/>
      <c r="G127" s="31" t="n"/>
      <c r="H127" s="31" t="n"/>
      <c r="I127" s="31" t="n"/>
      <c r="J127" s="31" t="n"/>
      <c r="K127" s="31" t="n"/>
      <c r="L127" s="31" t="n"/>
      <c r="M127" s="31" t="n"/>
      <c r="N127" s="31" t="n"/>
      <c r="O127" s="31" t="n"/>
      <c r="P127" s="31" t="n"/>
      <c r="Q127" s="31" t="n"/>
      <c r="R127" s="31" t="n"/>
      <c r="S127" s="32">
        <f>IF($F127="","",IF(IFERROR(VLOOKUP($F127,'维度字典'!$M$2:$N$50,2,0),"求和")="手工录入","",IF(IFERROR(VLOOKUP($F127,'维度字典'!$M$2:$N$50,2,0),"求和")="最新值",IFERROR(LOOKUP(9.99E+307,G127:R127),""),SUM(G127:R127))))</f>
        <v/>
      </c>
      <c r="T127" s="33" t="n"/>
    </row>
    <row r="128">
      <c r="A128" s="26">
        <f>IF($B128="","",ROW()-3)</f>
        <v/>
      </c>
      <c r="B128" s="27" t="n"/>
      <c r="C128" s="27" t="n"/>
      <c r="D128" s="28" t="n"/>
      <c r="E128" s="29" t="n"/>
      <c r="F128" s="30" t="n"/>
      <c r="G128" s="31" t="n"/>
      <c r="H128" s="31" t="n"/>
      <c r="I128" s="31" t="n"/>
      <c r="J128" s="31" t="n"/>
      <c r="K128" s="31" t="n"/>
      <c r="L128" s="31" t="n"/>
      <c r="M128" s="31" t="n"/>
      <c r="N128" s="31" t="n"/>
      <c r="O128" s="31" t="n"/>
      <c r="P128" s="31" t="n"/>
      <c r="Q128" s="31" t="n"/>
      <c r="R128" s="31" t="n"/>
      <c r="S128" s="32">
        <f>IF($F128="","",IF(IFERROR(VLOOKUP($F128,'维度字典'!$M$2:$N$50,2,0),"求和")="手工录入","",IF(IFERROR(VLOOKUP($F128,'维度字典'!$M$2:$N$50,2,0),"求和")="最新值",IFERROR(LOOKUP(9.99E+307,G128:R128),""),SUM(G128:R128))))</f>
        <v/>
      </c>
      <c r="T128" s="33" t="n"/>
    </row>
    <row r="129">
      <c r="A129" s="26">
        <f>IF($B129="","",ROW()-3)</f>
        <v/>
      </c>
      <c r="B129" s="27" t="n"/>
      <c r="C129" s="27" t="n"/>
      <c r="D129" s="28" t="n"/>
      <c r="E129" s="29" t="n"/>
      <c r="F129" s="30" t="n"/>
      <c r="G129" s="31" t="n"/>
      <c r="H129" s="31" t="n"/>
      <c r="I129" s="31" t="n"/>
      <c r="J129" s="31" t="n"/>
      <c r="K129" s="31" t="n"/>
      <c r="L129" s="31" t="n"/>
      <c r="M129" s="31" t="n"/>
      <c r="N129" s="31" t="n"/>
      <c r="O129" s="31" t="n"/>
      <c r="P129" s="31" t="n"/>
      <c r="Q129" s="31" t="n"/>
      <c r="R129" s="31" t="n"/>
      <c r="S129" s="32">
        <f>IF($F129="","",IF(IFERROR(VLOOKUP($F129,'维度字典'!$M$2:$N$50,2,0),"求和")="手工录入","",IF(IFERROR(VLOOKUP($F129,'维度字典'!$M$2:$N$50,2,0),"求和")="最新值",IFERROR(LOOKUP(9.99E+307,G129:R129),""),SUM(G129:R129))))</f>
        <v/>
      </c>
      <c r="T129" s="33" t="n"/>
    </row>
    <row r="130">
      <c r="A130" s="26">
        <f>IF($B130="","",ROW()-3)</f>
        <v/>
      </c>
      <c r="B130" s="27" t="n"/>
      <c r="C130" s="27" t="n"/>
      <c r="D130" s="28" t="n"/>
      <c r="E130" s="29" t="n"/>
      <c r="F130" s="30" t="n"/>
      <c r="G130" s="31" t="n"/>
      <c r="H130" s="31" t="n"/>
      <c r="I130" s="31" t="n"/>
      <c r="J130" s="31" t="n"/>
      <c r="K130" s="31" t="n"/>
      <c r="L130" s="31" t="n"/>
      <c r="M130" s="31" t="n"/>
      <c r="N130" s="31" t="n"/>
      <c r="O130" s="31" t="n"/>
      <c r="P130" s="31" t="n"/>
      <c r="Q130" s="31" t="n"/>
      <c r="R130" s="31" t="n"/>
      <c r="S130" s="32">
        <f>IF($F130="","",IF(IFERROR(VLOOKUP($F130,'维度字典'!$M$2:$N$50,2,0),"求和")="手工录入","",IF(IFERROR(VLOOKUP($F130,'维度字典'!$M$2:$N$50,2,0),"求和")="最新值",IFERROR(LOOKUP(9.99E+307,G130:R130),""),SUM(G130:R130))))</f>
        <v/>
      </c>
      <c r="T130" s="33" t="n"/>
    </row>
    <row r="131">
      <c r="A131" s="26">
        <f>IF($B131="","",ROW()-3)</f>
        <v/>
      </c>
      <c r="B131" s="27" t="n"/>
      <c r="C131" s="27" t="n"/>
      <c r="D131" s="28" t="n"/>
      <c r="E131" s="29" t="n"/>
      <c r="F131" s="30" t="n"/>
      <c r="G131" s="31" t="n"/>
      <c r="H131" s="31" t="n"/>
      <c r="I131" s="31" t="n"/>
      <c r="J131" s="31" t="n"/>
      <c r="K131" s="31" t="n"/>
      <c r="L131" s="31" t="n"/>
      <c r="M131" s="31" t="n"/>
      <c r="N131" s="31" t="n"/>
      <c r="O131" s="31" t="n"/>
      <c r="P131" s="31" t="n"/>
      <c r="Q131" s="31" t="n"/>
      <c r="R131" s="31" t="n"/>
      <c r="S131" s="32">
        <f>IF($F131="","",IF(IFERROR(VLOOKUP($F131,'维度字典'!$M$2:$N$50,2,0),"求和")="手工录入","",IF(IFERROR(VLOOKUP($F131,'维度字典'!$M$2:$N$50,2,0),"求和")="最新值",IFERROR(LOOKUP(9.99E+307,G131:R131),""),SUM(G131:R131))))</f>
        <v/>
      </c>
      <c r="T131" s="33" t="n"/>
    </row>
    <row r="132">
      <c r="A132" s="26">
        <f>IF($B132="","",ROW()-3)</f>
        <v/>
      </c>
      <c r="B132" s="27" t="n"/>
      <c r="C132" s="27" t="n"/>
      <c r="D132" s="28" t="n"/>
      <c r="E132" s="29" t="n"/>
      <c r="F132" s="30" t="n"/>
      <c r="G132" s="31" t="n"/>
      <c r="H132" s="31" t="n"/>
      <c r="I132" s="31" t="n"/>
      <c r="J132" s="31" t="n"/>
      <c r="K132" s="31" t="n"/>
      <c r="L132" s="31" t="n"/>
      <c r="M132" s="31" t="n"/>
      <c r="N132" s="31" t="n"/>
      <c r="O132" s="31" t="n"/>
      <c r="P132" s="31" t="n"/>
      <c r="Q132" s="31" t="n"/>
      <c r="R132" s="31" t="n"/>
      <c r="S132" s="32">
        <f>IF($F132="","",IF(IFERROR(VLOOKUP($F132,'维度字典'!$M$2:$N$50,2,0),"求和")="手工录入","",IF(IFERROR(VLOOKUP($F132,'维度字典'!$M$2:$N$50,2,0),"求和")="最新值",IFERROR(LOOKUP(9.99E+307,G132:R132),""),SUM(G132:R132))))</f>
        <v/>
      </c>
      <c r="T132" s="33" t="n"/>
    </row>
    <row r="133">
      <c r="A133" s="26">
        <f>IF($B133="","",ROW()-3)</f>
        <v/>
      </c>
      <c r="B133" s="27" t="n"/>
      <c r="C133" s="27" t="n"/>
      <c r="D133" s="28" t="n"/>
      <c r="E133" s="29" t="n"/>
      <c r="F133" s="30" t="n"/>
      <c r="G133" s="31" t="n"/>
      <c r="H133" s="31" t="n"/>
      <c r="I133" s="31" t="n"/>
      <c r="J133" s="31" t="n"/>
      <c r="K133" s="31" t="n"/>
      <c r="L133" s="31" t="n"/>
      <c r="M133" s="31" t="n"/>
      <c r="N133" s="31" t="n"/>
      <c r="O133" s="31" t="n"/>
      <c r="P133" s="31" t="n"/>
      <c r="Q133" s="31" t="n"/>
      <c r="R133" s="31" t="n"/>
      <c r="S133" s="32">
        <f>IF($F133="","",IF(IFERROR(VLOOKUP($F133,'维度字典'!$M$2:$N$50,2,0),"求和")="手工录入","",IF(IFERROR(VLOOKUP($F133,'维度字典'!$M$2:$N$50,2,0),"求和")="最新值",IFERROR(LOOKUP(9.99E+307,G133:R133),""),SUM(G133:R133))))</f>
        <v/>
      </c>
      <c r="T133" s="33" t="n"/>
    </row>
    <row r="134">
      <c r="A134" s="26">
        <f>IF($B134="","",ROW()-3)</f>
        <v/>
      </c>
      <c r="B134" s="27" t="n"/>
      <c r="C134" s="27" t="n"/>
      <c r="D134" s="28" t="n"/>
      <c r="E134" s="29" t="n"/>
      <c r="F134" s="30" t="n"/>
      <c r="G134" s="31" t="n"/>
      <c r="H134" s="31" t="n"/>
      <c r="I134" s="31" t="n"/>
      <c r="J134" s="31" t="n"/>
      <c r="K134" s="31" t="n"/>
      <c r="L134" s="31" t="n"/>
      <c r="M134" s="31" t="n"/>
      <c r="N134" s="31" t="n"/>
      <c r="O134" s="31" t="n"/>
      <c r="P134" s="31" t="n"/>
      <c r="Q134" s="31" t="n"/>
      <c r="R134" s="31" t="n"/>
      <c r="S134" s="32">
        <f>IF($F134="","",IF(IFERROR(VLOOKUP($F134,'维度字典'!$M$2:$N$50,2,0),"求和")="手工录入","",IF(IFERROR(VLOOKUP($F134,'维度字典'!$M$2:$N$50,2,0),"求和")="最新值",IFERROR(LOOKUP(9.99E+307,G134:R134),""),SUM(G134:R134))))</f>
        <v/>
      </c>
      <c r="T134" s="33" t="n"/>
    </row>
    <row r="135">
      <c r="A135" s="26">
        <f>IF($B135="","",ROW()-3)</f>
        <v/>
      </c>
      <c r="B135" s="27" t="n"/>
      <c r="C135" s="27" t="n"/>
      <c r="D135" s="28" t="n"/>
      <c r="E135" s="29" t="n"/>
      <c r="F135" s="30" t="n"/>
      <c r="G135" s="31" t="n"/>
      <c r="H135" s="31" t="n"/>
      <c r="I135" s="31" t="n"/>
      <c r="J135" s="31" t="n"/>
      <c r="K135" s="31" t="n"/>
      <c r="L135" s="31" t="n"/>
      <c r="M135" s="31" t="n"/>
      <c r="N135" s="31" t="n"/>
      <c r="O135" s="31" t="n"/>
      <c r="P135" s="31" t="n"/>
      <c r="Q135" s="31" t="n"/>
      <c r="R135" s="31" t="n"/>
      <c r="S135" s="32">
        <f>IF($F135="","",IF(IFERROR(VLOOKUP($F135,'维度字典'!$M$2:$N$50,2,0),"求和")="手工录入","",IF(IFERROR(VLOOKUP($F135,'维度字典'!$M$2:$N$50,2,0),"求和")="最新值",IFERROR(LOOKUP(9.99E+307,G135:R135),""),SUM(G135:R135))))</f>
        <v/>
      </c>
      <c r="T135" s="33" t="n"/>
    </row>
    <row r="136">
      <c r="A136" s="26">
        <f>IF($B136="","",ROW()-3)</f>
        <v/>
      </c>
      <c r="B136" s="27" t="n"/>
      <c r="C136" s="27" t="n"/>
      <c r="D136" s="28" t="n"/>
      <c r="E136" s="29" t="n"/>
      <c r="F136" s="30" t="n"/>
      <c r="G136" s="31" t="n"/>
      <c r="H136" s="31" t="n"/>
      <c r="I136" s="31" t="n"/>
      <c r="J136" s="31" t="n"/>
      <c r="K136" s="31" t="n"/>
      <c r="L136" s="31" t="n"/>
      <c r="M136" s="31" t="n"/>
      <c r="N136" s="31" t="n"/>
      <c r="O136" s="31" t="n"/>
      <c r="P136" s="31" t="n"/>
      <c r="Q136" s="31" t="n"/>
      <c r="R136" s="31" t="n"/>
      <c r="S136" s="32">
        <f>IF($F136="","",IF(IFERROR(VLOOKUP($F136,'维度字典'!$M$2:$N$50,2,0),"求和")="手工录入","",IF(IFERROR(VLOOKUP($F136,'维度字典'!$M$2:$N$50,2,0),"求和")="最新值",IFERROR(LOOKUP(9.99E+307,G136:R136),""),SUM(G136:R136))))</f>
        <v/>
      </c>
      <c r="T136" s="33" t="n"/>
    </row>
    <row r="137">
      <c r="A137" s="26">
        <f>IF($B137="","",ROW()-3)</f>
        <v/>
      </c>
      <c r="B137" s="27" t="n"/>
      <c r="C137" s="27" t="n"/>
      <c r="D137" s="28" t="n"/>
      <c r="E137" s="29" t="n"/>
      <c r="F137" s="30" t="n"/>
      <c r="G137" s="31" t="n"/>
      <c r="H137" s="31" t="n"/>
      <c r="I137" s="31" t="n"/>
      <c r="J137" s="31" t="n"/>
      <c r="K137" s="31" t="n"/>
      <c r="L137" s="31" t="n"/>
      <c r="M137" s="31" t="n"/>
      <c r="N137" s="31" t="n"/>
      <c r="O137" s="31" t="n"/>
      <c r="P137" s="31" t="n"/>
      <c r="Q137" s="31" t="n"/>
      <c r="R137" s="31" t="n"/>
      <c r="S137" s="32">
        <f>IF($F137="","",IF(IFERROR(VLOOKUP($F137,'维度字典'!$M$2:$N$50,2,0),"求和")="手工录入","",IF(IFERROR(VLOOKUP($F137,'维度字典'!$M$2:$N$50,2,0),"求和")="最新值",IFERROR(LOOKUP(9.99E+307,G137:R137),""),SUM(G137:R137))))</f>
        <v/>
      </c>
      <c r="T137" s="33" t="n"/>
    </row>
    <row r="138">
      <c r="A138" s="26">
        <f>IF($B138="","",ROW()-3)</f>
        <v/>
      </c>
      <c r="B138" s="27" t="n"/>
      <c r="C138" s="27" t="n"/>
      <c r="D138" s="28" t="n"/>
      <c r="E138" s="29" t="n"/>
      <c r="F138" s="30" t="n"/>
      <c r="G138" s="31" t="n"/>
      <c r="H138" s="31" t="n"/>
      <c r="I138" s="31" t="n"/>
      <c r="J138" s="31" t="n"/>
      <c r="K138" s="31" t="n"/>
      <c r="L138" s="31" t="n"/>
      <c r="M138" s="31" t="n"/>
      <c r="N138" s="31" t="n"/>
      <c r="O138" s="31" t="n"/>
      <c r="P138" s="31" t="n"/>
      <c r="Q138" s="31" t="n"/>
      <c r="R138" s="31" t="n"/>
      <c r="S138" s="32">
        <f>IF($F138="","",IF(IFERROR(VLOOKUP($F138,'维度字典'!$M$2:$N$50,2,0),"求和")="手工录入","",IF(IFERROR(VLOOKUP($F138,'维度字典'!$M$2:$N$50,2,0),"求和")="最新值",IFERROR(LOOKUP(9.99E+307,G138:R138),""),SUM(G138:R138))))</f>
        <v/>
      </c>
      <c r="T138" s="33" t="n"/>
    </row>
    <row r="139">
      <c r="A139" s="26">
        <f>IF($B139="","",ROW()-3)</f>
        <v/>
      </c>
      <c r="B139" s="27" t="n"/>
      <c r="C139" s="27" t="n"/>
      <c r="D139" s="28" t="n"/>
      <c r="E139" s="29" t="n"/>
      <c r="F139" s="30" t="n"/>
      <c r="G139" s="31" t="n"/>
      <c r="H139" s="31" t="n"/>
      <c r="I139" s="31" t="n"/>
      <c r="J139" s="31" t="n"/>
      <c r="K139" s="31" t="n"/>
      <c r="L139" s="31" t="n"/>
      <c r="M139" s="31" t="n"/>
      <c r="N139" s="31" t="n"/>
      <c r="O139" s="31" t="n"/>
      <c r="P139" s="31" t="n"/>
      <c r="Q139" s="31" t="n"/>
      <c r="R139" s="31" t="n"/>
      <c r="S139" s="32">
        <f>IF($F139="","",IF(IFERROR(VLOOKUP($F139,'维度字典'!$M$2:$N$50,2,0),"求和")="手工录入","",IF(IFERROR(VLOOKUP($F139,'维度字典'!$M$2:$N$50,2,0),"求和")="最新值",IFERROR(LOOKUP(9.99E+307,G139:R139),""),SUM(G139:R139))))</f>
        <v/>
      </c>
      <c r="T139" s="33" t="n"/>
    </row>
    <row r="140">
      <c r="A140" s="26">
        <f>IF($B140="","",ROW()-3)</f>
        <v/>
      </c>
      <c r="B140" s="27" t="n"/>
      <c r="C140" s="27" t="n"/>
      <c r="D140" s="28" t="n"/>
      <c r="E140" s="29" t="n"/>
      <c r="F140" s="30" t="n"/>
      <c r="G140" s="31" t="n"/>
      <c r="H140" s="31" t="n"/>
      <c r="I140" s="31" t="n"/>
      <c r="J140" s="31" t="n"/>
      <c r="K140" s="31" t="n"/>
      <c r="L140" s="31" t="n"/>
      <c r="M140" s="31" t="n"/>
      <c r="N140" s="31" t="n"/>
      <c r="O140" s="31" t="n"/>
      <c r="P140" s="31" t="n"/>
      <c r="Q140" s="31" t="n"/>
      <c r="R140" s="31" t="n"/>
      <c r="S140" s="32">
        <f>IF($F140="","",IF(IFERROR(VLOOKUP($F140,'维度字典'!$M$2:$N$50,2,0),"求和")="手工录入","",IF(IFERROR(VLOOKUP($F140,'维度字典'!$M$2:$N$50,2,0),"求和")="最新值",IFERROR(LOOKUP(9.99E+307,G140:R140),""),SUM(G140:R140))))</f>
        <v/>
      </c>
      <c r="T140" s="33" t="n"/>
    </row>
    <row r="141">
      <c r="A141" s="26">
        <f>IF($B141="","",ROW()-3)</f>
        <v/>
      </c>
      <c r="B141" s="27" t="n"/>
      <c r="C141" s="27" t="n"/>
      <c r="D141" s="28" t="n"/>
      <c r="E141" s="29" t="n"/>
      <c r="F141" s="30" t="n"/>
      <c r="G141" s="31" t="n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n"/>
      <c r="R141" s="31" t="n"/>
      <c r="S141" s="32">
        <f>IF($F141="","",IF(IFERROR(VLOOKUP($F141,'维度字典'!$M$2:$N$50,2,0),"求和")="手工录入","",IF(IFERROR(VLOOKUP($F141,'维度字典'!$M$2:$N$50,2,0),"求和")="最新值",IFERROR(LOOKUP(9.99E+307,G141:R141),""),SUM(G141:R141))))</f>
        <v/>
      </c>
      <c r="T141" s="33" t="n"/>
    </row>
    <row r="142">
      <c r="A142" s="26">
        <f>IF($B142="","",ROW()-3)</f>
        <v/>
      </c>
      <c r="B142" s="27" t="n"/>
      <c r="C142" s="27" t="n"/>
      <c r="D142" s="28" t="n"/>
      <c r="E142" s="29" t="n"/>
      <c r="F142" s="30" t="n"/>
      <c r="G142" s="31" t="n"/>
      <c r="H142" s="31" t="n"/>
      <c r="I142" s="31" t="n"/>
      <c r="J142" s="31" t="n"/>
      <c r="K142" s="31" t="n"/>
      <c r="L142" s="31" t="n"/>
      <c r="M142" s="31" t="n"/>
      <c r="N142" s="31" t="n"/>
      <c r="O142" s="31" t="n"/>
      <c r="P142" s="31" t="n"/>
      <c r="Q142" s="31" t="n"/>
      <c r="R142" s="31" t="n"/>
      <c r="S142" s="32">
        <f>IF($F142="","",IF(IFERROR(VLOOKUP($F142,'维度字典'!$M$2:$N$50,2,0),"求和")="手工录入","",IF(IFERROR(VLOOKUP($F142,'维度字典'!$M$2:$N$50,2,0),"求和")="最新值",IFERROR(LOOKUP(9.99E+307,G142:R142),""),SUM(G142:R142))))</f>
        <v/>
      </c>
      <c r="T142" s="33" t="n"/>
    </row>
    <row r="143">
      <c r="A143" s="26">
        <f>IF($B143="","",ROW()-3)</f>
        <v/>
      </c>
      <c r="B143" s="27" t="n"/>
      <c r="C143" s="27" t="n"/>
      <c r="D143" s="28" t="n"/>
      <c r="E143" s="29" t="n"/>
      <c r="F143" s="30" t="n"/>
      <c r="G143" s="31" t="n"/>
      <c r="H143" s="31" t="n"/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n"/>
      <c r="R143" s="31" t="n"/>
      <c r="S143" s="32">
        <f>IF($F143="","",IF(IFERROR(VLOOKUP($F143,'维度字典'!$M$2:$N$50,2,0),"求和")="手工录入","",IF(IFERROR(VLOOKUP($F143,'维度字典'!$M$2:$N$50,2,0),"求和")="最新值",IFERROR(LOOKUP(9.99E+307,G143:R143),""),SUM(G143:R143))))</f>
        <v/>
      </c>
      <c r="T143" s="33" t="n"/>
    </row>
    <row r="144">
      <c r="A144" s="26">
        <f>IF($B144="","",ROW()-3)</f>
        <v/>
      </c>
      <c r="B144" s="27" t="n"/>
      <c r="C144" s="27" t="n"/>
      <c r="D144" s="28" t="n"/>
      <c r="E144" s="29" t="n"/>
      <c r="F144" s="30" t="n"/>
      <c r="G144" s="31" t="n"/>
      <c r="H144" s="31" t="n"/>
      <c r="I144" s="31" t="n"/>
      <c r="J144" s="31" t="n"/>
      <c r="K144" s="31" t="n"/>
      <c r="L144" s="31" t="n"/>
      <c r="M144" s="31" t="n"/>
      <c r="N144" s="31" t="n"/>
      <c r="O144" s="31" t="n"/>
      <c r="P144" s="31" t="n"/>
      <c r="Q144" s="31" t="n"/>
      <c r="R144" s="31" t="n"/>
      <c r="S144" s="32">
        <f>IF($F144="","",IF(IFERROR(VLOOKUP($F144,'维度字典'!$M$2:$N$50,2,0),"求和")="手工录入","",IF(IFERROR(VLOOKUP($F144,'维度字典'!$M$2:$N$50,2,0),"求和")="最新值",IFERROR(LOOKUP(9.99E+307,G144:R144),""),SUM(G144:R144))))</f>
        <v/>
      </c>
      <c r="T144" s="33" t="n"/>
    </row>
    <row r="145">
      <c r="A145" s="26">
        <f>IF($B145="","",ROW()-3)</f>
        <v/>
      </c>
      <c r="B145" s="27" t="n"/>
      <c r="C145" s="27" t="n"/>
      <c r="D145" s="28" t="n"/>
      <c r="E145" s="29" t="n"/>
      <c r="F145" s="30" t="n"/>
      <c r="G145" s="31" t="n"/>
      <c r="H145" s="31" t="n"/>
      <c r="I145" s="31" t="n"/>
      <c r="J145" s="31" t="n"/>
      <c r="K145" s="31" t="n"/>
      <c r="L145" s="31" t="n"/>
      <c r="M145" s="31" t="n"/>
      <c r="N145" s="31" t="n"/>
      <c r="O145" s="31" t="n"/>
      <c r="P145" s="31" t="n"/>
      <c r="Q145" s="31" t="n"/>
      <c r="R145" s="31" t="n"/>
      <c r="S145" s="32">
        <f>IF($F145="","",IF(IFERROR(VLOOKUP($F145,'维度字典'!$M$2:$N$50,2,0),"求和")="手工录入","",IF(IFERROR(VLOOKUP($F145,'维度字典'!$M$2:$N$50,2,0),"求和")="最新值",IFERROR(LOOKUP(9.99E+307,G145:R145),""),SUM(G145:R145))))</f>
        <v/>
      </c>
      <c r="T145" s="33" t="n"/>
    </row>
    <row r="146">
      <c r="A146" s="26">
        <f>IF($B146="","",ROW()-3)</f>
        <v/>
      </c>
      <c r="B146" s="27" t="n"/>
      <c r="C146" s="27" t="n"/>
      <c r="D146" s="28" t="n"/>
      <c r="E146" s="29" t="n"/>
      <c r="F146" s="30" t="n"/>
      <c r="G146" s="31" t="n"/>
      <c r="H146" s="31" t="n"/>
      <c r="I146" s="31" t="n"/>
      <c r="J146" s="31" t="n"/>
      <c r="K146" s="31" t="n"/>
      <c r="L146" s="31" t="n"/>
      <c r="M146" s="31" t="n"/>
      <c r="N146" s="31" t="n"/>
      <c r="O146" s="31" t="n"/>
      <c r="P146" s="31" t="n"/>
      <c r="Q146" s="31" t="n"/>
      <c r="R146" s="31" t="n"/>
      <c r="S146" s="32">
        <f>IF($F146="","",IF(IFERROR(VLOOKUP($F146,'维度字典'!$M$2:$N$50,2,0),"求和")="手工录入","",IF(IFERROR(VLOOKUP($F146,'维度字典'!$M$2:$N$50,2,0),"求和")="最新值",IFERROR(LOOKUP(9.99E+307,G146:R146),""),SUM(G146:R146))))</f>
        <v/>
      </c>
      <c r="T146" s="33" t="n"/>
    </row>
    <row r="147">
      <c r="A147" s="26">
        <f>IF($B147="","",ROW()-3)</f>
        <v/>
      </c>
      <c r="B147" s="27" t="n"/>
      <c r="C147" s="27" t="n"/>
      <c r="D147" s="28" t="n"/>
      <c r="E147" s="29" t="n"/>
      <c r="F147" s="30" t="n"/>
      <c r="G147" s="31" t="n"/>
      <c r="H147" s="31" t="n"/>
      <c r="I147" s="31" t="n"/>
      <c r="J147" s="31" t="n"/>
      <c r="K147" s="31" t="n"/>
      <c r="L147" s="31" t="n"/>
      <c r="M147" s="31" t="n"/>
      <c r="N147" s="31" t="n"/>
      <c r="O147" s="31" t="n"/>
      <c r="P147" s="31" t="n"/>
      <c r="Q147" s="31" t="n"/>
      <c r="R147" s="31" t="n"/>
      <c r="S147" s="32">
        <f>IF($F147="","",IF(IFERROR(VLOOKUP($F147,'维度字典'!$M$2:$N$50,2,0),"求和")="手工录入","",IF(IFERROR(VLOOKUP($F147,'维度字典'!$M$2:$N$50,2,0),"求和")="最新值",IFERROR(LOOKUP(9.99E+307,G147:R147),""),SUM(G147:R147))))</f>
        <v/>
      </c>
      <c r="T147" s="33" t="n"/>
    </row>
    <row r="148">
      <c r="A148" s="26">
        <f>IF($B148="","",ROW()-3)</f>
        <v/>
      </c>
      <c r="B148" s="27" t="n"/>
      <c r="C148" s="27" t="n"/>
      <c r="D148" s="28" t="n"/>
      <c r="E148" s="29" t="n"/>
      <c r="F148" s="30" t="n"/>
      <c r="G148" s="31" t="n"/>
      <c r="H148" s="31" t="n"/>
      <c r="I148" s="31" t="n"/>
      <c r="J148" s="31" t="n"/>
      <c r="K148" s="31" t="n"/>
      <c r="L148" s="31" t="n"/>
      <c r="M148" s="31" t="n"/>
      <c r="N148" s="31" t="n"/>
      <c r="O148" s="31" t="n"/>
      <c r="P148" s="31" t="n"/>
      <c r="Q148" s="31" t="n"/>
      <c r="R148" s="31" t="n"/>
      <c r="S148" s="32">
        <f>IF($F148="","",IF(IFERROR(VLOOKUP($F148,'维度字典'!$M$2:$N$50,2,0),"求和")="手工录入","",IF(IFERROR(VLOOKUP($F148,'维度字典'!$M$2:$N$50,2,0),"求和")="最新值",IFERROR(LOOKUP(9.99E+307,G148:R148),""),SUM(G148:R148))))</f>
        <v/>
      </c>
      <c r="T148" s="33" t="n"/>
    </row>
    <row r="149">
      <c r="A149" s="26">
        <f>IF($B149="","",ROW()-3)</f>
        <v/>
      </c>
      <c r="B149" s="27" t="n"/>
      <c r="C149" s="27" t="n"/>
      <c r="D149" s="28" t="n"/>
      <c r="E149" s="29" t="n"/>
      <c r="F149" s="30" t="n"/>
      <c r="G149" s="31" t="n"/>
      <c r="H149" s="31" t="n"/>
      <c r="I149" s="31" t="n"/>
      <c r="J149" s="31" t="n"/>
      <c r="K149" s="31" t="n"/>
      <c r="L149" s="31" t="n"/>
      <c r="M149" s="31" t="n"/>
      <c r="N149" s="31" t="n"/>
      <c r="O149" s="31" t="n"/>
      <c r="P149" s="31" t="n"/>
      <c r="Q149" s="31" t="n"/>
      <c r="R149" s="31" t="n"/>
      <c r="S149" s="32">
        <f>IF($F149="","",IF(IFERROR(VLOOKUP($F149,'维度字典'!$M$2:$N$50,2,0),"求和")="手工录入","",IF(IFERROR(VLOOKUP($F149,'维度字典'!$M$2:$N$50,2,0),"求和")="最新值",IFERROR(LOOKUP(9.99E+307,G149:R149),""),SUM(G149:R149))))</f>
        <v/>
      </c>
      <c r="T149" s="33" t="n"/>
    </row>
    <row r="150">
      <c r="A150" s="26">
        <f>IF($B150="","",ROW()-3)</f>
        <v/>
      </c>
      <c r="B150" s="27" t="n"/>
      <c r="C150" s="27" t="n"/>
      <c r="D150" s="28" t="n"/>
      <c r="E150" s="29" t="n"/>
      <c r="F150" s="30" t="n"/>
      <c r="G150" s="31" t="n"/>
      <c r="H150" s="31" t="n"/>
      <c r="I150" s="31" t="n"/>
      <c r="J150" s="31" t="n"/>
      <c r="K150" s="31" t="n"/>
      <c r="L150" s="31" t="n"/>
      <c r="M150" s="31" t="n"/>
      <c r="N150" s="31" t="n"/>
      <c r="O150" s="31" t="n"/>
      <c r="P150" s="31" t="n"/>
      <c r="Q150" s="31" t="n"/>
      <c r="R150" s="31" t="n"/>
      <c r="S150" s="32">
        <f>IF($F150="","",IF(IFERROR(VLOOKUP($F150,'维度字典'!$M$2:$N$50,2,0),"求和")="手工录入","",IF(IFERROR(VLOOKUP($F150,'维度字典'!$M$2:$N$50,2,0),"求和")="最新值",IFERROR(LOOKUP(9.99E+307,G150:R150),""),SUM(G150:R150))))</f>
        <v/>
      </c>
      <c r="T150" s="33" t="n"/>
    </row>
    <row r="151">
      <c r="A151" s="26">
        <f>IF($B151="","",ROW()-3)</f>
        <v/>
      </c>
      <c r="B151" s="27" t="n"/>
      <c r="C151" s="27" t="n"/>
      <c r="D151" s="28" t="n"/>
      <c r="E151" s="29" t="n"/>
      <c r="F151" s="30" t="n"/>
      <c r="G151" s="31" t="n"/>
      <c r="H151" s="31" t="n"/>
      <c r="I151" s="31" t="n"/>
      <c r="J151" s="31" t="n"/>
      <c r="K151" s="31" t="n"/>
      <c r="L151" s="31" t="n"/>
      <c r="M151" s="31" t="n"/>
      <c r="N151" s="31" t="n"/>
      <c r="O151" s="31" t="n"/>
      <c r="P151" s="31" t="n"/>
      <c r="Q151" s="31" t="n"/>
      <c r="R151" s="31" t="n"/>
      <c r="S151" s="32">
        <f>IF($F151="","",IF(IFERROR(VLOOKUP($F151,'维度字典'!$M$2:$N$50,2,0),"求和")="手工录入","",IF(IFERROR(VLOOKUP($F151,'维度字典'!$M$2:$N$50,2,0),"求和")="最新值",IFERROR(LOOKUP(9.99E+307,G151:R151),""),SUM(G151:R151))))</f>
        <v/>
      </c>
      <c r="T151" s="33" t="n"/>
    </row>
    <row r="152">
      <c r="A152" s="26">
        <f>IF($B152="","",ROW()-3)</f>
        <v/>
      </c>
      <c r="B152" s="27" t="n"/>
      <c r="C152" s="27" t="n"/>
      <c r="D152" s="28" t="n"/>
      <c r="E152" s="29" t="n"/>
      <c r="F152" s="30" t="n"/>
      <c r="G152" s="31" t="n"/>
      <c r="H152" s="31" t="n"/>
      <c r="I152" s="31" t="n"/>
      <c r="J152" s="31" t="n"/>
      <c r="K152" s="31" t="n"/>
      <c r="L152" s="31" t="n"/>
      <c r="M152" s="31" t="n"/>
      <c r="N152" s="31" t="n"/>
      <c r="O152" s="31" t="n"/>
      <c r="P152" s="31" t="n"/>
      <c r="Q152" s="31" t="n"/>
      <c r="R152" s="31" t="n"/>
      <c r="S152" s="32">
        <f>IF($F152="","",IF(IFERROR(VLOOKUP($F152,'维度字典'!$M$2:$N$50,2,0),"求和")="手工录入","",IF(IFERROR(VLOOKUP($F152,'维度字典'!$M$2:$N$50,2,0),"求和")="最新值",IFERROR(LOOKUP(9.99E+307,G152:R152),""),SUM(G152:R152))))</f>
        <v/>
      </c>
      <c r="T152" s="33" t="n"/>
    </row>
    <row r="153">
      <c r="A153" s="26">
        <f>IF($B153="","",ROW()-3)</f>
        <v/>
      </c>
      <c r="B153" s="27" t="n"/>
      <c r="C153" s="27" t="n"/>
      <c r="D153" s="28" t="n"/>
      <c r="E153" s="29" t="n"/>
      <c r="F153" s="30" t="n"/>
      <c r="G153" s="31" t="n"/>
      <c r="H153" s="31" t="n"/>
      <c r="I153" s="31" t="n"/>
      <c r="J153" s="31" t="n"/>
      <c r="K153" s="31" t="n"/>
      <c r="L153" s="31" t="n"/>
      <c r="M153" s="31" t="n"/>
      <c r="N153" s="31" t="n"/>
      <c r="O153" s="31" t="n"/>
      <c r="P153" s="31" t="n"/>
      <c r="Q153" s="31" t="n"/>
      <c r="R153" s="31" t="n"/>
      <c r="S153" s="32">
        <f>IF($F153="","",IF(IFERROR(VLOOKUP($F153,'维度字典'!$M$2:$N$50,2,0),"求和")="手工录入","",IF(IFERROR(VLOOKUP($F153,'维度字典'!$M$2:$N$50,2,0),"求和")="最新值",IFERROR(LOOKUP(9.99E+307,G153:R153),""),SUM(G153:R153))))</f>
        <v/>
      </c>
      <c r="T153" s="33" t="n"/>
    </row>
    <row r="154">
      <c r="A154" s="26">
        <f>IF($B154="","",ROW()-3)</f>
        <v/>
      </c>
      <c r="B154" s="27" t="n"/>
      <c r="C154" s="27" t="n"/>
      <c r="D154" s="28" t="n"/>
      <c r="E154" s="29" t="n"/>
      <c r="F154" s="30" t="n"/>
      <c r="G154" s="31" t="n"/>
      <c r="H154" s="31" t="n"/>
      <c r="I154" s="31" t="n"/>
      <c r="J154" s="31" t="n"/>
      <c r="K154" s="31" t="n"/>
      <c r="L154" s="31" t="n"/>
      <c r="M154" s="31" t="n"/>
      <c r="N154" s="31" t="n"/>
      <c r="O154" s="31" t="n"/>
      <c r="P154" s="31" t="n"/>
      <c r="Q154" s="31" t="n"/>
      <c r="R154" s="31" t="n"/>
      <c r="S154" s="32">
        <f>IF($F154="","",IF(IFERROR(VLOOKUP($F154,'维度字典'!$M$2:$N$50,2,0),"求和")="手工录入","",IF(IFERROR(VLOOKUP($F154,'维度字典'!$M$2:$N$50,2,0),"求和")="最新值",IFERROR(LOOKUP(9.99E+307,G154:R154),""),SUM(G154:R154))))</f>
        <v/>
      </c>
      <c r="T154" s="33" t="n"/>
    </row>
    <row r="155">
      <c r="A155" s="26">
        <f>IF($B155="","",ROW()-3)</f>
        <v/>
      </c>
      <c r="B155" s="27" t="n"/>
      <c r="C155" s="27" t="n"/>
      <c r="D155" s="28" t="n"/>
      <c r="E155" s="29" t="n"/>
      <c r="F155" s="30" t="n"/>
      <c r="G155" s="31" t="n"/>
      <c r="H155" s="31" t="n"/>
      <c r="I155" s="31" t="n"/>
      <c r="J155" s="31" t="n"/>
      <c r="K155" s="31" t="n"/>
      <c r="L155" s="31" t="n"/>
      <c r="M155" s="31" t="n"/>
      <c r="N155" s="31" t="n"/>
      <c r="O155" s="31" t="n"/>
      <c r="P155" s="31" t="n"/>
      <c r="Q155" s="31" t="n"/>
      <c r="R155" s="31" t="n"/>
      <c r="S155" s="32">
        <f>IF($F155="","",IF(IFERROR(VLOOKUP($F155,'维度字典'!$M$2:$N$50,2,0),"求和")="手工录入","",IF(IFERROR(VLOOKUP($F155,'维度字典'!$M$2:$N$50,2,0),"求和")="最新值",IFERROR(LOOKUP(9.99E+307,G155:R155),""),SUM(G155:R155))))</f>
        <v/>
      </c>
      <c r="T155" s="33" t="n"/>
    </row>
    <row r="156">
      <c r="A156" s="26">
        <f>IF($B156="","",ROW()-3)</f>
        <v/>
      </c>
      <c r="B156" s="27" t="n"/>
      <c r="C156" s="27" t="n"/>
      <c r="D156" s="28" t="n"/>
      <c r="E156" s="29" t="n"/>
      <c r="F156" s="30" t="n"/>
      <c r="G156" s="31" t="n"/>
      <c r="H156" s="31" t="n"/>
      <c r="I156" s="31" t="n"/>
      <c r="J156" s="31" t="n"/>
      <c r="K156" s="31" t="n"/>
      <c r="L156" s="31" t="n"/>
      <c r="M156" s="31" t="n"/>
      <c r="N156" s="31" t="n"/>
      <c r="O156" s="31" t="n"/>
      <c r="P156" s="31" t="n"/>
      <c r="Q156" s="31" t="n"/>
      <c r="R156" s="31" t="n"/>
      <c r="S156" s="32">
        <f>IF($F156="","",IF(IFERROR(VLOOKUP($F156,'维度字典'!$M$2:$N$50,2,0),"求和")="手工录入","",IF(IFERROR(VLOOKUP($F156,'维度字典'!$M$2:$N$50,2,0),"求和")="最新值",IFERROR(LOOKUP(9.99E+307,G156:R156),""),SUM(G156:R156))))</f>
        <v/>
      </c>
      <c r="T156" s="33" t="n"/>
    </row>
    <row r="157">
      <c r="A157" s="26">
        <f>IF($B157="","",ROW()-3)</f>
        <v/>
      </c>
      <c r="B157" s="27" t="n"/>
      <c r="C157" s="27" t="n"/>
      <c r="D157" s="28" t="n"/>
      <c r="E157" s="29" t="n"/>
      <c r="F157" s="30" t="n"/>
      <c r="G157" s="31" t="n"/>
      <c r="H157" s="31" t="n"/>
      <c r="I157" s="31" t="n"/>
      <c r="J157" s="31" t="n"/>
      <c r="K157" s="31" t="n"/>
      <c r="L157" s="31" t="n"/>
      <c r="M157" s="31" t="n"/>
      <c r="N157" s="31" t="n"/>
      <c r="O157" s="31" t="n"/>
      <c r="P157" s="31" t="n"/>
      <c r="Q157" s="31" t="n"/>
      <c r="R157" s="31" t="n"/>
      <c r="S157" s="32">
        <f>IF($F157="","",IF(IFERROR(VLOOKUP($F157,'维度字典'!$M$2:$N$50,2,0),"求和")="手工录入","",IF(IFERROR(VLOOKUP($F157,'维度字典'!$M$2:$N$50,2,0),"求和")="最新值",IFERROR(LOOKUP(9.99E+307,G157:R157),""),SUM(G157:R157))))</f>
        <v/>
      </c>
      <c r="T157" s="33" t="n"/>
    </row>
    <row r="158">
      <c r="A158" s="26">
        <f>IF($B158="","",ROW()-3)</f>
        <v/>
      </c>
      <c r="B158" s="27" t="n"/>
      <c r="C158" s="27" t="n"/>
      <c r="D158" s="28" t="n"/>
      <c r="E158" s="29" t="n"/>
      <c r="F158" s="30" t="n"/>
      <c r="G158" s="31" t="n"/>
      <c r="H158" s="31" t="n"/>
      <c r="I158" s="31" t="n"/>
      <c r="J158" s="31" t="n"/>
      <c r="K158" s="31" t="n"/>
      <c r="L158" s="31" t="n"/>
      <c r="M158" s="31" t="n"/>
      <c r="N158" s="31" t="n"/>
      <c r="O158" s="31" t="n"/>
      <c r="P158" s="31" t="n"/>
      <c r="Q158" s="31" t="n"/>
      <c r="R158" s="31" t="n"/>
      <c r="S158" s="32">
        <f>IF($F158="","",IF(IFERROR(VLOOKUP($F158,'维度字典'!$M$2:$N$50,2,0),"求和")="手工录入","",IF(IFERROR(VLOOKUP($F158,'维度字典'!$M$2:$N$50,2,0),"求和")="最新值",IFERROR(LOOKUP(9.99E+307,G158:R158),""),SUM(G158:R158))))</f>
        <v/>
      </c>
      <c r="T158" s="33" t="n"/>
    </row>
    <row r="159">
      <c r="A159" s="26">
        <f>IF($B159="","",ROW()-3)</f>
        <v/>
      </c>
      <c r="B159" s="27" t="n"/>
      <c r="C159" s="27" t="n"/>
      <c r="D159" s="28" t="n"/>
      <c r="E159" s="29" t="n"/>
      <c r="F159" s="30" t="n"/>
      <c r="G159" s="31" t="n"/>
      <c r="H159" s="31" t="n"/>
      <c r="I159" s="31" t="n"/>
      <c r="J159" s="31" t="n"/>
      <c r="K159" s="31" t="n"/>
      <c r="L159" s="31" t="n"/>
      <c r="M159" s="31" t="n"/>
      <c r="N159" s="31" t="n"/>
      <c r="O159" s="31" t="n"/>
      <c r="P159" s="31" t="n"/>
      <c r="Q159" s="31" t="n"/>
      <c r="R159" s="31" t="n"/>
      <c r="S159" s="32">
        <f>IF($F159="","",IF(IFERROR(VLOOKUP($F159,'维度字典'!$M$2:$N$50,2,0),"求和")="手工录入","",IF(IFERROR(VLOOKUP($F159,'维度字典'!$M$2:$N$50,2,0),"求和")="最新值",IFERROR(LOOKUP(9.99E+307,G159:R159),""),SUM(G159:R159))))</f>
        <v/>
      </c>
      <c r="T159" s="33" t="n"/>
    </row>
    <row r="160">
      <c r="A160" s="26">
        <f>IF($B160="","",ROW()-3)</f>
        <v/>
      </c>
      <c r="B160" s="27" t="n"/>
      <c r="C160" s="27" t="n"/>
      <c r="D160" s="28" t="n"/>
      <c r="E160" s="29" t="n"/>
      <c r="F160" s="30" t="n"/>
      <c r="G160" s="31" t="n"/>
      <c r="H160" s="31" t="n"/>
      <c r="I160" s="31" t="n"/>
      <c r="J160" s="31" t="n"/>
      <c r="K160" s="31" t="n"/>
      <c r="L160" s="31" t="n"/>
      <c r="M160" s="31" t="n"/>
      <c r="N160" s="31" t="n"/>
      <c r="O160" s="31" t="n"/>
      <c r="P160" s="31" t="n"/>
      <c r="Q160" s="31" t="n"/>
      <c r="R160" s="31" t="n"/>
      <c r="S160" s="32">
        <f>IF($F160="","",IF(IFERROR(VLOOKUP($F160,'维度字典'!$M$2:$N$50,2,0),"求和")="手工录入","",IF(IFERROR(VLOOKUP($F160,'维度字典'!$M$2:$N$50,2,0),"求和")="最新值",IFERROR(LOOKUP(9.99E+307,G160:R160),""),SUM(G160:R160))))</f>
        <v/>
      </c>
      <c r="T160" s="33" t="n"/>
    </row>
    <row r="161">
      <c r="A161" s="26">
        <f>IF($B161="","",ROW()-3)</f>
        <v/>
      </c>
      <c r="B161" s="27" t="n"/>
      <c r="C161" s="27" t="n"/>
      <c r="D161" s="28" t="n"/>
      <c r="E161" s="29" t="n"/>
      <c r="F161" s="30" t="n"/>
      <c r="G161" s="31" t="n"/>
      <c r="H161" s="31" t="n"/>
      <c r="I161" s="31" t="n"/>
      <c r="J161" s="31" t="n"/>
      <c r="K161" s="31" t="n"/>
      <c r="L161" s="31" t="n"/>
      <c r="M161" s="31" t="n"/>
      <c r="N161" s="31" t="n"/>
      <c r="O161" s="31" t="n"/>
      <c r="P161" s="31" t="n"/>
      <c r="Q161" s="31" t="n"/>
      <c r="R161" s="31" t="n"/>
      <c r="S161" s="32">
        <f>IF($F161="","",IF(IFERROR(VLOOKUP($F161,'维度字典'!$M$2:$N$50,2,0),"求和")="手工录入","",IF(IFERROR(VLOOKUP($F161,'维度字典'!$M$2:$N$50,2,0),"求和")="最新值",IFERROR(LOOKUP(9.99E+307,G161:R161),""),SUM(G161:R161))))</f>
        <v/>
      </c>
      <c r="T161" s="33" t="n"/>
    </row>
    <row r="162">
      <c r="A162" s="26">
        <f>IF($B162="","",ROW()-3)</f>
        <v/>
      </c>
      <c r="B162" s="27" t="n"/>
      <c r="C162" s="27" t="n"/>
      <c r="D162" s="28" t="n"/>
      <c r="E162" s="29" t="n"/>
      <c r="F162" s="30" t="n"/>
      <c r="G162" s="31" t="n"/>
      <c r="H162" s="31" t="n"/>
      <c r="I162" s="31" t="n"/>
      <c r="J162" s="31" t="n"/>
      <c r="K162" s="31" t="n"/>
      <c r="L162" s="31" t="n"/>
      <c r="M162" s="31" t="n"/>
      <c r="N162" s="31" t="n"/>
      <c r="O162" s="31" t="n"/>
      <c r="P162" s="31" t="n"/>
      <c r="Q162" s="31" t="n"/>
      <c r="R162" s="31" t="n"/>
      <c r="S162" s="32">
        <f>IF($F162="","",IF(IFERROR(VLOOKUP($F162,'维度字典'!$M$2:$N$50,2,0),"求和")="手工录入","",IF(IFERROR(VLOOKUP($F162,'维度字典'!$M$2:$N$50,2,0),"求和")="最新值",IFERROR(LOOKUP(9.99E+307,G162:R162),""),SUM(G162:R162))))</f>
        <v/>
      </c>
      <c r="T162" s="33" t="n"/>
    </row>
    <row r="163">
      <c r="A163" s="26">
        <f>IF($B163="","",ROW()-3)</f>
        <v/>
      </c>
      <c r="B163" s="27" t="n"/>
      <c r="C163" s="27" t="n"/>
      <c r="D163" s="28" t="n"/>
      <c r="E163" s="29" t="n"/>
      <c r="F163" s="30" t="n"/>
      <c r="G163" s="31" t="n"/>
      <c r="H163" s="31" t="n"/>
      <c r="I163" s="31" t="n"/>
      <c r="J163" s="31" t="n"/>
      <c r="K163" s="31" t="n"/>
      <c r="L163" s="31" t="n"/>
      <c r="M163" s="31" t="n"/>
      <c r="N163" s="31" t="n"/>
      <c r="O163" s="31" t="n"/>
      <c r="P163" s="31" t="n"/>
      <c r="Q163" s="31" t="n"/>
      <c r="R163" s="31" t="n"/>
      <c r="S163" s="32">
        <f>IF($F163="","",IF(IFERROR(VLOOKUP($F163,'维度字典'!$M$2:$N$50,2,0),"求和")="手工录入","",IF(IFERROR(VLOOKUP($F163,'维度字典'!$M$2:$N$50,2,0),"求和")="最新值",IFERROR(LOOKUP(9.99E+307,G163:R163),""),SUM(G163:R163))))</f>
        <v/>
      </c>
      <c r="T163" s="33" t="n"/>
    </row>
    <row r="164">
      <c r="A164" s="26">
        <f>IF($B164="","",ROW()-3)</f>
        <v/>
      </c>
      <c r="B164" s="27" t="n"/>
      <c r="C164" s="27" t="n"/>
      <c r="D164" s="28" t="n"/>
      <c r="E164" s="29" t="n"/>
      <c r="F164" s="30" t="n"/>
      <c r="G164" s="31" t="n"/>
      <c r="H164" s="31" t="n"/>
      <c r="I164" s="31" t="n"/>
      <c r="J164" s="31" t="n"/>
      <c r="K164" s="31" t="n"/>
      <c r="L164" s="31" t="n"/>
      <c r="M164" s="31" t="n"/>
      <c r="N164" s="31" t="n"/>
      <c r="O164" s="31" t="n"/>
      <c r="P164" s="31" t="n"/>
      <c r="Q164" s="31" t="n"/>
      <c r="R164" s="31" t="n"/>
      <c r="S164" s="32">
        <f>IF($F164="","",IF(IFERROR(VLOOKUP($F164,'维度字典'!$M$2:$N$50,2,0),"求和")="手工录入","",IF(IFERROR(VLOOKUP($F164,'维度字典'!$M$2:$N$50,2,0),"求和")="最新值",IFERROR(LOOKUP(9.99E+307,G164:R164),""),SUM(G164:R164))))</f>
        <v/>
      </c>
      <c r="T164" s="33" t="n"/>
    </row>
    <row r="165">
      <c r="A165" s="26">
        <f>IF($B165="","",ROW()-3)</f>
        <v/>
      </c>
      <c r="B165" s="27" t="n"/>
      <c r="C165" s="27" t="n"/>
      <c r="D165" s="28" t="n"/>
      <c r="E165" s="29" t="n"/>
      <c r="F165" s="30" t="n"/>
      <c r="G165" s="31" t="n"/>
      <c r="H165" s="31" t="n"/>
      <c r="I165" s="31" t="n"/>
      <c r="J165" s="31" t="n"/>
      <c r="K165" s="31" t="n"/>
      <c r="L165" s="31" t="n"/>
      <c r="M165" s="31" t="n"/>
      <c r="N165" s="31" t="n"/>
      <c r="O165" s="31" t="n"/>
      <c r="P165" s="31" t="n"/>
      <c r="Q165" s="31" t="n"/>
      <c r="R165" s="31" t="n"/>
      <c r="S165" s="32">
        <f>IF($F165="","",IF(IFERROR(VLOOKUP($F165,'维度字典'!$M$2:$N$50,2,0),"求和")="手工录入","",IF(IFERROR(VLOOKUP($F165,'维度字典'!$M$2:$N$50,2,0),"求和")="最新值",IFERROR(LOOKUP(9.99E+307,G165:R165),""),SUM(G165:R165))))</f>
        <v/>
      </c>
      <c r="T165" s="33" t="n"/>
    </row>
    <row r="166">
      <c r="A166" s="26">
        <f>IF($B166="","",ROW()-3)</f>
        <v/>
      </c>
      <c r="B166" s="27" t="n"/>
      <c r="C166" s="27" t="n"/>
      <c r="D166" s="28" t="n"/>
      <c r="E166" s="29" t="n"/>
      <c r="F166" s="30" t="n"/>
      <c r="G166" s="31" t="n"/>
      <c r="H166" s="31" t="n"/>
      <c r="I166" s="31" t="n"/>
      <c r="J166" s="31" t="n"/>
      <c r="K166" s="31" t="n"/>
      <c r="L166" s="31" t="n"/>
      <c r="M166" s="31" t="n"/>
      <c r="N166" s="31" t="n"/>
      <c r="O166" s="31" t="n"/>
      <c r="P166" s="31" t="n"/>
      <c r="Q166" s="31" t="n"/>
      <c r="R166" s="31" t="n"/>
      <c r="S166" s="32">
        <f>IF($F166="","",IF(IFERROR(VLOOKUP($F166,'维度字典'!$M$2:$N$50,2,0),"求和")="手工录入","",IF(IFERROR(VLOOKUP($F166,'维度字典'!$M$2:$N$50,2,0),"求和")="最新值",IFERROR(LOOKUP(9.99E+307,G166:R166),""),SUM(G166:R166))))</f>
        <v/>
      </c>
      <c r="T166" s="33" t="n"/>
    </row>
    <row r="167">
      <c r="A167" s="26">
        <f>IF($B167="","",ROW()-3)</f>
        <v/>
      </c>
      <c r="B167" s="27" t="n"/>
      <c r="C167" s="27" t="n"/>
      <c r="D167" s="28" t="n"/>
      <c r="E167" s="29" t="n"/>
      <c r="F167" s="30" t="n"/>
      <c r="G167" s="31" t="n"/>
      <c r="H167" s="31" t="n"/>
      <c r="I167" s="31" t="n"/>
      <c r="J167" s="31" t="n"/>
      <c r="K167" s="31" t="n"/>
      <c r="L167" s="31" t="n"/>
      <c r="M167" s="31" t="n"/>
      <c r="N167" s="31" t="n"/>
      <c r="O167" s="31" t="n"/>
      <c r="P167" s="31" t="n"/>
      <c r="Q167" s="31" t="n"/>
      <c r="R167" s="31" t="n"/>
      <c r="S167" s="32">
        <f>IF($F167="","",IF(IFERROR(VLOOKUP($F167,'维度字典'!$M$2:$N$50,2,0),"求和")="手工录入","",IF(IFERROR(VLOOKUP($F167,'维度字典'!$M$2:$N$50,2,0),"求和")="最新值",IFERROR(LOOKUP(9.99E+307,G167:R167),""),SUM(G167:R167))))</f>
        <v/>
      </c>
      <c r="T167" s="33" t="n"/>
    </row>
    <row r="168">
      <c r="A168" s="26">
        <f>IF($B168="","",ROW()-3)</f>
        <v/>
      </c>
      <c r="B168" s="27" t="n"/>
      <c r="C168" s="27" t="n"/>
      <c r="D168" s="28" t="n"/>
      <c r="E168" s="29" t="n"/>
      <c r="F168" s="30" t="n"/>
      <c r="G168" s="31" t="n"/>
      <c r="H168" s="31" t="n"/>
      <c r="I168" s="31" t="n"/>
      <c r="J168" s="31" t="n"/>
      <c r="K168" s="31" t="n"/>
      <c r="L168" s="31" t="n"/>
      <c r="M168" s="31" t="n"/>
      <c r="N168" s="31" t="n"/>
      <c r="O168" s="31" t="n"/>
      <c r="P168" s="31" t="n"/>
      <c r="Q168" s="31" t="n"/>
      <c r="R168" s="31" t="n"/>
      <c r="S168" s="32">
        <f>IF($F168="","",IF(IFERROR(VLOOKUP($F168,'维度字典'!$M$2:$N$50,2,0),"求和")="手工录入","",IF(IFERROR(VLOOKUP($F168,'维度字典'!$M$2:$N$50,2,0),"求和")="最新值",IFERROR(LOOKUP(9.99E+307,G168:R168),""),SUM(G168:R168))))</f>
        <v/>
      </c>
      <c r="T168" s="33" t="n"/>
    </row>
    <row r="169">
      <c r="A169" s="26">
        <f>IF($B169="","",ROW()-3)</f>
        <v/>
      </c>
      <c r="B169" s="27" t="n"/>
      <c r="C169" s="27" t="n"/>
      <c r="D169" s="28" t="n"/>
      <c r="E169" s="29" t="n"/>
      <c r="F169" s="30" t="n"/>
      <c r="G169" s="31" t="n"/>
      <c r="H169" s="31" t="n"/>
      <c r="I169" s="31" t="n"/>
      <c r="J169" s="31" t="n"/>
      <c r="K169" s="31" t="n"/>
      <c r="L169" s="31" t="n"/>
      <c r="M169" s="31" t="n"/>
      <c r="N169" s="31" t="n"/>
      <c r="O169" s="31" t="n"/>
      <c r="P169" s="31" t="n"/>
      <c r="Q169" s="31" t="n"/>
      <c r="R169" s="31" t="n"/>
      <c r="S169" s="32">
        <f>IF($F169="","",IF(IFERROR(VLOOKUP($F169,'维度字典'!$M$2:$N$50,2,0),"求和")="手工录入","",IF(IFERROR(VLOOKUP($F169,'维度字典'!$M$2:$N$50,2,0),"求和")="最新值",IFERROR(LOOKUP(9.99E+307,G169:R169),""),SUM(G169:R169))))</f>
        <v/>
      </c>
      <c r="T169" s="33" t="n"/>
    </row>
    <row r="170">
      <c r="A170" s="26">
        <f>IF($B170="","",ROW()-3)</f>
        <v/>
      </c>
      <c r="B170" s="27" t="n"/>
      <c r="C170" s="27" t="n"/>
      <c r="D170" s="28" t="n"/>
      <c r="E170" s="29" t="n"/>
      <c r="F170" s="30" t="n"/>
      <c r="G170" s="31" t="n"/>
      <c r="H170" s="31" t="n"/>
      <c r="I170" s="31" t="n"/>
      <c r="J170" s="31" t="n"/>
      <c r="K170" s="31" t="n"/>
      <c r="L170" s="31" t="n"/>
      <c r="M170" s="31" t="n"/>
      <c r="N170" s="31" t="n"/>
      <c r="O170" s="31" t="n"/>
      <c r="P170" s="31" t="n"/>
      <c r="Q170" s="31" t="n"/>
      <c r="R170" s="31" t="n"/>
      <c r="S170" s="32">
        <f>IF($F170="","",IF(IFERROR(VLOOKUP($F170,'维度字典'!$M$2:$N$50,2,0),"求和")="手工录入","",IF(IFERROR(VLOOKUP($F170,'维度字典'!$M$2:$N$50,2,0),"求和")="最新值",IFERROR(LOOKUP(9.99E+307,G170:R170),""),SUM(G170:R170))))</f>
        <v/>
      </c>
      <c r="T170" s="33" t="n"/>
    </row>
    <row r="171">
      <c r="A171" s="26">
        <f>IF($B171="","",ROW()-3)</f>
        <v/>
      </c>
      <c r="B171" s="27" t="n"/>
      <c r="C171" s="27" t="n"/>
      <c r="D171" s="28" t="n"/>
      <c r="E171" s="29" t="n"/>
      <c r="F171" s="30" t="n"/>
      <c r="G171" s="31" t="n"/>
      <c r="H171" s="31" t="n"/>
      <c r="I171" s="31" t="n"/>
      <c r="J171" s="31" t="n"/>
      <c r="K171" s="31" t="n"/>
      <c r="L171" s="31" t="n"/>
      <c r="M171" s="31" t="n"/>
      <c r="N171" s="31" t="n"/>
      <c r="O171" s="31" t="n"/>
      <c r="P171" s="31" t="n"/>
      <c r="Q171" s="31" t="n"/>
      <c r="R171" s="31" t="n"/>
      <c r="S171" s="32">
        <f>IF($F171="","",IF(IFERROR(VLOOKUP($F171,'维度字典'!$M$2:$N$50,2,0),"求和")="手工录入","",IF(IFERROR(VLOOKUP($F171,'维度字典'!$M$2:$N$50,2,0),"求和")="最新值",IFERROR(LOOKUP(9.99E+307,G171:R171),""),SUM(G171:R171))))</f>
        <v/>
      </c>
      <c r="T171" s="33" t="n"/>
    </row>
    <row r="172">
      <c r="A172" s="26">
        <f>IF($B172="","",ROW()-3)</f>
        <v/>
      </c>
      <c r="B172" s="27" t="n"/>
      <c r="C172" s="27" t="n"/>
      <c r="D172" s="28" t="n"/>
      <c r="E172" s="29" t="n"/>
      <c r="F172" s="30" t="n"/>
      <c r="G172" s="31" t="n"/>
      <c r="H172" s="31" t="n"/>
      <c r="I172" s="31" t="n"/>
      <c r="J172" s="31" t="n"/>
      <c r="K172" s="31" t="n"/>
      <c r="L172" s="31" t="n"/>
      <c r="M172" s="31" t="n"/>
      <c r="N172" s="31" t="n"/>
      <c r="O172" s="31" t="n"/>
      <c r="P172" s="31" t="n"/>
      <c r="Q172" s="31" t="n"/>
      <c r="R172" s="31" t="n"/>
      <c r="S172" s="32">
        <f>IF($F172="","",IF(IFERROR(VLOOKUP($F172,'维度字典'!$M$2:$N$50,2,0),"求和")="手工录入","",IF(IFERROR(VLOOKUP($F172,'维度字典'!$M$2:$N$50,2,0),"求和")="最新值",IFERROR(LOOKUP(9.99E+307,G172:R172),""),SUM(G172:R172))))</f>
        <v/>
      </c>
      <c r="T172" s="33" t="n"/>
    </row>
    <row r="173">
      <c r="A173" s="26">
        <f>IF($B173="","",ROW()-3)</f>
        <v/>
      </c>
      <c r="B173" s="27" t="n"/>
      <c r="C173" s="27" t="n"/>
      <c r="D173" s="28" t="n"/>
      <c r="E173" s="29" t="n"/>
      <c r="F173" s="30" t="n"/>
      <c r="G173" s="31" t="n"/>
      <c r="H173" s="31" t="n"/>
      <c r="I173" s="31" t="n"/>
      <c r="J173" s="31" t="n"/>
      <c r="K173" s="31" t="n"/>
      <c r="L173" s="31" t="n"/>
      <c r="M173" s="31" t="n"/>
      <c r="N173" s="31" t="n"/>
      <c r="O173" s="31" t="n"/>
      <c r="P173" s="31" t="n"/>
      <c r="Q173" s="31" t="n"/>
      <c r="R173" s="31" t="n"/>
      <c r="S173" s="32">
        <f>IF($F173="","",IF(IFERROR(VLOOKUP($F173,'维度字典'!$M$2:$N$50,2,0),"求和")="手工录入","",IF(IFERROR(VLOOKUP($F173,'维度字典'!$M$2:$N$50,2,0),"求和")="最新值",IFERROR(LOOKUP(9.99E+307,G173:R173),""),SUM(G173:R173))))</f>
        <v/>
      </c>
      <c r="T173" s="33" t="n"/>
    </row>
    <row r="174">
      <c r="A174" s="26">
        <f>IF($B174="","",ROW()-3)</f>
        <v/>
      </c>
      <c r="B174" s="27" t="n"/>
      <c r="C174" s="27" t="n"/>
      <c r="D174" s="28" t="n"/>
      <c r="E174" s="29" t="n"/>
      <c r="F174" s="30" t="n"/>
      <c r="G174" s="31" t="n"/>
      <c r="H174" s="31" t="n"/>
      <c r="I174" s="31" t="n"/>
      <c r="J174" s="31" t="n"/>
      <c r="K174" s="31" t="n"/>
      <c r="L174" s="31" t="n"/>
      <c r="M174" s="31" t="n"/>
      <c r="N174" s="31" t="n"/>
      <c r="O174" s="31" t="n"/>
      <c r="P174" s="31" t="n"/>
      <c r="Q174" s="31" t="n"/>
      <c r="R174" s="31" t="n"/>
      <c r="S174" s="32">
        <f>IF($F174="","",IF(IFERROR(VLOOKUP($F174,'维度字典'!$M$2:$N$50,2,0),"求和")="手工录入","",IF(IFERROR(VLOOKUP($F174,'维度字典'!$M$2:$N$50,2,0),"求和")="最新值",IFERROR(LOOKUP(9.99E+307,G174:R174),""),SUM(G174:R174))))</f>
        <v/>
      </c>
      <c r="T174" s="33" t="n"/>
    </row>
    <row r="175">
      <c r="A175" s="26">
        <f>IF($B175="","",ROW()-3)</f>
        <v/>
      </c>
      <c r="B175" s="27" t="n"/>
      <c r="C175" s="27" t="n"/>
      <c r="D175" s="28" t="n"/>
      <c r="E175" s="29" t="n"/>
      <c r="F175" s="30" t="n"/>
      <c r="G175" s="31" t="n"/>
      <c r="H175" s="31" t="n"/>
      <c r="I175" s="31" t="n"/>
      <c r="J175" s="31" t="n"/>
      <c r="K175" s="31" t="n"/>
      <c r="L175" s="31" t="n"/>
      <c r="M175" s="31" t="n"/>
      <c r="N175" s="31" t="n"/>
      <c r="O175" s="31" t="n"/>
      <c r="P175" s="31" t="n"/>
      <c r="Q175" s="31" t="n"/>
      <c r="R175" s="31" t="n"/>
      <c r="S175" s="32">
        <f>IF($F175="","",IF(IFERROR(VLOOKUP($F175,'维度字典'!$M$2:$N$50,2,0),"求和")="手工录入","",IF(IFERROR(VLOOKUP($F175,'维度字典'!$M$2:$N$50,2,0),"求和")="最新值",IFERROR(LOOKUP(9.99E+307,G175:R175),""),SUM(G175:R175))))</f>
        <v/>
      </c>
      <c r="T175" s="33" t="n"/>
    </row>
    <row r="176">
      <c r="A176" s="26">
        <f>IF($B176="","",ROW()-3)</f>
        <v/>
      </c>
      <c r="B176" s="27" t="n"/>
      <c r="C176" s="27" t="n"/>
      <c r="D176" s="28" t="n"/>
      <c r="E176" s="29" t="n"/>
      <c r="F176" s="30" t="n"/>
      <c r="G176" s="31" t="n"/>
      <c r="H176" s="31" t="n"/>
      <c r="I176" s="31" t="n"/>
      <c r="J176" s="31" t="n"/>
      <c r="K176" s="31" t="n"/>
      <c r="L176" s="31" t="n"/>
      <c r="M176" s="31" t="n"/>
      <c r="N176" s="31" t="n"/>
      <c r="O176" s="31" t="n"/>
      <c r="P176" s="31" t="n"/>
      <c r="Q176" s="31" t="n"/>
      <c r="R176" s="31" t="n"/>
      <c r="S176" s="32">
        <f>IF($F176="","",IF(IFERROR(VLOOKUP($F176,'维度字典'!$M$2:$N$50,2,0),"求和")="手工录入","",IF(IFERROR(VLOOKUP($F176,'维度字典'!$M$2:$N$50,2,0),"求和")="最新值",IFERROR(LOOKUP(9.99E+307,G176:R176),""),SUM(G176:R176))))</f>
        <v/>
      </c>
      <c r="T176" s="33" t="n"/>
    </row>
    <row r="177">
      <c r="A177" s="26">
        <f>IF($B177="","",ROW()-3)</f>
        <v/>
      </c>
      <c r="B177" s="27" t="n"/>
      <c r="C177" s="27" t="n"/>
      <c r="D177" s="28" t="n"/>
      <c r="E177" s="29" t="n"/>
      <c r="F177" s="30" t="n"/>
      <c r="G177" s="31" t="n"/>
      <c r="H177" s="31" t="n"/>
      <c r="I177" s="31" t="n"/>
      <c r="J177" s="31" t="n"/>
      <c r="K177" s="31" t="n"/>
      <c r="L177" s="31" t="n"/>
      <c r="M177" s="31" t="n"/>
      <c r="N177" s="31" t="n"/>
      <c r="O177" s="31" t="n"/>
      <c r="P177" s="31" t="n"/>
      <c r="Q177" s="31" t="n"/>
      <c r="R177" s="31" t="n"/>
      <c r="S177" s="32">
        <f>IF($F177="","",IF(IFERROR(VLOOKUP($F177,'维度字典'!$M$2:$N$50,2,0),"求和")="手工录入","",IF(IFERROR(VLOOKUP($F177,'维度字典'!$M$2:$N$50,2,0),"求和")="最新值",IFERROR(LOOKUP(9.99E+307,G177:R177),""),SUM(G177:R177))))</f>
        <v/>
      </c>
      <c r="T177" s="33" t="n"/>
    </row>
    <row r="178">
      <c r="A178" s="26">
        <f>IF($B178="","",ROW()-3)</f>
        <v/>
      </c>
      <c r="B178" s="27" t="n"/>
      <c r="C178" s="27" t="n"/>
      <c r="D178" s="28" t="n"/>
      <c r="E178" s="29" t="n"/>
      <c r="F178" s="30" t="n"/>
      <c r="G178" s="31" t="n"/>
      <c r="H178" s="31" t="n"/>
      <c r="I178" s="31" t="n"/>
      <c r="J178" s="31" t="n"/>
      <c r="K178" s="31" t="n"/>
      <c r="L178" s="31" t="n"/>
      <c r="M178" s="31" t="n"/>
      <c r="N178" s="31" t="n"/>
      <c r="O178" s="31" t="n"/>
      <c r="P178" s="31" t="n"/>
      <c r="Q178" s="31" t="n"/>
      <c r="R178" s="31" t="n"/>
      <c r="S178" s="32">
        <f>IF($F178="","",IF(IFERROR(VLOOKUP($F178,'维度字典'!$M$2:$N$50,2,0),"求和")="手工录入","",IF(IFERROR(VLOOKUP($F178,'维度字典'!$M$2:$N$50,2,0),"求和")="最新值",IFERROR(LOOKUP(9.99E+307,G178:R178),""),SUM(G178:R178))))</f>
        <v/>
      </c>
      <c r="T178" s="33" t="n"/>
    </row>
    <row r="179">
      <c r="A179" s="26">
        <f>IF($B179="","",ROW()-3)</f>
        <v/>
      </c>
      <c r="B179" s="27" t="n"/>
      <c r="C179" s="27" t="n"/>
      <c r="D179" s="28" t="n"/>
      <c r="E179" s="29" t="n"/>
      <c r="F179" s="30" t="n"/>
      <c r="G179" s="31" t="n"/>
      <c r="H179" s="31" t="n"/>
      <c r="I179" s="31" t="n"/>
      <c r="J179" s="31" t="n"/>
      <c r="K179" s="31" t="n"/>
      <c r="L179" s="31" t="n"/>
      <c r="M179" s="31" t="n"/>
      <c r="N179" s="31" t="n"/>
      <c r="O179" s="31" t="n"/>
      <c r="P179" s="31" t="n"/>
      <c r="Q179" s="31" t="n"/>
      <c r="R179" s="31" t="n"/>
      <c r="S179" s="32">
        <f>IF($F179="","",IF(IFERROR(VLOOKUP($F179,'维度字典'!$M$2:$N$50,2,0),"求和")="手工录入","",IF(IFERROR(VLOOKUP($F179,'维度字典'!$M$2:$N$50,2,0),"求和")="最新值",IFERROR(LOOKUP(9.99E+307,G179:R179),""),SUM(G179:R179))))</f>
        <v/>
      </c>
      <c r="T179" s="33" t="n"/>
    </row>
    <row r="180">
      <c r="A180" s="26">
        <f>IF($B180="","",ROW()-3)</f>
        <v/>
      </c>
      <c r="B180" s="27" t="n"/>
      <c r="C180" s="27" t="n"/>
      <c r="D180" s="28" t="n"/>
      <c r="E180" s="29" t="n"/>
      <c r="F180" s="30" t="n"/>
      <c r="G180" s="31" t="n"/>
      <c r="H180" s="31" t="n"/>
      <c r="I180" s="31" t="n"/>
      <c r="J180" s="31" t="n"/>
      <c r="K180" s="31" t="n"/>
      <c r="L180" s="31" t="n"/>
      <c r="M180" s="31" t="n"/>
      <c r="N180" s="31" t="n"/>
      <c r="O180" s="31" t="n"/>
      <c r="P180" s="31" t="n"/>
      <c r="Q180" s="31" t="n"/>
      <c r="R180" s="31" t="n"/>
      <c r="S180" s="32">
        <f>IF($F180="","",IF(IFERROR(VLOOKUP($F180,'维度字典'!$M$2:$N$50,2,0),"求和")="手工录入","",IF(IFERROR(VLOOKUP($F180,'维度字典'!$M$2:$N$50,2,0),"求和")="最新值",IFERROR(LOOKUP(9.99E+307,G180:R180),""),SUM(G180:R180))))</f>
        <v/>
      </c>
      <c r="T180" s="33" t="n"/>
    </row>
    <row r="181">
      <c r="A181" s="26">
        <f>IF($B181="","",ROW()-3)</f>
        <v/>
      </c>
      <c r="B181" s="27" t="n"/>
      <c r="C181" s="27" t="n"/>
      <c r="D181" s="28" t="n"/>
      <c r="E181" s="29" t="n"/>
      <c r="F181" s="30" t="n"/>
      <c r="G181" s="31" t="n"/>
      <c r="H181" s="31" t="n"/>
      <c r="I181" s="31" t="n"/>
      <c r="J181" s="31" t="n"/>
      <c r="K181" s="31" t="n"/>
      <c r="L181" s="31" t="n"/>
      <c r="M181" s="31" t="n"/>
      <c r="N181" s="31" t="n"/>
      <c r="O181" s="31" t="n"/>
      <c r="P181" s="31" t="n"/>
      <c r="Q181" s="31" t="n"/>
      <c r="R181" s="31" t="n"/>
      <c r="S181" s="32">
        <f>IF($F181="","",IF(IFERROR(VLOOKUP($F181,'维度字典'!$M$2:$N$50,2,0),"求和")="手工录入","",IF(IFERROR(VLOOKUP($F181,'维度字典'!$M$2:$N$50,2,0),"求和")="最新值",IFERROR(LOOKUP(9.99E+307,G181:R181),""),SUM(G181:R181))))</f>
        <v/>
      </c>
      <c r="T181" s="33" t="n"/>
    </row>
    <row r="182">
      <c r="A182" s="26">
        <f>IF($B182="","",ROW()-3)</f>
        <v/>
      </c>
      <c r="B182" s="27" t="n"/>
      <c r="C182" s="27" t="n"/>
      <c r="D182" s="28" t="n"/>
      <c r="E182" s="29" t="n"/>
      <c r="F182" s="30" t="n"/>
      <c r="G182" s="31" t="n"/>
      <c r="H182" s="31" t="n"/>
      <c r="I182" s="31" t="n"/>
      <c r="J182" s="31" t="n"/>
      <c r="K182" s="31" t="n"/>
      <c r="L182" s="31" t="n"/>
      <c r="M182" s="31" t="n"/>
      <c r="N182" s="31" t="n"/>
      <c r="O182" s="31" t="n"/>
      <c r="P182" s="31" t="n"/>
      <c r="Q182" s="31" t="n"/>
      <c r="R182" s="31" t="n"/>
      <c r="S182" s="32">
        <f>IF($F182="","",IF(IFERROR(VLOOKUP($F182,'维度字典'!$M$2:$N$50,2,0),"求和")="手工录入","",IF(IFERROR(VLOOKUP($F182,'维度字典'!$M$2:$N$50,2,0),"求和")="最新值",IFERROR(LOOKUP(9.99E+307,G182:R182),""),SUM(G182:R182))))</f>
        <v/>
      </c>
      <c r="T182" s="33" t="n"/>
    </row>
    <row r="183">
      <c r="A183" s="26">
        <f>IF($B183="","",ROW()-3)</f>
        <v/>
      </c>
      <c r="B183" s="27" t="n"/>
      <c r="C183" s="27" t="n"/>
      <c r="D183" s="28" t="n"/>
      <c r="E183" s="29" t="n"/>
      <c r="F183" s="30" t="n"/>
      <c r="G183" s="31" t="n"/>
      <c r="H183" s="31" t="n"/>
      <c r="I183" s="31" t="n"/>
      <c r="J183" s="31" t="n"/>
      <c r="K183" s="31" t="n"/>
      <c r="L183" s="31" t="n"/>
      <c r="M183" s="31" t="n"/>
      <c r="N183" s="31" t="n"/>
      <c r="O183" s="31" t="n"/>
      <c r="P183" s="31" t="n"/>
      <c r="Q183" s="31" t="n"/>
      <c r="R183" s="31" t="n"/>
      <c r="S183" s="32">
        <f>IF($F183="","",IF(IFERROR(VLOOKUP($F183,'维度字典'!$M$2:$N$50,2,0),"求和")="手工录入","",IF(IFERROR(VLOOKUP($F183,'维度字典'!$M$2:$N$50,2,0),"求和")="最新值",IFERROR(LOOKUP(9.99E+307,G183:R183),""),SUM(G183:R183))))</f>
        <v/>
      </c>
      <c r="T183" s="33" t="n"/>
    </row>
    <row r="184">
      <c r="A184" s="26">
        <f>IF($B184="","",ROW()-3)</f>
        <v/>
      </c>
      <c r="B184" s="27" t="n"/>
      <c r="C184" s="27" t="n"/>
      <c r="D184" s="28" t="n"/>
      <c r="E184" s="29" t="n"/>
      <c r="F184" s="30" t="n"/>
      <c r="G184" s="31" t="n"/>
      <c r="H184" s="31" t="n"/>
      <c r="I184" s="31" t="n"/>
      <c r="J184" s="31" t="n"/>
      <c r="K184" s="31" t="n"/>
      <c r="L184" s="31" t="n"/>
      <c r="M184" s="31" t="n"/>
      <c r="N184" s="31" t="n"/>
      <c r="O184" s="31" t="n"/>
      <c r="P184" s="31" t="n"/>
      <c r="Q184" s="31" t="n"/>
      <c r="R184" s="31" t="n"/>
      <c r="S184" s="32">
        <f>IF($F184="","",IF(IFERROR(VLOOKUP($F184,'维度字典'!$M$2:$N$50,2,0),"求和")="手工录入","",IF(IFERROR(VLOOKUP($F184,'维度字典'!$M$2:$N$50,2,0),"求和")="最新值",IFERROR(LOOKUP(9.99E+307,G184:R184),""),SUM(G184:R184))))</f>
        <v/>
      </c>
      <c r="T184" s="33" t="n"/>
    </row>
    <row r="185">
      <c r="A185" s="26">
        <f>IF($B185="","",ROW()-3)</f>
        <v/>
      </c>
      <c r="B185" s="27" t="n"/>
      <c r="C185" s="27" t="n"/>
      <c r="D185" s="28" t="n"/>
      <c r="E185" s="29" t="n"/>
      <c r="F185" s="30" t="n"/>
      <c r="G185" s="31" t="n"/>
      <c r="H185" s="31" t="n"/>
      <c r="I185" s="31" t="n"/>
      <c r="J185" s="31" t="n"/>
      <c r="K185" s="31" t="n"/>
      <c r="L185" s="31" t="n"/>
      <c r="M185" s="31" t="n"/>
      <c r="N185" s="31" t="n"/>
      <c r="O185" s="31" t="n"/>
      <c r="P185" s="31" t="n"/>
      <c r="Q185" s="31" t="n"/>
      <c r="R185" s="31" t="n"/>
      <c r="S185" s="32">
        <f>IF($F185="","",IF(IFERROR(VLOOKUP($F185,'维度字典'!$M$2:$N$50,2,0),"求和")="手工录入","",IF(IFERROR(VLOOKUP($F185,'维度字典'!$M$2:$N$50,2,0),"求和")="最新值",IFERROR(LOOKUP(9.99E+307,G185:R185),""),SUM(G185:R185))))</f>
        <v/>
      </c>
      <c r="T185" s="33" t="n"/>
    </row>
    <row r="186">
      <c r="A186" s="26">
        <f>IF($B186="","",ROW()-3)</f>
        <v/>
      </c>
      <c r="B186" s="27" t="n"/>
      <c r="C186" s="27" t="n"/>
      <c r="D186" s="28" t="n"/>
      <c r="E186" s="29" t="n"/>
      <c r="F186" s="30" t="n"/>
      <c r="G186" s="31" t="n"/>
      <c r="H186" s="31" t="n"/>
      <c r="I186" s="31" t="n"/>
      <c r="J186" s="31" t="n"/>
      <c r="K186" s="31" t="n"/>
      <c r="L186" s="31" t="n"/>
      <c r="M186" s="31" t="n"/>
      <c r="N186" s="31" t="n"/>
      <c r="O186" s="31" t="n"/>
      <c r="P186" s="31" t="n"/>
      <c r="Q186" s="31" t="n"/>
      <c r="R186" s="31" t="n"/>
      <c r="S186" s="32">
        <f>IF($F186="","",IF(IFERROR(VLOOKUP($F186,'维度字典'!$M$2:$N$50,2,0),"求和")="手工录入","",IF(IFERROR(VLOOKUP($F186,'维度字典'!$M$2:$N$50,2,0),"求和")="最新值",IFERROR(LOOKUP(9.99E+307,G186:R186),""),SUM(G186:R186))))</f>
        <v/>
      </c>
      <c r="T186" s="33" t="n"/>
    </row>
    <row r="187">
      <c r="A187" s="26">
        <f>IF($B187="","",ROW()-3)</f>
        <v/>
      </c>
      <c r="B187" s="27" t="n"/>
      <c r="C187" s="27" t="n"/>
      <c r="D187" s="28" t="n"/>
      <c r="E187" s="29" t="n"/>
      <c r="F187" s="30" t="n"/>
      <c r="G187" s="31" t="n"/>
      <c r="H187" s="31" t="n"/>
      <c r="I187" s="31" t="n"/>
      <c r="J187" s="31" t="n"/>
      <c r="K187" s="31" t="n"/>
      <c r="L187" s="31" t="n"/>
      <c r="M187" s="31" t="n"/>
      <c r="N187" s="31" t="n"/>
      <c r="O187" s="31" t="n"/>
      <c r="P187" s="31" t="n"/>
      <c r="Q187" s="31" t="n"/>
      <c r="R187" s="31" t="n"/>
      <c r="S187" s="32">
        <f>IF($F187="","",IF(IFERROR(VLOOKUP($F187,'维度字典'!$M$2:$N$50,2,0),"求和")="手工录入","",IF(IFERROR(VLOOKUP($F187,'维度字典'!$M$2:$N$50,2,0),"求和")="最新值",IFERROR(LOOKUP(9.99E+307,G187:R187),""),SUM(G187:R187))))</f>
        <v/>
      </c>
      <c r="T187" s="33" t="n"/>
    </row>
    <row r="188">
      <c r="A188" s="26">
        <f>IF($B188="","",ROW()-3)</f>
        <v/>
      </c>
      <c r="B188" s="27" t="n"/>
      <c r="C188" s="27" t="n"/>
      <c r="D188" s="28" t="n"/>
      <c r="E188" s="29" t="n"/>
      <c r="F188" s="30" t="n"/>
      <c r="G188" s="31" t="n"/>
      <c r="H188" s="31" t="n"/>
      <c r="I188" s="31" t="n"/>
      <c r="J188" s="31" t="n"/>
      <c r="K188" s="31" t="n"/>
      <c r="L188" s="31" t="n"/>
      <c r="M188" s="31" t="n"/>
      <c r="N188" s="31" t="n"/>
      <c r="O188" s="31" t="n"/>
      <c r="P188" s="31" t="n"/>
      <c r="Q188" s="31" t="n"/>
      <c r="R188" s="31" t="n"/>
      <c r="S188" s="32">
        <f>IF($F188="","",IF(IFERROR(VLOOKUP($F188,'维度字典'!$M$2:$N$50,2,0),"求和")="手工录入","",IF(IFERROR(VLOOKUP($F188,'维度字典'!$M$2:$N$50,2,0),"求和")="最新值",IFERROR(LOOKUP(9.99E+307,G188:R188),""),SUM(G188:R188))))</f>
        <v/>
      </c>
      <c r="T188" s="33" t="n"/>
    </row>
    <row r="189">
      <c r="A189" s="26">
        <f>IF($B189="","",ROW()-3)</f>
        <v/>
      </c>
      <c r="B189" s="27" t="n"/>
      <c r="C189" s="27" t="n"/>
      <c r="D189" s="28" t="n"/>
      <c r="E189" s="29" t="n"/>
      <c r="F189" s="30" t="n"/>
      <c r="G189" s="31" t="n"/>
      <c r="H189" s="31" t="n"/>
      <c r="I189" s="31" t="n"/>
      <c r="J189" s="31" t="n"/>
      <c r="K189" s="31" t="n"/>
      <c r="L189" s="31" t="n"/>
      <c r="M189" s="31" t="n"/>
      <c r="N189" s="31" t="n"/>
      <c r="O189" s="31" t="n"/>
      <c r="P189" s="31" t="n"/>
      <c r="Q189" s="31" t="n"/>
      <c r="R189" s="31" t="n"/>
      <c r="S189" s="32">
        <f>IF($F189="","",IF(IFERROR(VLOOKUP($F189,'维度字典'!$M$2:$N$50,2,0),"求和")="手工录入","",IF(IFERROR(VLOOKUP($F189,'维度字典'!$M$2:$N$50,2,0),"求和")="最新值",IFERROR(LOOKUP(9.99E+307,G189:R189),""),SUM(G189:R189))))</f>
        <v/>
      </c>
      <c r="T189" s="33" t="n"/>
    </row>
    <row r="190">
      <c r="A190" s="26">
        <f>IF($B190="","",ROW()-3)</f>
        <v/>
      </c>
      <c r="B190" s="27" t="n"/>
      <c r="C190" s="27" t="n"/>
      <c r="D190" s="28" t="n"/>
      <c r="E190" s="29" t="n"/>
      <c r="F190" s="30" t="n"/>
      <c r="G190" s="31" t="n"/>
      <c r="H190" s="31" t="n"/>
      <c r="I190" s="31" t="n"/>
      <c r="J190" s="31" t="n"/>
      <c r="K190" s="31" t="n"/>
      <c r="L190" s="31" t="n"/>
      <c r="M190" s="31" t="n"/>
      <c r="N190" s="31" t="n"/>
      <c r="O190" s="31" t="n"/>
      <c r="P190" s="31" t="n"/>
      <c r="Q190" s="31" t="n"/>
      <c r="R190" s="31" t="n"/>
      <c r="S190" s="32">
        <f>IF($F190="","",IF(IFERROR(VLOOKUP($F190,'维度字典'!$M$2:$N$50,2,0),"求和")="手工录入","",IF(IFERROR(VLOOKUP($F190,'维度字典'!$M$2:$N$50,2,0),"求和")="最新值",IFERROR(LOOKUP(9.99E+307,G190:R190),""),SUM(G190:R190))))</f>
        <v/>
      </c>
      <c r="T190" s="33" t="n"/>
    </row>
    <row r="191">
      <c r="A191" s="26">
        <f>IF($B191="","",ROW()-3)</f>
        <v/>
      </c>
      <c r="B191" s="27" t="n"/>
      <c r="C191" s="27" t="n"/>
      <c r="D191" s="28" t="n"/>
      <c r="E191" s="29" t="n"/>
      <c r="F191" s="30" t="n"/>
      <c r="G191" s="31" t="n"/>
      <c r="H191" s="31" t="n"/>
      <c r="I191" s="31" t="n"/>
      <c r="J191" s="31" t="n"/>
      <c r="K191" s="31" t="n"/>
      <c r="L191" s="31" t="n"/>
      <c r="M191" s="31" t="n"/>
      <c r="N191" s="31" t="n"/>
      <c r="O191" s="31" t="n"/>
      <c r="P191" s="31" t="n"/>
      <c r="Q191" s="31" t="n"/>
      <c r="R191" s="31" t="n"/>
      <c r="S191" s="32">
        <f>IF($F191="","",IF(IFERROR(VLOOKUP($F191,'维度字典'!$M$2:$N$50,2,0),"求和")="手工录入","",IF(IFERROR(VLOOKUP($F191,'维度字典'!$M$2:$N$50,2,0),"求和")="最新值",IFERROR(LOOKUP(9.99E+307,G191:R191),""),SUM(G191:R191))))</f>
        <v/>
      </c>
      <c r="T191" s="33" t="n"/>
    </row>
    <row r="192">
      <c r="A192" s="26">
        <f>IF($B192="","",ROW()-3)</f>
        <v/>
      </c>
      <c r="B192" s="27" t="n"/>
      <c r="C192" s="27" t="n"/>
      <c r="D192" s="28" t="n"/>
      <c r="E192" s="29" t="n"/>
      <c r="F192" s="30" t="n"/>
      <c r="G192" s="31" t="n"/>
      <c r="H192" s="31" t="n"/>
      <c r="I192" s="31" t="n"/>
      <c r="J192" s="31" t="n"/>
      <c r="K192" s="31" t="n"/>
      <c r="L192" s="31" t="n"/>
      <c r="M192" s="31" t="n"/>
      <c r="N192" s="31" t="n"/>
      <c r="O192" s="31" t="n"/>
      <c r="P192" s="31" t="n"/>
      <c r="Q192" s="31" t="n"/>
      <c r="R192" s="31" t="n"/>
      <c r="S192" s="32">
        <f>IF($F192="","",IF(IFERROR(VLOOKUP($F192,'维度字典'!$M$2:$N$50,2,0),"求和")="手工录入","",IF(IFERROR(VLOOKUP($F192,'维度字典'!$M$2:$N$50,2,0),"求和")="最新值",IFERROR(LOOKUP(9.99E+307,G192:R192),""),SUM(G192:R192))))</f>
        <v/>
      </c>
      <c r="T192" s="33" t="n"/>
    </row>
    <row r="193">
      <c r="A193" s="26">
        <f>IF($B193="","",ROW()-3)</f>
        <v/>
      </c>
      <c r="B193" s="27" t="n"/>
      <c r="C193" s="27" t="n"/>
      <c r="D193" s="28" t="n"/>
      <c r="E193" s="29" t="n"/>
      <c r="F193" s="30" t="n"/>
      <c r="G193" s="31" t="n"/>
      <c r="H193" s="31" t="n"/>
      <c r="I193" s="31" t="n"/>
      <c r="J193" s="31" t="n"/>
      <c r="K193" s="31" t="n"/>
      <c r="L193" s="31" t="n"/>
      <c r="M193" s="31" t="n"/>
      <c r="N193" s="31" t="n"/>
      <c r="O193" s="31" t="n"/>
      <c r="P193" s="31" t="n"/>
      <c r="Q193" s="31" t="n"/>
      <c r="R193" s="31" t="n"/>
      <c r="S193" s="32">
        <f>IF($F193="","",IF(IFERROR(VLOOKUP($F193,'维度字典'!$M$2:$N$50,2,0),"求和")="手工录入","",IF(IFERROR(VLOOKUP($F193,'维度字典'!$M$2:$N$50,2,0),"求和")="最新值",IFERROR(LOOKUP(9.99E+307,G193:R193),""),SUM(G193:R193))))</f>
        <v/>
      </c>
      <c r="T193" s="33" t="n"/>
    </row>
    <row r="194">
      <c r="A194" s="26">
        <f>IF($B194="","",ROW()-3)</f>
        <v/>
      </c>
      <c r="B194" s="27" t="n"/>
      <c r="C194" s="27" t="n"/>
      <c r="D194" s="28" t="n"/>
      <c r="E194" s="29" t="n"/>
      <c r="F194" s="30" t="n"/>
      <c r="G194" s="31" t="n"/>
      <c r="H194" s="31" t="n"/>
      <c r="I194" s="31" t="n"/>
      <c r="J194" s="31" t="n"/>
      <c r="K194" s="31" t="n"/>
      <c r="L194" s="31" t="n"/>
      <c r="M194" s="31" t="n"/>
      <c r="N194" s="31" t="n"/>
      <c r="O194" s="31" t="n"/>
      <c r="P194" s="31" t="n"/>
      <c r="Q194" s="31" t="n"/>
      <c r="R194" s="31" t="n"/>
      <c r="S194" s="32">
        <f>IF($F194="","",IF(IFERROR(VLOOKUP($F194,'维度字典'!$M$2:$N$50,2,0),"求和")="手工录入","",IF(IFERROR(VLOOKUP($F194,'维度字典'!$M$2:$N$50,2,0),"求和")="最新值",IFERROR(LOOKUP(9.99E+307,G194:R194),""),SUM(G194:R194))))</f>
        <v/>
      </c>
      <c r="T194" s="33" t="n"/>
    </row>
    <row r="195">
      <c r="A195" s="26">
        <f>IF($B195="","",ROW()-3)</f>
        <v/>
      </c>
      <c r="B195" s="27" t="n"/>
      <c r="C195" s="27" t="n"/>
      <c r="D195" s="28" t="n"/>
      <c r="E195" s="29" t="n"/>
      <c r="F195" s="30" t="n"/>
      <c r="G195" s="31" t="n"/>
      <c r="H195" s="31" t="n"/>
      <c r="I195" s="31" t="n"/>
      <c r="J195" s="31" t="n"/>
      <c r="K195" s="31" t="n"/>
      <c r="L195" s="31" t="n"/>
      <c r="M195" s="31" t="n"/>
      <c r="N195" s="31" t="n"/>
      <c r="O195" s="31" t="n"/>
      <c r="P195" s="31" t="n"/>
      <c r="Q195" s="31" t="n"/>
      <c r="R195" s="31" t="n"/>
      <c r="S195" s="32">
        <f>IF($F195="","",IF(IFERROR(VLOOKUP($F195,'维度字典'!$M$2:$N$50,2,0),"求和")="手工录入","",IF(IFERROR(VLOOKUP($F195,'维度字典'!$M$2:$N$50,2,0),"求和")="最新值",IFERROR(LOOKUP(9.99E+307,G195:R195),""),SUM(G195:R195))))</f>
        <v/>
      </c>
      <c r="T195" s="33" t="n"/>
    </row>
    <row r="196">
      <c r="A196" s="26">
        <f>IF($B196="","",ROW()-3)</f>
        <v/>
      </c>
      <c r="B196" s="27" t="n"/>
      <c r="C196" s="27" t="n"/>
      <c r="D196" s="28" t="n"/>
      <c r="E196" s="29" t="n"/>
      <c r="F196" s="30" t="n"/>
      <c r="G196" s="31" t="n"/>
      <c r="H196" s="31" t="n"/>
      <c r="I196" s="31" t="n"/>
      <c r="J196" s="31" t="n"/>
      <c r="K196" s="31" t="n"/>
      <c r="L196" s="31" t="n"/>
      <c r="M196" s="31" t="n"/>
      <c r="N196" s="31" t="n"/>
      <c r="O196" s="31" t="n"/>
      <c r="P196" s="31" t="n"/>
      <c r="Q196" s="31" t="n"/>
      <c r="R196" s="31" t="n"/>
      <c r="S196" s="32">
        <f>IF($F196="","",IF(IFERROR(VLOOKUP($F196,'维度字典'!$M$2:$N$50,2,0),"求和")="手工录入","",IF(IFERROR(VLOOKUP($F196,'维度字典'!$M$2:$N$50,2,0),"求和")="最新值",IFERROR(LOOKUP(9.99E+307,G196:R196),""),SUM(G196:R196))))</f>
        <v/>
      </c>
      <c r="T196" s="33" t="n"/>
    </row>
    <row r="197">
      <c r="A197" s="26">
        <f>IF($B197="","",ROW()-3)</f>
        <v/>
      </c>
      <c r="B197" s="27" t="n"/>
      <c r="C197" s="27" t="n"/>
      <c r="D197" s="28" t="n"/>
      <c r="E197" s="29" t="n"/>
      <c r="F197" s="30" t="n"/>
      <c r="G197" s="31" t="n"/>
      <c r="H197" s="31" t="n"/>
      <c r="I197" s="31" t="n"/>
      <c r="J197" s="31" t="n"/>
      <c r="K197" s="31" t="n"/>
      <c r="L197" s="31" t="n"/>
      <c r="M197" s="31" t="n"/>
      <c r="N197" s="31" t="n"/>
      <c r="O197" s="31" t="n"/>
      <c r="P197" s="31" t="n"/>
      <c r="Q197" s="31" t="n"/>
      <c r="R197" s="31" t="n"/>
      <c r="S197" s="32">
        <f>IF($F197="","",IF(IFERROR(VLOOKUP($F197,'维度字典'!$M$2:$N$50,2,0),"求和")="手工录入","",IF(IFERROR(VLOOKUP($F197,'维度字典'!$M$2:$N$50,2,0),"求和")="最新值",IFERROR(LOOKUP(9.99E+307,G197:R197),""),SUM(G197:R197))))</f>
        <v/>
      </c>
      <c r="T197" s="33" t="n"/>
    </row>
    <row r="198">
      <c r="A198" s="26">
        <f>IF($B198="","",ROW()-3)</f>
        <v/>
      </c>
      <c r="B198" s="27" t="n"/>
      <c r="C198" s="27" t="n"/>
      <c r="D198" s="28" t="n"/>
      <c r="E198" s="29" t="n"/>
      <c r="F198" s="30" t="n"/>
      <c r="G198" s="31" t="n"/>
      <c r="H198" s="31" t="n"/>
      <c r="I198" s="31" t="n"/>
      <c r="J198" s="31" t="n"/>
      <c r="K198" s="31" t="n"/>
      <c r="L198" s="31" t="n"/>
      <c r="M198" s="31" t="n"/>
      <c r="N198" s="31" t="n"/>
      <c r="O198" s="31" t="n"/>
      <c r="P198" s="31" t="n"/>
      <c r="Q198" s="31" t="n"/>
      <c r="R198" s="31" t="n"/>
      <c r="S198" s="32">
        <f>IF($F198="","",IF(IFERROR(VLOOKUP($F198,'维度字典'!$M$2:$N$50,2,0),"求和")="手工录入","",IF(IFERROR(VLOOKUP($F198,'维度字典'!$M$2:$N$50,2,0),"求和")="最新值",IFERROR(LOOKUP(9.99E+307,G198:R198),""),SUM(G198:R198))))</f>
        <v/>
      </c>
      <c r="T198" s="33" t="n"/>
    </row>
    <row r="199">
      <c r="A199" s="26">
        <f>IF($B199="","",ROW()-3)</f>
        <v/>
      </c>
      <c r="B199" s="27" t="n"/>
      <c r="C199" s="27" t="n"/>
      <c r="D199" s="28" t="n"/>
      <c r="E199" s="29" t="n"/>
      <c r="F199" s="30" t="n"/>
      <c r="G199" s="31" t="n"/>
      <c r="H199" s="31" t="n"/>
      <c r="I199" s="31" t="n"/>
      <c r="J199" s="31" t="n"/>
      <c r="K199" s="31" t="n"/>
      <c r="L199" s="31" t="n"/>
      <c r="M199" s="31" t="n"/>
      <c r="N199" s="31" t="n"/>
      <c r="O199" s="31" t="n"/>
      <c r="P199" s="31" t="n"/>
      <c r="Q199" s="31" t="n"/>
      <c r="R199" s="31" t="n"/>
      <c r="S199" s="32">
        <f>IF($F199="","",IF(IFERROR(VLOOKUP($F199,'维度字典'!$M$2:$N$50,2,0),"求和")="手工录入","",IF(IFERROR(VLOOKUP($F199,'维度字典'!$M$2:$N$50,2,0),"求和")="最新值",IFERROR(LOOKUP(9.99E+307,G199:R199),""),SUM(G199:R199))))</f>
        <v/>
      </c>
      <c r="T199" s="33" t="n"/>
    </row>
    <row r="200">
      <c r="A200" s="26">
        <f>IF($B200="","",ROW()-3)</f>
        <v/>
      </c>
      <c r="B200" s="27" t="n"/>
      <c r="C200" s="27" t="n"/>
      <c r="D200" s="28" t="n"/>
      <c r="E200" s="29" t="n"/>
      <c r="F200" s="30" t="n"/>
      <c r="G200" s="31" t="n"/>
      <c r="H200" s="31" t="n"/>
      <c r="I200" s="31" t="n"/>
      <c r="J200" s="31" t="n"/>
      <c r="K200" s="31" t="n"/>
      <c r="L200" s="31" t="n"/>
      <c r="M200" s="31" t="n"/>
      <c r="N200" s="31" t="n"/>
      <c r="O200" s="31" t="n"/>
      <c r="P200" s="31" t="n"/>
      <c r="Q200" s="31" t="n"/>
      <c r="R200" s="31" t="n"/>
      <c r="S200" s="32">
        <f>IF($F200="","",IF(IFERROR(VLOOKUP($F200,'维度字典'!$M$2:$N$50,2,0),"求和")="手工录入","",IF(IFERROR(VLOOKUP($F200,'维度字典'!$M$2:$N$50,2,0),"求和")="最新值",IFERROR(LOOKUP(9.99E+307,G200:R200),""),SUM(G200:R200))))</f>
        <v/>
      </c>
      <c r="T200" s="33" t="n"/>
    </row>
    <row r="201">
      <c r="A201" s="26">
        <f>IF($B201="","",ROW()-3)</f>
        <v/>
      </c>
      <c r="B201" s="27" t="n"/>
      <c r="C201" s="27" t="n"/>
      <c r="D201" s="28" t="n"/>
      <c r="E201" s="29" t="n"/>
      <c r="F201" s="30" t="n"/>
      <c r="G201" s="31" t="n"/>
      <c r="H201" s="31" t="n"/>
      <c r="I201" s="31" t="n"/>
      <c r="J201" s="31" t="n"/>
      <c r="K201" s="31" t="n"/>
      <c r="L201" s="31" t="n"/>
      <c r="M201" s="31" t="n"/>
      <c r="N201" s="31" t="n"/>
      <c r="O201" s="31" t="n"/>
      <c r="P201" s="31" t="n"/>
      <c r="Q201" s="31" t="n"/>
      <c r="R201" s="31" t="n"/>
      <c r="S201" s="32">
        <f>IF($F201="","",IF(IFERROR(VLOOKUP($F201,'维度字典'!$M$2:$N$50,2,0),"求和")="手工录入","",IF(IFERROR(VLOOKUP($F201,'维度字典'!$M$2:$N$50,2,0),"求和")="最新值",IFERROR(LOOKUP(9.99E+307,G201:R201),""),SUM(G201:R201))))</f>
        <v/>
      </c>
      <c r="T201" s="33" t="n"/>
    </row>
    <row r="202">
      <c r="A202" s="26">
        <f>IF($B202="","",ROW()-3)</f>
        <v/>
      </c>
      <c r="B202" s="27" t="n"/>
      <c r="C202" s="27" t="n"/>
      <c r="D202" s="28" t="n"/>
      <c r="E202" s="29" t="n"/>
      <c r="F202" s="30" t="n"/>
      <c r="G202" s="31" t="n"/>
      <c r="H202" s="31" t="n"/>
      <c r="I202" s="31" t="n"/>
      <c r="J202" s="31" t="n"/>
      <c r="K202" s="31" t="n"/>
      <c r="L202" s="31" t="n"/>
      <c r="M202" s="31" t="n"/>
      <c r="N202" s="31" t="n"/>
      <c r="O202" s="31" t="n"/>
      <c r="P202" s="31" t="n"/>
      <c r="Q202" s="31" t="n"/>
      <c r="R202" s="31" t="n"/>
      <c r="S202" s="32">
        <f>IF($F202="","",IF(IFERROR(VLOOKUP($F202,'维度字典'!$M$2:$N$50,2,0),"求和")="手工录入","",IF(IFERROR(VLOOKUP($F202,'维度字典'!$M$2:$N$50,2,0),"求和")="最新值",IFERROR(LOOKUP(9.99E+307,G202:R202),""),SUM(G202:R202))))</f>
        <v/>
      </c>
      <c r="T202" s="33" t="n"/>
    </row>
    <row r="203">
      <c r="A203" s="26">
        <f>IF($B203="","",ROW()-3)</f>
        <v/>
      </c>
      <c r="B203" s="27" t="n"/>
      <c r="C203" s="27" t="n"/>
      <c r="D203" s="28" t="n"/>
      <c r="E203" s="29" t="n"/>
      <c r="F203" s="30" t="n"/>
      <c r="G203" s="31" t="n"/>
      <c r="H203" s="31" t="n"/>
      <c r="I203" s="31" t="n"/>
      <c r="J203" s="31" t="n"/>
      <c r="K203" s="31" t="n"/>
      <c r="L203" s="31" t="n"/>
      <c r="M203" s="31" t="n"/>
      <c r="N203" s="31" t="n"/>
      <c r="O203" s="31" t="n"/>
      <c r="P203" s="31" t="n"/>
      <c r="Q203" s="31" t="n"/>
      <c r="R203" s="31" t="n"/>
      <c r="S203" s="32">
        <f>IF($F203="","",IF(IFERROR(VLOOKUP($F203,'维度字典'!$M$2:$N$50,2,0),"求和")="手工录入","",IF(IFERROR(VLOOKUP($F203,'维度字典'!$M$2:$N$50,2,0),"求和")="最新值",IFERROR(LOOKUP(9.99E+307,G203:R203),""),SUM(G203:R203))))</f>
        <v/>
      </c>
      <c r="T203" s="33" t="n"/>
    </row>
    <row r="204">
      <c r="A204" s="26">
        <f>IF($B204="","",ROW()-3)</f>
        <v/>
      </c>
      <c r="B204" s="27" t="n"/>
      <c r="C204" s="27" t="n"/>
      <c r="D204" s="28" t="n"/>
      <c r="E204" s="29" t="n"/>
      <c r="F204" s="30" t="n"/>
      <c r="G204" s="31" t="n"/>
      <c r="H204" s="31" t="n"/>
      <c r="I204" s="31" t="n"/>
      <c r="J204" s="31" t="n"/>
      <c r="K204" s="31" t="n"/>
      <c r="L204" s="31" t="n"/>
      <c r="M204" s="31" t="n"/>
      <c r="N204" s="31" t="n"/>
      <c r="O204" s="31" t="n"/>
      <c r="P204" s="31" t="n"/>
      <c r="Q204" s="31" t="n"/>
      <c r="R204" s="31" t="n"/>
      <c r="S204" s="32">
        <f>IF($F204="","",IF(IFERROR(VLOOKUP($F204,'维度字典'!$M$2:$N$50,2,0),"求和")="手工录入","",IF(IFERROR(VLOOKUP($F204,'维度字典'!$M$2:$N$50,2,0),"求和")="最新值",IFERROR(LOOKUP(9.99E+307,G204:R204),""),SUM(G204:R204))))</f>
        <v/>
      </c>
      <c r="T204" s="33" t="n"/>
    </row>
    <row r="205">
      <c r="A205" s="26">
        <f>IF($B205="","",ROW()-3)</f>
        <v/>
      </c>
      <c r="B205" s="27" t="n"/>
      <c r="C205" s="27" t="n"/>
      <c r="D205" s="28" t="n"/>
      <c r="E205" s="29" t="n"/>
      <c r="F205" s="30" t="n"/>
      <c r="G205" s="31" t="n"/>
      <c r="H205" s="31" t="n"/>
      <c r="I205" s="31" t="n"/>
      <c r="J205" s="31" t="n"/>
      <c r="K205" s="31" t="n"/>
      <c r="L205" s="31" t="n"/>
      <c r="M205" s="31" t="n"/>
      <c r="N205" s="31" t="n"/>
      <c r="O205" s="31" t="n"/>
      <c r="P205" s="31" t="n"/>
      <c r="Q205" s="31" t="n"/>
      <c r="R205" s="31" t="n"/>
      <c r="S205" s="32">
        <f>IF($F205="","",IF(IFERROR(VLOOKUP($F205,'维度字典'!$M$2:$N$50,2,0),"求和")="手工录入","",IF(IFERROR(VLOOKUP($F205,'维度字典'!$M$2:$N$50,2,0),"求和")="最新值",IFERROR(LOOKUP(9.99E+307,G205:R205),""),SUM(G205:R205))))</f>
        <v/>
      </c>
      <c r="T205" s="33" t="n"/>
    </row>
    <row r="206">
      <c r="A206" s="26">
        <f>IF($B206="","",ROW()-3)</f>
        <v/>
      </c>
      <c r="B206" s="27" t="n"/>
      <c r="C206" s="27" t="n"/>
      <c r="D206" s="28" t="n"/>
      <c r="E206" s="29" t="n"/>
      <c r="F206" s="30" t="n"/>
      <c r="G206" s="31" t="n"/>
      <c r="H206" s="31" t="n"/>
      <c r="I206" s="31" t="n"/>
      <c r="J206" s="31" t="n"/>
      <c r="K206" s="31" t="n"/>
      <c r="L206" s="31" t="n"/>
      <c r="M206" s="31" t="n"/>
      <c r="N206" s="31" t="n"/>
      <c r="O206" s="31" t="n"/>
      <c r="P206" s="31" t="n"/>
      <c r="Q206" s="31" t="n"/>
      <c r="R206" s="31" t="n"/>
      <c r="S206" s="32">
        <f>IF($F206="","",IF(IFERROR(VLOOKUP($F206,'维度字典'!$M$2:$N$50,2,0),"求和")="手工录入","",IF(IFERROR(VLOOKUP($F206,'维度字典'!$M$2:$N$50,2,0),"求和")="最新值",IFERROR(LOOKUP(9.99E+307,G206:R206),""),SUM(G206:R206))))</f>
        <v/>
      </c>
      <c r="T206" s="33" t="n"/>
    </row>
    <row r="207">
      <c r="A207" s="26">
        <f>IF($B207="","",ROW()-3)</f>
        <v/>
      </c>
      <c r="B207" s="27" t="n"/>
      <c r="C207" s="27" t="n"/>
      <c r="D207" s="28" t="n"/>
      <c r="E207" s="29" t="n"/>
      <c r="F207" s="30" t="n"/>
      <c r="G207" s="31" t="n"/>
      <c r="H207" s="31" t="n"/>
      <c r="I207" s="31" t="n"/>
      <c r="J207" s="31" t="n"/>
      <c r="K207" s="31" t="n"/>
      <c r="L207" s="31" t="n"/>
      <c r="M207" s="31" t="n"/>
      <c r="N207" s="31" t="n"/>
      <c r="O207" s="31" t="n"/>
      <c r="P207" s="31" t="n"/>
      <c r="Q207" s="31" t="n"/>
      <c r="R207" s="31" t="n"/>
      <c r="S207" s="32">
        <f>IF($F207="","",IF(IFERROR(VLOOKUP($F207,'维度字典'!$M$2:$N$50,2,0),"求和")="手工录入","",IF(IFERROR(VLOOKUP($F207,'维度字典'!$M$2:$N$50,2,0),"求和")="最新值",IFERROR(LOOKUP(9.99E+307,G207:R207),""),SUM(G207:R207))))</f>
        <v/>
      </c>
      <c r="T207" s="33" t="n"/>
    </row>
    <row r="208">
      <c r="A208" s="26">
        <f>IF($B208="","",ROW()-3)</f>
        <v/>
      </c>
      <c r="B208" s="27" t="n"/>
      <c r="C208" s="27" t="n"/>
      <c r="D208" s="28" t="n"/>
      <c r="E208" s="29" t="n"/>
      <c r="F208" s="30" t="n"/>
      <c r="G208" s="31" t="n"/>
      <c r="H208" s="31" t="n"/>
      <c r="I208" s="31" t="n"/>
      <c r="J208" s="31" t="n"/>
      <c r="K208" s="31" t="n"/>
      <c r="L208" s="31" t="n"/>
      <c r="M208" s="31" t="n"/>
      <c r="N208" s="31" t="n"/>
      <c r="O208" s="31" t="n"/>
      <c r="P208" s="31" t="n"/>
      <c r="Q208" s="31" t="n"/>
      <c r="R208" s="31" t="n"/>
      <c r="S208" s="32">
        <f>IF($F208="","",IF(IFERROR(VLOOKUP($F208,'维度字典'!$M$2:$N$50,2,0),"求和")="手工录入","",IF(IFERROR(VLOOKUP($F208,'维度字典'!$M$2:$N$50,2,0),"求和")="最新值",IFERROR(LOOKUP(9.99E+307,G208:R208),""),SUM(G208:R208))))</f>
        <v/>
      </c>
      <c r="T208" s="33" t="n"/>
    </row>
    <row r="209">
      <c r="A209" s="26">
        <f>IF($B209="","",ROW()-3)</f>
        <v/>
      </c>
      <c r="B209" s="27" t="n"/>
      <c r="C209" s="27" t="n"/>
      <c r="D209" s="28" t="n"/>
      <c r="E209" s="29" t="n"/>
      <c r="F209" s="30" t="n"/>
      <c r="G209" s="31" t="n"/>
      <c r="H209" s="31" t="n"/>
      <c r="I209" s="31" t="n"/>
      <c r="J209" s="31" t="n"/>
      <c r="K209" s="31" t="n"/>
      <c r="L209" s="31" t="n"/>
      <c r="M209" s="31" t="n"/>
      <c r="N209" s="31" t="n"/>
      <c r="O209" s="31" t="n"/>
      <c r="P209" s="31" t="n"/>
      <c r="Q209" s="31" t="n"/>
      <c r="R209" s="31" t="n"/>
      <c r="S209" s="32">
        <f>IF($F209="","",IF(IFERROR(VLOOKUP($F209,'维度字典'!$M$2:$N$50,2,0),"求和")="手工录入","",IF(IFERROR(VLOOKUP($F209,'维度字典'!$M$2:$N$50,2,0),"求和")="最新值",IFERROR(LOOKUP(9.99E+307,G209:R209),""),SUM(G209:R209))))</f>
        <v/>
      </c>
      <c r="T209" s="33" t="n"/>
    </row>
    <row r="210">
      <c r="A210" s="26">
        <f>IF($B210="","",ROW()-3)</f>
        <v/>
      </c>
      <c r="B210" s="27" t="n"/>
      <c r="C210" s="27" t="n"/>
      <c r="D210" s="28" t="n"/>
      <c r="E210" s="29" t="n"/>
      <c r="F210" s="30" t="n"/>
      <c r="G210" s="31" t="n"/>
      <c r="H210" s="31" t="n"/>
      <c r="I210" s="31" t="n"/>
      <c r="J210" s="31" t="n"/>
      <c r="K210" s="31" t="n"/>
      <c r="L210" s="31" t="n"/>
      <c r="M210" s="31" t="n"/>
      <c r="N210" s="31" t="n"/>
      <c r="O210" s="31" t="n"/>
      <c r="P210" s="31" t="n"/>
      <c r="Q210" s="31" t="n"/>
      <c r="R210" s="31" t="n"/>
      <c r="S210" s="32">
        <f>IF($F210="","",IF(IFERROR(VLOOKUP($F210,'维度字典'!$M$2:$N$50,2,0),"求和")="手工录入","",IF(IFERROR(VLOOKUP($F210,'维度字典'!$M$2:$N$50,2,0),"求和")="最新值",IFERROR(LOOKUP(9.99E+307,G210:R210),""),SUM(G210:R210))))</f>
        <v/>
      </c>
      <c r="T210" s="33" t="n"/>
    </row>
    <row r="211">
      <c r="A211" s="26">
        <f>IF($B211="","",ROW()-3)</f>
        <v/>
      </c>
      <c r="B211" s="27" t="n"/>
      <c r="C211" s="27" t="n"/>
      <c r="D211" s="28" t="n"/>
      <c r="E211" s="29" t="n"/>
      <c r="F211" s="30" t="n"/>
      <c r="G211" s="31" t="n"/>
      <c r="H211" s="31" t="n"/>
      <c r="I211" s="31" t="n"/>
      <c r="J211" s="31" t="n"/>
      <c r="K211" s="31" t="n"/>
      <c r="L211" s="31" t="n"/>
      <c r="M211" s="31" t="n"/>
      <c r="N211" s="31" t="n"/>
      <c r="O211" s="31" t="n"/>
      <c r="P211" s="31" t="n"/>
      <c r="Q211" s="31" t="n"/>
      <c r="R211" s="31" t="n"/>
      <c r="S211" s="32">
        <f>IF($F211="","",IF(IFERROR(VLOOKUP($F211,'维度字典'!$M$2:$N$50,2,0),"求和")="手工录入","",IF(IFERROR(VLOOKUP($F211,'维度字典'!$M$2:$N$50,2,0),"求和")="最新值",IFERROR(LOOKUP(9.99E+307,G211:R211),""),SUM(G211:R211))))</f>
        <v/>
      </c>
      <c r="T211" s="33" t="n"/>
    </row>
    <row r="212">
      <c r="A212" s="26">
        <f>IF($B212="","",ROW()-3)</f>
        <v/>
      </c>
      <c r="B212" s="27" t="n"/>
      <c r="C212" s="27" t="n"/>
      <c r="D212" s="28" t="n"/>
      <c r="E212" s="29" t="n"/>
      <c r="F212" s="30" t="n"/>
      <c r="G212" s="31" t="n"/>
      <c r="H212" s="31" t="n"/>
      <c r="I212" s="31" t="n"/>
      <c r="J212" s="31" t="n"/>
      <c r="K212" s="31" t="n"/>
      <c r="L212" s="31" t="n"/>
      <c r="M212" s="31" t="n"/>
      <c r="N212" s="31" t="n"/>
      <c r="O212" s="31" t="n"/>
      <c r="P212" s="31" t="n"/>
      <c r="Q212" s="31" t="n"/>
      <c r="R212" s="31" t="n"/>
      <c r="S212" s="32">
        <f>IF($F212="","",IF(IFERROR(VLOOKUP($F212,'维度字典'!$M$2:$N$50,2,0),"求和")="手工录入","",IF(IFERROR(VLOOKUP($F212,'维度字典'!$M$2:$N$50,2,0),"求和")="最新值",IFERROR(LOOKUP(9.99E+307,G212:R212),""),SUM(G212:R212))))</f>
        <v/>
      </c>
      <c r="T212" s="33" t="n"/>
    </row>
    <row r="213">
      <c r="A213" s="26">
        <f>IF($B213="","",ROW()-3)</f>
        <v/>
      </c>
      <c r="B213" s="27" t="n"/>
      <c r="C213" s="27" t="n"/>
      <c r="D213" s="28" t="n"/>
      <c r="E213" s="29" t="n"/>
      <c r="F213" s="30" t="n"/>
      <c r="G213" s="31" t="n"/>
      <c r="H213" s="31" t="n"/>
      <c r="I213" s="31" t="n"/>
      <c r="J213" s="31" t="n"/>
      <c r="K213" s="31" t="n"/>
      <c r="L213" s="31" t="n"/>
      <c r="M213" s="31" t="n"/>
      <c r="N213" s="31" t="n"/>
      <c r="O213" s="31" t="n"/>
      <c r="P213" s="31" t="n"/>
      <c r="Q213" s="31" t="n"/>
      <c r="R213" s="31" t="n"/>
      <c r="S213" s="32">
        <f>IF($F213="","",IF(IFERROR(VLOOKUP($F213,'维度字典'!$M$2:$N$50,2,0),"求和")="手工录入","",IF(IFERROR(VLOOKUP($F213,'维度字典'!$M$2:$N$50,2,0),"求和")="最新值",IFERROR(LOOKUP(9.99E+307,G213:R213),""),SUM(G213:R213))))</f>
        <v/>
      </c>
      <c r="T213" s="33" t="n"/>
    </row>
    <row r="214">
      <c r="A214" s="26">
        <f>IF($B214="","",ROW()-3)</f>
        <v/>
      </c>
      <c r="B214" s="27" t="n"/>
      <c r="C214" s="27" t="n"/>
      <c r="D214" s="28" t="n"/>
      <c r="E214" s="29" t="n"/>
      <c r="F214" s="30" t="n"/>
      <c r="G214" s="31" t="n"/>
      <c r="H214" s="31" t="n"/>
      <c r="I214" s="31" t="n"/>
      <c r="J214" s="31" t="n"/>
      <c r="K214" s="31" t="n"/>
      <c r="L214" s="31" t="n"/>
      <c r="M214" s="31" t="n"/>
      <c r="N214" s="31" t="n"/>
      <c r="O214" s="31" t="n"/>
      <c r="P214" s="31" t="n"/>
      <c r="Q214" s="31" t="n"/>
      <c r="R214" s="31" t="n"/>
      <c r="S214" s="32">
        <f>IF($F214="","",IF(IFERROR(VLOOKUP($F214,'维度字典'!$M$2:$N$50,2,0),"求和")="手工录入","",IF(IFERROR(VLOOKUP($F214,'维度字典'!$M$2:$N$50,2,0),"求和")="最新值",IFERROR(LOOKUP(9.99E+307,G214:R214),""),SUM(G214:R214))))</f>
        <v/>
      </c>
      <c r="T214" s="33" t="n"/>
    </row>
    <row r="215">
      <c r="A215" s="26">
        <f>IF($B215="","",ROW()-3)</f>
        <v/>
      </c>
      <c r="B215" s="27" t="n"/>
      <c r="C215" s="27" t="n"/>
      <c r="D215" s="28" t="n"/>
      <c r="E215" s="29" t="n"/>
      <c r="F215" s="30" t="n"/>
      <c r="G215" s="31" t="n"/>
      <c r="H215" s="31" t="n"/>
      <c r="I215" s="31" t="n"/>
      <c r="J215" s="31" t="n"/>
      <c r="K215" s="31" t="n"/>
      <c r="L215" s="31" t="n"/>
      <c r="M215" s="31" t="n"/>
      <c r="N215" s="31" t="n"/>
      <c r="O215" s="31" t="n"/>
      <c r="P215" s="31" t="n"/>
      <c r="Q215" s="31" t="n"/>
      <c r="R215" s="31" t="n"/>
      <c r="S215" s="32">
        <f>IF($F215="","",IF(IFERROR(VLOOKUP($F215,'维度字典'!$M$2:$N$50,2,0),"求和")="手工录入","",IF(IFERROR(VLOOKUP($F215,'维度字典'!$M$2:$N$50,2,0),"求和")="最新值",IFERROR(LOOKUP(9.99E+307,G215:R215),""),SUM(G215:R215))))</f>
        <v/>
      </c>
      <c r="T215" s="33" t="n"/>
    </row>
    <row r="216">
      <c r="A216" s="26">
        <f>IF($B216="","",ROW()-3)</f>
        <v/>
      </c>
      <c r="B216" s="27" t="n"/>
      <c r="C216" s="27" t="n"/>
      <c r="D216" s="28" t="n"/>
      <c r="E216" s="29" t="n"/>
      <c r="F216" s="30" t="n"/>
      <c r="G216" s="31" t="n"/>
      <c r="H216" s="31" t="n"/>
      <c r="I216" s="31" t="n"/>
      <c r="J216" s="31" t="n"/>
      <c r="K216" s="31" t="n"/>
      <c r="L216" s="31" t="n"/>
      <c r="M216" s="31" t="n"/>
      <c r="N216" s="31" t="n"/>
      <c r="O216" s="31" t="n"/>
      <c r="P216" s="31" t="n"/>
      <c r="Q216" s="31" t="n"/>
      <c r="R216" s="31" t="n"/>
      <c r="S216" s="32">
        <f>IF($F216="","",IF(IFERROR(VLOOKUP($F216,'维度字典'!$M$2:$N$50,2,0),"求和")="手工录入","",IF(IFERROR(VLOOKUP($F216,'维度字典'!$M$2:$N$50,2,0),"求和")="最新值",IFERROR(LOOKUP(9.99E+307,G216:R216),""),SUM(G216:R216))))</f>
        <v/>
      </c>
      <c r="T216" s="33" t="n"/>
    </row>
    <row r="217">
      <c r="A217" s="26">
        <f>IF($B217="","",ROW()-3)</f>
        <v/>
      </c>
      <c r="B217" s="27" t="n"/>
      <c r="C217" s="27" t="n"/>
      <c r="D217" s="28" t="n"/>
      <c r="E217" s="29" t="n"/>
      <c r="F217" s="30" t="n"/>
      <c r="G217" s="31" t="n"/>
      <c r="H217" s="31" t="n"/>
      <c r="I217" s="31" t="n"/>
      <c r="J217" s="31" t="n"/>
      <c r="K217" s="31" t="n"/>
      <c r="L217" s="31" t="n"/>
      <c r="M217" s="31" t="n"/>
      <c r="N217" s="31" t="n"/>
      <c r="O217" s="31" t="n"/>
      <c r="P217" s="31" t="n"/>
      <c r="Q217" s="31" t="n"/>
      <c r="R217" s="31" t="n"/>
      <c r="S217" s="32">
        <f>IF($F217="","",IF(IFERROR(VLOOKUP($F217,'维度字典'!$M$2:$N$50,2,0),"求和")="手工录入","",IF(IFERROR(VLOOKUP($F217,'维度字典'!$M$2:$N$50,2,0),"求和")="最新值",IFERROR(LOOKUP(9.99E+307,G217:R217),""),SUM(G217:R217))))</f>
        <v/>
      </c>
      <c r="T217" s="33" t="n"/>
    </row>
    <row r="218">
      <c r="A218" s="26">
        <f>IF($B218="","",ROW()-3)</f>
        <v/>
      </c>
      <c r="B218" s="27" t="n"/>
      <c r="C218" s="27" t="n"/>
      <c r="D218" s="28" t="n"/>
      <c r="E218" s="29" t="n"/>
      <c r="F218" s="30" t="n"/>
      <c r="G218" s="31" t="n"/>
      <c r="H218" s="31" t="n"/>
      <c r="I218" s="31" t="n"/>
      <c r="J218" s="31" t="n"/>
      <c r="K218" s="31" t="n"/>
      <c r="L218" s="31" t="n"/>
      <c r="M218" s="31" t="n"/>
      <c r="N218" s="31" t="n"/>
      <c r="O218" s="31" t="n"/>
      <c r="P218" s="31" t="n"/>
      <c r="Q218" s="31" t="n"/>
      <c r="R218" s="31" t="n"/>
      <c r="S218" s="32">
        <f>IF($F218="","",IF(IFERROR(VLOOKUP($F218,'维度字典'!$M$2:$N$50,2,0),"求和")="手工录入","",IF(IFERROR(VLOOKUP($F218,'维度字典'!$M$2:$N$50,2,0),"求和")="最新值",IFERROR(LOOKUP(9.99E+307,G218:R218),""),SUM(G218:R218))))</f>
        <v/>
      </c>
      <c r="T218" s="33" t="n"/>
    </row>
    <row r="219">
      <c r="A219" s="26">
        <f>IF($B219="","",ROW()-3)</f>
        <v/>
      </c>
      <c r="B219" s="27" t="n"/>
      <c r="C219" s="27" t="n"/>
      <c r="D219" s="28" t="n"/>
      <c r="E219" s="29" t="n"/>
      <c r="F219" s="30" t="n"/>
      <c r="G219" s="31" t="n"/>
      <c r="H219" s="31" t="n"/>
      <c r="I219" s="31" t="n"/>
      <c r="J219" s="31" t="n"/>
      <c r="K219" s="31" t="n"/>
      <c r="L219" s="31" t="n"/>
      <c r="M219" s="31" t="n"/>
      <c r="N219" s="31" t="n"/>
      <c r="O219" s="31" t="n"/>
      <c r="P219" s="31" t="n"/>
      <c r="Q219" s="31" t="n"/>
      <c r="R219" s="31" t="n"/>
      <c r="S219" s="32">
        <f>IF($F219="","",IF(IFERROR(VLOOKUP($F219,'维度字典'!$M$2:$N$50,2,0),"求和")="手工录入","",IF(IFERROR(VLOOKUP($F219,'维度字典'!$M$2:$N$50,2,0),"求和")="最新值",IFERROR(LOOKUP(9.99E+307,G219:R219),""),SUM(G219:R219))))</f>
        <v/>
      </c>
      <c r="T219" s="33" t="n"/>
    </row>
    <row r="220">
      <c r="A220" s="26">
        <f>IF($B220="","",ROW()-3)</f>
        <v/>
      </c>
      <c r="B220" s="27" t="n"/>
      <c r="C220" s="27" t="n"/>
      <c r="D220" s="28" t="n"/>
      <c r="E220" s="29" t="n"/>
      <c r="F220" s="30" t="n"/>
      <c r="G220" s="31" t="n"/>
      <c r="H220" s="31" t="n"/>
      <c r="I220" s="31" t="n"/>
      <c r="J220" s="31" t="n"/>
      <c r="K220" s="31" t="n"/>
      <c r="L220" s="31" t="n"/>
      <c r="M220" s="31" t="n"/>
      <c r="N220" s="31" t="n"/>
      <c r="O220" s="31" t="n"/>
      <c r="P220" s="31" t="n"/>
      <c r="Q220" s="31" t="n"/>
      <c r="R220" s="31" t="n"/>
      <c r="S220" s="32">
        <f>IF($F220="","",IF(IFERROR(VLOOKUP($F220,'维度字典'!$M$2:$N$50,2,0),"求和")="手工录入","",IF(IFERROR(VLOOKUP($F220,'维度字典'!$M$2:$N$50,2,0),"求和")="最新值",IFERROR(LOOKUP(9.99E+307,G220:R220),""),SUM(G220:R220))))</f>
        <v/>
      </c>
      <c r="T220" s="33" t="n"/>
    </row>
    <row r="221">
      <c r="A221" s="26">
        <f>IF($B221="","",ROW()-3)</f>
        <v/>
      </c>
      <c r="B221" s="27" t="n"/>
      <c r="C221" s="27" t="n"/>
      <c r="D221" s="28" t="n"/>
      <c r="E221" s="29" t="n"/>
      <c r="F221" s="30" t="n"/>
      <c r="G221" s="31" t="n"/>
      <c r="H221" s="31" t="n"/>
      <c r="I221" s="31" t="n"/>
      <c r="J221" s="31" t="n"/>
      <c r="K221" s="31" t="n"/>
      <c r="L221" s="31" t="n"/>
      <c r="M221" s="31" t="n"/>
      <c r="N221" s="31" t="n"/>
      <c r="O221" s="31" t="n"/>
      <c r="P221" s="31" t="n"/>
      <c r="Q221" s="31" t="n"/>
      <c r="R221" s="31" t="n"/>
      <c r="S221" s="32">
        <f>IF($F221="","",IF(IFERROR(VLOOKUP($F221,'维度字典'!$M$2:$N$50,2,0),"求和")="手工录入","",IF(IFERROR(VLOOKUP($F221,'维度字典'!$M$2:$N$50,2,0),"求和")="最新值",IFERROR(LOOKUP(9.99E+307,G221:R221),""),SUM(G221:R221))))</f>
        <v/>
      </c>
      <c r="T221" s="33" t="n"/>
    </row>
    <row r="222">
      <c r="A222" s="26">
        <f>IF($B222="","",ROW()-3)</f>
        <v/>
      </c>
      <c r="B222" s="27" t="n"/>
      <c r="C222" s="27" t="n"/>
      <c r="D222" s="28" t="n"/>
      <c r="E222" s="29" t="n"/>
      <c r="F222" s="30" t="n"/>
      <c r="G222" s="31" t="n"/>
      <c r="H222" s="31" t="n"/>
      <c r="I222" s="31" t="n"/>
      <c r="J222" s="31" t="n"/>
      <c r="K222" s="31" t="n"/>
      <c r="L222" s="31" t="n"/>
      <c r="M222" s="31" t="n"/>
      <c r="N222" s="31" t="n"/>
      <c r="O222" s="31" t="n"/>
      <c r="P222" s="31" t="n"/>
      <c r="Q222" s="31" t="n"/>
      <c r="R222" s="31" t="n"/>
      <c r="S222" s="32">
        <f>IF($F222="","",IF(IFERROR(VLOOKUP($F222,'维度字典'!$M$2:$N$50,2,0),"求和")="手工录入","",IF(IFERROR(VLOOKUP($F222,'维度字典'!$M$2:$N$50,2,0),"求和")="最新值",IFERROR(LOOKUP(9.99E+307,G222:R222),""),SUM(G222:R222))))</f>
        <v/>
      </c>
      <c r="T222" s="33" t="n"/>
    </row>
    <row r="223">
      <c r="A223" s="26">
        <f>IF($B223="","",ROW()-3)</f>
        <v/>
      </c>
      <c r="B223" s="27" t="n"/>
      <c r="C223" s="27" t="n"/>
      <c r="D223" s="28" t="n"/>
      <c r="E223" s="29" t="n"/>
      <c r="F223" s="30" t="n"/>
      <c r="G223" s="31" t="n"/>
      <c r="H223" s="31" t="n"/>
      <c r="I223" s="31" t="n"/>
      <c r="J223" s="31" t="n"/>
      <c r="K223" s="31" t="n"/>
      <c r="L223" s="31" t="n"/>
      <c r="M223" s="31" t="n"/>
      <c r="N223" s="31" t="n"/>
      <c r="O223" s="31" t="n"/>
      <c r="P223" s="31" t="n"/>
      <c r="Q223" s="31" t="n"/>
      <c r="R223" s="31" t="n"/>
      <c r="S223" s="32">
        <f>IF($F223="","",IF(IFERROR(VLOOKUP($F223,'维度字典'!$M$2:$N$50,2,0),"求和")="手工录入","",IF(IFERROR(VLOOKUP($F223,'维度字典'!$M$2:$N$50,2,0),"求和")="最新值",IFERROR(LOOKUP(9.99E+307,G223:R223),""),SUM(G223:R223))))</f>
        <v/>
      </c>
      <c r="T223" s="33" t="n"/>
    </row>
    <row r="224">
      <c r="A224" s="26">
        <f>IF($B224="","",ROW()-3)</f>
        <v/>
      </c>
      <c r="B224" s="27" t="n"/>
      <c r="C224" s="27" t="n"/>
      <c r="D224" s="28" t="n"/>
      <c r="E224" s="29" t="n"/>
      <c r="F224" s="30" t="n"/>
      <c r="G224" s="31" t="n"/>
      <c r="H224" s="31" t="n"/>
      <c r="I224" s="31" t="n"/>
      <c r="J224" s="31" t="n"/>
      <c r="K224" s="31" t="n"/>
      <c r="L224" s="31" t="n"/>
      <c r="M224" s="31" t="n"/>
      <c r="N224" s="31" t="n"/>
      <c r="O224" s="31" t="n"/>
      <c r="P224" s="31" t="n"/>
      <c r="Q224" s="31" t="n"/>
      <c r="R224" s="31" t="n"/>
      <c r="S224" s="32">
        <f>IF($F224="","",IF(IFERROR(VLOOKUP($F224,'维度字典'!$M$2:$N$50,2,0),"求和")="手工录入","",IF(IFERROR(VLOOKUP($F224,'维度字典'!$M$2:$N$50,2,0),"求和")="最新值",IFERROR(LOOKUP(9.99E+307,G224:R224),""),SUM(G224:R224))))</f>
        <v/>
      </c>
      <c r="T224" s="33" t="n"/>
    </row>
    <row r="225">
      <c r="A225" s="26">
        <f>IF($B225="","",ROW()-3)</f>
        <v/>
      </c>
      <c r="B225" s="27" t="n"/>
      <c r="C225" s="27" t="n"/>
      <c r="D225" s="28" t="n"/>
      <c r="E225" s="29" t="n"/>
      <c r="F225" s="30" t="n"/>
      <c r="G225" s="31" t="n"/>
      <c r="H225" s="31" t="n"/>
      <c r="I225" s="31" t="n"/>
      <c r="J225" s="31" t="n"/>
      <c r="K225" s="31" t="n"/>
      <c r="L225" s="31" t="n"/>
      <c r="M225" s="31" t="n"/>
      <c r="N225" s="31" t="n"/>
      <c r="O225" s="31" t="n"/>
      <c r="P225" s="31" t="n"/>
      <c r="Q225" s="31" t="n"/>
      <c r="R225" s="31" t="n"/>
      <c r="S225" s="32">
        <f>IF($F225="","",IF(IFERROR(VLOOKUP($F225,'维度字典'!$M$2:$N$50,2,0),"求和")="手工录入","",IF(IFERROR(VLOOKUP($F225,'维度字典'!$M$2:$N$50,2,0),"求和")="最新值",IFERROR(LOOKUP(9.99E+307,G225:R225),""),SUM(G225:R225))))</f>
        <v/>
      </c>
      <c r="T225" s="33" t="n"/>
    </row>
    <row r="226">
      <c r="A226" s="26">
        <f>IF($B226="","",ROW()-3)</f>
        <v/>
      </c>
      <c r="B226" s="27" t="n"/>
      <c r="C226" s="27" t="n"/>
      <c r="D226" s="28" t="n"/>
      <c r="E226" s="29" t="n"/>
      <c r="F226" s="30" t="n"/>
      <c r="G226" s="31" t="n"/>
      <c r="H226" s="31" t="n"/>
      <c r="I226" s="31" t="n"/>
      <c r="J226" s="31" t="n"/>
      <c r="K226" s="31" t="n"/>
      <c r="L226" s="31" t="n"/>
      <c r="M226" s="31" t="n"/>
      <c r="N226" s="31" t="n"/>
      <c r="O226" s="31" t="n"/>
      <c r="P226" s="31" t="n"/>
      <c r="Q226" s="31" t="n"/>
      <c r="R226" s="31" t="n"/>
      <c r="S226" s="32">
        <f>IF($F226="","",IF(IFERROR(VLOOKUP($F226,'维度字典'!$M$2:$N$50,2,0),"求和")="手工录入","",IF(IFERROR(VLOOKUP($F226,'维度字典'!$M$2:$N$50,2,0),"求和")="最新值",IFERROR(LOOKUP(9.99E+307,G226:R226),""),SUM(G226:R226))))</f>
        <v/>
      </c>
      <c r="T226" s="33" t="n"/>
    </row>
    <row r="227">
      <c r="A227" s="26">
        <f>IF($B227="","",ROW()-3)</f>
        <v/>
      </c>
      <c r="B227" s="27" t="n"/>
      <c r="C227" s="27" t="n"/>
      <c r="D227" s="28" t="n"/>
      <c r="E227" s="29" t="n"/>
      <c r="F227" s="30" t="n"/>
      <c r="G227" s="31" t="n"/>
      <c r="H227" s="31" t="n"/>
      <c r="I227" s="31" t="n"/>
      <c r="J227" s="31" t="n"/>
      <c r="K227" s="31" t="n"/>
      <c r="L227" s="31" t="n"/>
      <c r="M227" s="31" t="n"/>
      <c r="N227" s="31" t="n"/>
      <c r="O227" s="31" t="n"/>
      <c r="P227" s="31" t="n"/>
      <c r="Q227" s="31" t="n"/>
      <c r="R227" s="31" t="n"/>
      <c r="S227" s="32">
        <f>IF($F227="","",IF(IFERROR(VLOOKUP($F227,'维度字典'!$M$2:$N$50,2,0),"求和")="手工录入","",IF(IFERROR(VLOOKUP($F227,'维度字典'!$M$2:$N$50,2,0),"求和")="最新值",IFERROR(LOOKUP(9.99E+307,G227:R227),""),SUM(G227:R227))))</f>
        <v/>
      </c>
      <c r="T227" s="33" t="n"/>
    </row>
    <row r="228">
      <c r="A228" s="26">
        <f>IF($B228="","",ROW()-3)</f>
        <v/>
      </c>
      <c r="B228" s="27" t="n"/>
      <c r="C228" s="27" t="n"/>
      <c r="D228" s="28" t="n"/>
      <c r="E228" s="29" t="n"/>
      <c r="F228" s="30" t="n"/>
      <c r="G228" s="31" t="n"/>
      <c r="H228" s="31" t="n"/>
      <c r="I228" s="31" t="n"/>
      <c r="J228" s="31" t="n"/>
      <c r="K228" s="31" t="n"/>
      <c r="L228" s="31" t="n"/>
      <c r="M228" s="31" t="n"/>
      <c r="N228" s="31" t="n"/>
      <c r="O228" s="31" t="n"/>
      <c r="P228" s="31" t="n"/>
      <c r="Q228" s="31" t="n"/>
      <c r="R228" s="31" t="n"/>
      <c r="S228" s="32">
        <f>IF($F228="","",IF(IFERROR(VLOOKUP($F228,'维度字典'!$M$2:$N$50,2,0),"求和")="手工录入","",IF(IFERROR(VLOOKUP($F228,'维度字典'!$M$2:$N$50,2,0),"求和")="最新值",IFERROR(LOOKUP(9.99E+307,G228:R228),""),SUM(G228:R228))))</f>
        <v/>
      </c>
      <c r="T228" s="33" t="n"/>
    </row>
    <row r="229">
      <c r="A229" s="26">
        <f>IF($B229="","",ROW()-3)</f>
        <v/>
      </c>
      <c r="B229" s="27" t="n"/>
      <c r="C229" s="27" t="n"/>
      <c r="D229" s="28" t="n"/>
      <c r="E229" s="29" t="n"/>
      <c r="F229" s="30" t="n"/>
      <c r="G229" s="31" t="n"/>
      <c r="H229" s="31" t="n"/>
      <c r="I229" s="31" t="n"/>
      <c r="J229" s="31" t="n"/>
      <c r="K229" s="31" t="n"/>
      <c r="L229" s="31" t="n"/>
      <c r="M229" s="31" t="n"/>
      <c r="N229" s="31" t="n"/>
      <c r="O229" s="31" t="n"/>
      <c r="P229" s="31" t="n"/>
      <c r="Q229" s="31" t="n"/>
      <c r="R229" s="31" t="n"/>
      <c r="S229" s="32">
        <f>IF($F229="","",IF(IFERROR(VLOOKUP($F229,'维度字典'!$M$2:$N$50,2,0),"求和")="手工录入","",IF(IFERROR(VLOOKUP($F229,'维度字典'!$M$2:$N$50,2,0),"求和")="最新值",IFERROR(LOOKUP(9.99E+307,G229:R229),""),SUM(G229:R229))))</f>
        <v/>
      </c>
      <c r="T229" s="33" t="n"/>
    </row>
    <row r="230">
      <c r="A230" s="26">
        <f>IF($B230="","",ROW()-3)</f>
        <v/>
      </c>
      <c r="B230" s="27" t="n"/>
      <c r="C230" s="27" t="n"/>
      <c r="D230" s="28" t="n"/>
      <c r="E230" s="29" t="n"/>
      <c r="F230" s="30" t="n"/>
      <c r="G230" s="31" t="n"/>
      <c r="H230" s="31" t="n"/>
      <c r="I230" s="31" t="n"/>
      <c r="J230" s="31" t="n"/>
      <c r="K230" s="31" t="n"/>
      <c r="L230" s="31" t="n"/>
      <c r="M230" s="31" t="n"/>
      <c r="N230" s="31" t="n"/>
      <c r="O230" s="31" t="n"/>
      <c r="P230" s="31" t="n"/>
      <c r="Q230" s="31" t="n"/>
      <c r="R230" s="31" t="n"/>
      <c r="S230" s="32">
        <f>IF($F230="","",IF(IFERROR(VLOOKUP($F230,'维度字典'!$M$2:$N$50,2,0),"求和")="手工录入","",IF(IFERROR(VLOOKUP($F230,'维度字典'!$M$2:$N$50,2,0),"求和")="最新值",IFERROR(LOOKUP(9.99E+307,G230:R230),""),SUM(G230:R230))))</f>
        <v/>
      </c>
      <c r="T230" s="33" t="n"/>
    </row>
    <row r="231">
      <c r="A231" s="26">
        <f>IF($B231="","",ROW()-3)</f>
        <v/>
      </c>
      <c r="B231" s="27" t="n"/>
      <c r="C231" s="27" t="n"/>
      <c r="D231" s="28" t="n"/>
      <c r="E231" s="29" t="n"/>
      <c r="F231" s="30" t="n"/>
      <c r="G231" s="31" t="n"/>
      <c r="H231" s="31" t="n"/>
      <c r="I231" s="31" t="n"/>
      <c r="J231" s="31" t="n"/>
      <c r="K231" s="31" t="n"/>
      <c r="L231" s="31" t="n"/>
      <c r="M231" s="31" t="n"/>
      <c r="N231" s="31" t="n"/>
      <c r="O231" s="31" t="n"/>
      <c r="P231" s="31" t="n"/>
      <c r="Q231" s="31" t="n"/>
      <c r="R231" s="31" t="n"/>
      <c r="S231" s="32">
        <f>IF($F231="","",IF(IFERROR(VLOOKUP($F231,'维度字典'!$M$2:$N$50,2,0),"求和")="手工录入","",IF(IFERROR(VLOOKUP($F231,'维度字典'!$M$2:$N$50,2,0),"求和")="最新值",IFERROR(LOOKUP(9.99E+307,G231:R231),""),SUM(G231:R231))))</f>
        <v/>
      </c>
      <c r="T231" s="33" t="n"/>
    </row>
    <row r="232">
      <c r="A232" s="26">
        <f>IF($B232="","",ROW()-3)</f>
        <v/>
      </c>
      <c r="B232" s="27" t="n"/>
      <c r="C232" s="27" t="n"/>
      <c r="D232" s="28" t="n"/>
      <c r="E232" s="29" t="n"/>
      <c r="F232" s="30" t="n"/>
      <c r="G232" s="31" t="n"/>
      <c r="H232" s="31" t="n"/>
      <c r="I232" s="31" t="n"/>
      <c r="J232" s="31" t="n"/>
      <c r="K232" s="31" t="n"/>
      <c r="L232" s="31" t="n"/>
      <c r="M232" s="31" t="n"/>
      <c r="N232" s="31" t="n"/>
      <c r="O232" s="31" t="n"/>
      <c r="P232" s="31" t="n"/>
      <c r="Q232" s="31" t="n"/>
      <c r="R232" s="31" t="n"/>
      <c r="S232" s="32">
        <f>IF($F232="","",IF(IFERROR(VLOOKUP($F232,'维度字典'!$M$2:$N$50,2,0),"求和")="手工录入","",IF(IFERROR(VLOOKUP($F232,'维度字典'!$M$2:$N$50,2,0),"求和")="最新值",IFERROR(LOOKUP(9.99E+307,G232:R232),""),SUM(G232:R232))))</f>
        <v/>
      </c>
      <c r="T232" s="33" t="n"/>
    </row>
    <row r="233">
      <c r="A233" s="26">
        <f>IF($B233="","",ROW()-3)</f>
        <v/>
      </c>
      <c r="B233" s="27" t="n"/>
      <c r="C233" s="27" t="n"/>
      <c r="D233" s="28" t="n"/>
      <c r="E233" s="29" t="n"/>
      <c r="F233" s="30" t="n"/>
      <c r="G233" s="31" t="n"/>
      <c r="H233" s="31" t="n"/>
      <c r="I233" s="31" t="n"/>
      <c r="J233" s="31" t="n"/>
      <c r="K233" s="31" t="n"/>
      <c r="L233" s="31" t="n"/>
      <c r="M233" s="31" t="n"/>
      <c r="N233" s="31" t="n"/>
      <c r="O233" s="31" t="n"/>
      <c r="P233" s="31" t="n"/>
      <c r="Q233" s="31" t="n"/>
      <c r="R233" s="31" t="n"/>
      <c r="S233" s="32">
        <f>IF($F233="","",IF(IFERROR(VLOOKUP($F233,'维度字典'!$M$2:$N$50,2,0),"求和")="手工录入","",IF(IFERROR(VLOOKUP($F233,'维度字典'!$M$2:$N$50,2,0),"求和")="最新值",IFERROR(LOOKUP(9.99E+307,G233:R233),""),SUM(G233:R233))))</f>
        <v/>
      </c>
      <c r="T233" s="33" t="n"/>
    </row>
    <row r="234">
      <c r="A234" s="26">
        <f>IF($B234="","",ROW()-3)</f>
        <v/>
      </c>
      <c r="B234" s="27" t="n"/>
      <c r="C234" s="27" t="n"/>
      <c r="D234" s="28" t="n"/>
      <c r="E234" s="29" t="n"/>
      <c r="F234" s="30" t="n"/>
      <c r="G234" s="31" t="n"/>
      <c r="H234" s="31" t="n"/>
      <c r="I234" s="31" t="n"/>
      <c r="J234" s="31" t="n"/>
      <c r="K234" s="31" t="n"/>
      <c r="L234" s="31" t="n"/>
      <c r="M234" s="31" t="n"/>
      <c r="N234" s="31" t="n"/>
      <c r="O234" s="31" t="n"/>
      <c r="P234" s="31" t="n"/>
      <c r="Q234" s="31" t="n"/>
      <c r="R234" s="31" t="n"/>
      <c r="S234" s="32">
        <f>IF($F234="","",IF(IFERROR(VLOOKUP($F234,'维度字典'!$M$2:$N$50,2,0),"求和")="手工录入","",IF(IFERROR(VLOOKUP($F234,'维度字典'!$M$2:$N$50,2,0),"求和")="最新值",IFERROR(LOOKUP(9.99E+307,G234:R234),""),SUM(G234:R234))))</f>
        <v/>
      </c>
      <c r="T234" s="33" t="n"/>
    </row>
    <row r="235">
      <c r="A235" s="26">
        <f>IF($B235="","",ROW()-3)</f>
        <v/>
      </c>
      <c r="B235" s="27" t="n"/>
      <c r="C235" s="27" t="n"/>
      <c r="D235" s="28" t="n"/>
      <c r="E235" s="29" t="n"/>
      <c r="F235" s="30" t="n"/>
      <c r="G235" s="31" t="n"/>
      <c r="H235" s="31" t="n"/>
      <c r="I235" s="31" t="n"/>
      <c r="J235" s="31" t="n"/>
      <c r="K235" s="31" t="n"/>
      <c r="L235" s="31" t="n"/>
      <c r="M235" s="31" t="n"/>
      <c r="N235" s="31" t="n"/>
      <c r="O235" s="31" t="n"/>
      <c r="P235" s="31" t="n"/>
      <c r="Q235" s="31" t="n"/>
      <c r="R235" s="31" t="n"/>
      <c r="S235" s="32">
        <f>IF($F235="","",IF(IFERROR(VLOOKUP($F235,'维度字典'!$M$2:$N$50,2,0),"求和")="手工录入","",IF(IFERROR(VLOOKUP($F235,'维度字典'!$M$2:$N$50,2,0),"求和")="最新值",IFERROR(LOOKUP(9.99E+307,G235:R235),""),SUM(G235:R235))))</f>
        <v/>
      </c>
      <c r="T235" s="33" t="n"/>
    </row>
    <row r="236">
      <c r="A236" s="26">
        <f>IF($B236="","",ROW()-3)</f>
        <v/>
      </c>
      <c r="B236" s="27" t="n"/>
      <c r="C236" s="27" t="n"/>
      <c r="D236" s="28" t="n"/>
      <c r="E236" s="29" t="n"/>
      <c r="F236" s="30" t="n"/>
      <c r="G236" s="31" t="n"/>
      <c r="H236" s="31" t="n"/>
      <c r="I236" s="31" t="n"/>
      <c r="J236" s="31" t="n"/>
      <c r="K236" s="31" t="n"/>
      <c r="L236" s="31" t="n"/>
      <c r="M236" s="31" t="n"/>
      <c r="N236" s="31" t="n"/>
      <c r="O236" s="31" t="n"/>
      <c r="P236" s="31" t="n"/>
      <c r="Q236" s="31" t="n"/>
      <c r="R236" s="31" t="n"/>
      <c r="S236" s="32">
        <f>IF($F236="","",IF(IFERROR(VLOOKUP($F236,'维度字典'!$M$2:$N$50,2,0),"求和")="手工录入","",IF(IFERROR(VLOOKUP($F236,'维度字典'!$M$2:$N$50,2,0),"求和")="最新值",IFERROR(LOOKUP(9.99E+307,G236:R236),""),SUM(G236:R236))))</f>
        <v/>
      </c>
      <c r="T236" s="33" t="n"/>
    </row>
    <row r="237">
      <c r="A237" s="26">
        <f>IF($B237="","",ROW()-3)</f>
        <v/>
      </c>
      <c r="B237" s="27" t="n"/>
      <c r="C237" s="27" t="n"/>
      <c r="D237" s="28" t="n"/>
      <c r="E237" s="29" t="n"/>
      <c r="F237" s="30" t="n"/>
      <c r="G237" s="31" t="n"/>
      <c r="H237" s="31" t="n"/>
      <c r="I237" s="31" t="n"/>
      <c r="J237" s="31" t="n"/>
      <c r="K237" s="31" t="n"/>
      <c r="L237" s="31" t="n"/>
      <c r="M237" s="31" t="n"/>
      <c r="N237" s="31" t="n"/>
      <c r="O237" s="31" t="n"/>
      <c r="P237" s="31" t="n"/>
      <c r="Q237" s="31" t="n"/>
      <c r="R237" s="31" t="n"/>
      <c r="S237" s="32">
        <f>IF($F237="","",IF(IFERROR(VLOOKUP($F237,'维度字典'!$M$2:$N$50,2,0),"求和")="手工录入","",IF(IFERROR(VLOOKUP($F237,'维度字典'!$M$2:$N$50,2,0),"求和")="最新值",IFERROR(LOOKUP(9.99E+307,G237:R237),""),SUM(G237:R237))))</f>
        <v/>
      </c>
      <c r="T237" s="33" t="n"/>
    </row>
    <row r="238">
      <c r="A238" s="26">
        <f>IF($B238="","",ROW()-3)</f>
        <v/>
      </c>
      <c r="B238" s="27" t="n"/>
      <c r="C238" s="27" t="n"/>
      <c r="D238" s="28" t="n"/>
      <c r="E238" s="29" t="n"/>
      <c r="F238" s="30" t="n"/>
      <c r="G238" s="31" t="n"/>
      <c r="H238" s="31" t="n"/>
      <c r="I238" s="31" t="n"/>
      <c r="J238" s="31" t="n"/>
      <c r="K238" s="31" t="n"/>
      <c r="L238" s="31" t="n"/>
      <c r="M238" s="31" t="n"/>
      <c r="N238" s="31" t="n"/>
      <c r="O238" s="31" t="n"/>
      <c r="P238" s="31" t="n"/>
      <c r="Q238" s="31" t="n"/>
      <c r="R238" s="31" t="n"/>
      <c r="S238" s="32">
        <f>IF($F238="","",IF(IFERROR(VLOOKUP($F238,'维度字典'!$M$2:$N$50,2,0),"求和")="手工录入","",IF(IFERROR(VLOOKUP($F238,'维度字典'!$M$2:$N$50,2,0),"求和")="最新值",IFERROR(LOOKUP(9.99E+307,G238:R238),""),SUM(G238:R238))))</f>
        <v/>
      </c>
      <c r="T238" s="33" t="n"/>
    </row>
    <row r="239">
      <c r="A239" s="26">
        <f>IF($B239="","",ROW()-3)</f>
        <v/>
      </c>
      <c r="B239" s="27" t="n"/>
      <c r="C239" s="27" t="n"/>
      <c r="D239" s="28" t="n"/>
      <c r="E239" s="29" t="n"/>
      <c r="F239" s="30" t="n"/>
      <c r="G239" s="31" t="n"/>
      <c r="H239" s="31" t="n"/>
      <c r="I239" s="31" t="n"/>
      <c r="J239" s="31" t="n"/>
      <c r="K239" s="31" t="n"/>
      <c r="L239" s="31" t="n"/>
      <c r="M239" s="31" t="n"/>
      <c r="N239" s="31" t="n"/>
      <c r="O239" s="31" t="n"/>
      <c r="P239" s="31" t="n"/>
      <c r="Q239" s="31" t="n"/>
      <c r="R239" s="31" t="n"/>
      <c r="S239" s="32">
        <f>IF($F239="","",IF(IFERROR(VLOOKUP($F239,'维度字典'!$M$2:$N$50,2,0),"求和")="手工录入","",IF(IFERROR(VLOOKUP($F239,'维度字典'!$M$2:$N$50,2,0),"求和")="最新值",IFERROR(LOOKUP(9.99E+307,G239:R239),""),SUM(G239:R239))))</f>
        <v/>
      </c>
      <c r="T239" s="33" t="n"/>
    </row>
    <row r="240">
      <c r="A240" s="26">
        <f>IF($B240="","",ROW()-3)</f>
        <v/>
      </c>
      <c r="B240" s="27" t="n"/>
      <c r="C240" s="27" t="n"/>
      <c r="D240" s="28" t="n"/>
      <c r="E240" s="29" t="n"/>
      <c r="F240" s="30" t="n"/>
      <c r="G240" s="31" t="n"/>
      <c r="H240" s="31" t="n"/>
      <c r="I240" s="31" t="n"/>
      <c r="J240" s="31" t="n"/>
      <c r="K240" s="31" t="n"/>
      <c r="L240" s="31" t="n"/>
      <c r="M240" s="31" t="n"/>
      <c r="N240" s="31" t="n"/>
      <c r="O240" s="31" t="n"/>
      <c r="P240" s="31" t="n"/>
      <c r="Q240" s="31" t="n"/>
      <c r="R240" s="31" t="n"/>
      <c r="S240" s="32">
        <f>IF($F240="","",IF(IFERROR(VLOOKUP($F240,'维度字典'!$M$2:$N$50,2,0),"求和")="手工录入","",IF(IFERROR(VLOOKUP($F240,'维度字典'!$M$2:$N$50,2,0),"求和")="最新值",IFERROR(LOOKUP(9.99E+307,G240:R240),""),SUM(G240:R240))))</f>
        <v/>
      </c>
      <c r="T240" s="33" t="n"/>
    </row>
    <row r="241">
      <c r="A241" s="26">
        <f>IF($B241="","",ROW()-3)</f>
        <v/>
      </c>
      <c r="B241" s="27" t="n"/>
      <c r="C241" s="27" t="n"/>
      <c r="D241" s="28" t="n"/>
      <c r="E241" s="29" t="n"/>
      <c r="F241" s="30" t="n"/>
      <c r="G241" s="31" t="n"/>
      <c r="H241" s="31" t="n"/>
      <c r="I241" s="31" t="n"/>
      <c r="J241" s="31" t="n"/>
      <c r="K241" s="31" t="n"/>
      <c r="L241" s="31" t="n"/>
      <c r="M241" s="31" t="n"/>
      <c r="N241" s="31" t="n"/>
      <c r="O241" s="31" t="n"/>
      <c r="P241" s="31" t="n"/>
      <c r="Q241" s="31" t="n"/>
      <c r="R241" s="31" t="n"/>
      <c r="S241" s="32">
        <f>IF($F241="","",IF(IFERROR(VLOOKUP($F241,'维度字典'!$M$2:$N$50,2,0),"求和")="手工录入","",IF(IFERROR(VLOOKUP($F241,'维度字典'!$M$2:$N$50,2,0),"求和")="最新值",IFERROR(LOOKUP(9.99E+307,G241:R241),""),SUM(G241:R241))))</f>
        <v/>
      </c>
      <c r="T241" s="33" t="n"/>
    </row>
    <row r="242">
      <c r="A242" s="26">
        <f>IF($B242="","",ROW()-3)</f>
        <v/>
      </c>
      <c r="B242" s="27" t="n"/>
      <c r="C242" s="27" t="n"/>
      <c r="D242" s="28" t="n"/>
      <c r="E242" s="29" t="n"/>
      <c r="F242" s="30" t="n"/>
      <c r="G242" s="31" t="n"/>
      <c r="H242" s="31" t="n"/>
      <c r="I242" s="31" t="n"/>
      <c r="J242" s="31" t="n"/>
      <c r="K242" s="31" t="n"/>
      <c r="L242" s="31" t="n"/>
      <c r="M242" s="31" t="n"/>
      <c r="N242" s="31" t="n"/>
      <c r="O242" s="31" t="n"/>
      <c r="P242" s="31" t="n"/>
      <c r="Q242" s="31" t="n"/>
      <c r="R242" s="31" t="n"/>
      <c r="S242" s="32">
        <f>IF($F242="","",IF(IFERROR(VLOOKUP($F242,'维度字典'!$M$2:$N$50,2,0),"求和")="手工录入","",IF(IFERROR(VLOOKUP($F242,'维度字典'!$M$2:$N$50,2,0),"求和")="最新值",IFERROR(LOOKUP(9.99E+307,G242:R242),""),SUM(G242:R242))))</f>
        <v/>
      </c>
      <c r="T242" s="33" t="n"/>
    </row>
    <row r="243">
      <c r="A243" s="26">
        <f>IF($B243="","",ROW()-3)</f>
        <v/>
      </c>
      <c r="B243" s="27" t="n"/>
      <c r="C243" s="27" t="n"/>
      <c r="D243" s="28" t="n"/>
      <c r="E243" s="29" t="n"/>
      <c r="F243" s="30" t="n"/>
      <c r="G243" s="31" t="n"/>
      <c r="H243" s="31" t="n"/>
      <c r="I243" s="31" t="n"/>
      <c r="J243" s="31" t="n"/>
      <c r="K243" s="31" t="n"/>
      <c r="L243" s="31" t="n"/>
      <c r="M243" s="31" t="n"/>
      <c r="N243" s="31" t="n"/>
      <c r="O243" s="31" t="n"/>
      <c r="P243" s="31" t="n"/>
      <c r="Q243" s="31" t="n"/>
      <c r="R243" s="31" t="n"/>
      <c r="S243" s="32">
        <f>IF($F243="","",IF(IFERROR(VLOOKUP($F243,'维度字典'!$M$2:$N$50,2,0),"求和")="手工录入","",IF(IFERROR(VLOOKUP($F243,'维度字典'!$M$2:$N$50,2,0),"求和")="最新值",IFERROR(LOOKUP(9.99E+307,G243:R243),""),SUM(G243:R243))))</f>
        <v/>
      </c>
      <c r="T243" s="33" t="n"/>
    </row>
    <row r="244">
      <c r="A244" s="26">
        <f>IF($B244="","",ROW()-3)</f>
        <v/>
      </c>
      <c r="B244" s="27" t="n"/>
      <c r="C244" s="27" t="n"/>
      <c r="D244" s="28" t="n"/>
      <c r="E244" s="29" t="n"/>
      <c r="F244" s="30" t="n"/>
      <c r="G244" s="31" t="n"/>
      <c r="H244" s="31" t="n"/>
      <c r="I244" s="31" t="n"/>
      <c r="J244" s="31" t="n"/>
      <c r="K244" s="31" t="n"/>
      <c r="L244" s="31" t="n"/>
      <c r="M244" s="31" t="n"/>
      <c r="N244" s="31" t="n"/>
      <c r="O244" s="31" t="n"/>
      <c r="P244" s="31" t="n"/>
      <c r="Q244" s="31" t="n"/>
      <c r="R244" s="31" t="n"/>
      <c r="S244" s="32">
        <f>IF($F244="","",IF(IFERROR(VLOOKUP($F244,'维度字典'!$M$2:$N$50,2,0),"求和")="手工录入","",IF(IFERROR(VLOOKUP($F244,'维度字典'!$M$2:$N$50,2,0),"求和")="最新值",IFERROR(LOOKUP(9.99E+307,G244:R244),""),SUM(G244:R244))))</f>
        <v/>
      </c>
      <c r="T244" s="33" t="n"/>
    </row>
    <row r="245">
      <c r="A245" s="26">
        <f>IF($B245="","",ROW()-3)</f>
        <v/>
      </c>
      <c r="B245" s="27" t="n"/>
      <c r="C245" s="27" t="n"/>
      <c r="D245" s="28" t="n"/>
      <c r="E245" s="29" t="n"/>
      <c r="F245" s="30" t="n"/>
      <c r="G245" s="31" t="n"/>
      <c r="H245" s="31" t="n"/>
      <c r="I245" s="31" t="n"/>
      <c r="J245" s="31" t="n"/>
      <c r="K245" s="31" t="n"/>
      <c r="L245" s="31" t="n"/>
      <c r="M245" s="31" t="n"/>
      <c r="N245" s="31" t="n"/>
      <c r="O245" s="31" t="n"/>
      <c r="P245" s="31" t="n"/>
      <c r="Q245" s="31" t="n"/>
      <c r="R245" s="31" t="n"/>
      <c r="S245" s="32">
        <f>IF($F245="","",IF(IFERROR(VLOOKUP($F245,'维度字典'!$M$2:$N$50,2,0),"求和")="手工录入","",IF(IFERROR(VLOOKUP($F245,'维度字典'!$M$2:$N$50,2,0),"求和")="最新值",IFERROR(LOOKUP(9.99E+307,G245:R245),""),SUM(G245:R245))))</f>
        <v/>
      </c>
      <c r="T245" s="33" t="n"/>
    </row>
    <row r="246">
      <c r="A246" s="26">
        <f>IF($B246="","",ROW()-3)</f>
        <v/>
      </c>
      <c r="B246" s="27" t="n"/>
      <c r="C246" s="27" t="n"/>
      <c r="D246" s="28" t="n"/>
      <c r="E246" s="29" t="n"/>
      <c r="F246" s="30" t="n"/>
      <c r="G246" s="31" t="n"/>
      <c r="H246" s="31" t="n"/>
      <c r="I246" s="31" t="n"/>
      <c r="J246" s="31" t="n"/>
      <c r="K246" s="31" t="n"/>
      <c r="L246" s="31" t="n"/>
      <c r="M246" s="31" t="n"/>
      <c r="N246" s="31" t="n"/>
      <c r="O246" s="31" t="n"/>
      <c r="P246" s="31" t="n"/>
      <c r="Q246" s="31" t="n"/>
      <c r="R246" s="31" t="n"/>
      <c r="S246" s="32">
        <f>IF($F246="","",IF(IFERROR(VLOOKUP($F246,'维度字典'!$M$2:$N$50,2,0),"求和")="手工录入","",IF(IFERROR(VLOOKUP($F246,'维度字典'!$M$2:$N$50,2,0),"求和")="最新值",IFERROR(LOOKUP(9.99E+307,G246:R246),""),SUM(G246:R246))))</f>
        <v/>
      </c>
      <c r="T246" s="33" t="n"/>
    </row>
    <row r="247">
      <c r="A247" s="26">
        <f>IF($B247="","",ROW()-3)</f>
        <v/>
      </c>
      <c r="B247" s="27" t="n"/>
      <c r="C247" s="27" t="n"/>
      <c r="D247" s="28" t="n"/>
      <c r="E247" s="29" t="n"/>
      <c r="F247" s="30" t="n"/>
      <c r="G247" s="31" t="n"/>
      <c r="H247" s="31" t="n"/>
      <c r="I247" s="31" t="n"/>
      <c r="J247" s="31" t="n"/>
      <c r="K247" s="31" t="n"/>
      <c r="L247" s="31" t="n"/>
      <c r="M247" s="31" t="n"/>
      <c r="N247" s="31" t="n"/>
      <c r="O247" s="31" t="n"/>
      <c r="P247" s="31" t="n"/>
      <c r="Q247" s="31" t="n"/>
      <c r="R247" s="31" t="n"/>
      <c r="S247" s="32">
        <f>IF($F247="","",IF(IFERROR(VLOOKUP($F247,'维度字典'!$M$2:$N$50,2,0),"求和")="手工录入","",IF(IFERROR(VLOOKUP($F247,'维度字典'!$M$2:$N$50,2,0),"求和")="最新值",IFERROR(LOOKUP(9.99E+307,G247:R247),""),SUM(G247:R247))))</f>
        <v/>
      </c>
      <c r="T247" s="33" t="n"/>
    </row>
    <row r="248">
      <c r="A248" s="26">
        <f>IF($B248="","",ROW()-3)</f>
        <v/>
      </c>
      <c r="B248" s="27" t="n"/>
      <c r="C248" s="27" t="n"/>
      <c r="D248" s="28" t="n"/>
      <c r="E248" s="29" t="n"/>
      <c r="F248" s="30" t="n"/>
      <c r="G248" s="31" t="n"/>
      <c r="H248" s="31" t="n"/>
      <c r="I248" s="31" t="n"/>
      <c r="J248" s="31" t="n"/>
      <c r="K248" s="31" t="n"/>
      <c r="L248" s="31" t="n"/>
      <c r="M248" s="31" t="n"/>
      <c r="N248" s="31" t="n"/>
      <c r="O248" s="31" t="n"/>
      <c r="P248" s="31" t="n"/>
      <c r="Q248" s="31" t="n"/>
      <c r="R248" s="31" t="n"/>
      <c r="S248" s="32">
        <f>IF($F248="","",IF(IFERROR(VLOOKUP($F248,'维度字典'!$M$2:$N$50,2,0),"求和")="手工录入","",IF(IFERROR(VLOOKUP($F248,'维度字典'!$M$2:$N$50,2,0),"求和")="最新值",IFERROR(LOOKUP(9.99E+307,G248:R248),""),SUM(G248:R248))))</f>
        <v/>
      </c>
      <c r="T248" s="33" t="n"/>
    </row>
    <row r="249">
      <c r="A249" s="26">
        <f>IF($B249="","",ROW()-3)</f>
        <v/>
      </c>
      <c r="B249" s="27" t="n"/>
      <c r="C249" s="27" t="n"/>
      <c r="D249" s="28" t="n"/>
      <c r="E249" s="29" t="n"/>
      <c r="F249" s="30" t="n"/>
      <c r="G249" s="31" t="n"/>
      <c r="H249" s="31" t="n"/>
      <c r="I249" s="31" t="n"/>
      <c r="J249" s="31" t="n"/>
      <c r="K249" s="31" t="n"/>
      <c r="L249" s="31" t="n"/>
      <c r="M249" s="31" t="n"/>
      <c r="N249" s="31" t="n"/>
      <c r="O249" s="31" t="n"/>
      <c r="P249" s="31" t="n"/>
      <c r="Q249" s="31" t="n"/>
      <c r="R249" s="31" t="n"/>
      <c r="S249" s="32">
        <f>IF($F249="","",IF(IFERROR(VLOOKUP($F249,'维度字典'!$M$2:$N$50,2,0),"求和")="手工录入","",IF(IFERROR(VLOOKUP($F249,'维度字典'!$M$2:$N$50,2,0),"求和")="最新值",IFERROR(LOOKUP(9.99E+307,G249:R249),""),SUM(G249:R249))))</f>
        <v/>
      </c>
      <c r="T249" s="33" t="n"/>
    </row>
    <row r="250">
      <c r="A250" s="26">
        <f>IF($B250="","",ROW()-3)</f>
        <v/>
      </c>
      <c r="B250" s="27" t="n"/>
      <c r="C250" s="27" t="n"/>
      <c r="D250" s="28" t="n"/>
      <c r="E250" s="29" t="n"/>
      <c r="F250" s="30" t="n"/>
      <c r="G250" s="31" t="n"/>
      <c r="H250" s="31" t="n"/>
      <c r="I250" s="31" t="n"/>
      <c r="J250" s="31" t="n"/>
      <c r="K250" s="31" t="n"/>
      <c r="L250" s="31" t="n"/>
      <c r="M250" s="31" t="n"/>
      <c r="N250" s="31" t="n"/>
      <c r="O250" s="31" t="n"/>
      <c r="P250" s="31" t="n"/>
      <c r="Q250" s="31" t="n"/>
      <c r="R250" s="31" t="n"/>
      <c r="S250" s="32">
        <f>IF($F250="","",IF(IFERROR(VLOOKUP($F250,'维度字典'!$M$2:$N$50,2,0),"求和")="手工录入","",IF(IFERROR(VLOOKUP($F250,'维度字典'!$M$2:$N$50,2,0),"求和")="最新值",IFERROR(LOOKUP(9.99E+307,G250:R250),""),SUM(G250:R250))))</f>
        <v/>
      </c>
      <c r="T250" s="33" t="n"/>
    </row>
    <row r="251">
      <c r="A251" s="26">
        <f>IF($B251="","",ROW()-3)</f>
        <v/>
      </c>
      <c r="B251" s="27" t="n"/>
      <c r="C251" s="27" t="n"/>
      <c r="D251" s="28" t="n"/>
      <c r="E251" s="29" t="n"/>
      <c r="F251" s="30" t="n"/>
      <c r="G251" s="31" t="n"/>
      <c r="H251" s="31" t="n"/>
      <c r="I251" s="31" t="n"/>
      <c r="J251" s="31" t="n"/>
      <c r="K251" s="31" t="n"/>
      <c r="L251" s="31" t="n"/>
      <c r="M251" s="31" t="n"/>
      <c r="N251" s="31" t="n"/>
      <c r="O251" s="31" t="n"/>
      <c r="P251" s="31" t="n"/>
      <c r="Q251" s="31" t="n"/>
      <c r="R251" s="31" t="n"/>
      <c r="S251" s="32">
        <f>IF($F251="","",IF(IFERROR(VLOOKUP($F251,'维度字典'!$M$2:$N$50,2,0),"求和")="手工录入","",IF(IFERROR(VLOOKUP($F251,'维度字典'!$M$2:$N$50,2,0),"求和")="最新值",IFERROR(LOOKUP(9.99E+307,G251:R251),""),SUM(G251:R251))))</f>
        <v/>
      </c>
      <c r="T251" s="33" t="n"/>
    </row>
    <row r="252">
      <c r="A252" s="26">
        <f>IF($B252="","",ROW()-3)</f>
        <v/>
      </c>
      <c r="B252" s="27" t="n"/>
      <c r="C252" s="27" t="n"/>
      <c r="D252" s="28" t="n"/>
      <c r="E252" s="29" t="n"/>
      <c r="F252" s="30" t="n"/>
      <c r="G252" s="31" t="n"/>
      <c r="H252" s="31" t="n"/>
      <c r="I252" s="31" t="n"/>
      <c r="J252" s="31" t="n"/>
      <c r="K252" s="31" t="n"/>
      <c r="L252" s="31" t="n"/>
      <c r="M252" s="31" t="n"/>
      <c r="N252" s="31" t="n"/>
      <c r="O252" s="31" t="n"/>
      <c r="P252" s="31" t="n"/>
      <c r="Q252" s="31" t="n"/>
      <c r="R252" s="31" t="n"/>
      <c r="S252" s="32">
        <f>IF($F252="","",IF(IFERROR(VLOOKUP($F252,'维度字典'!$M$2:$N$50,2,0),"求和")="手工录入","",IF(IFERROR(VLOOKUP($F252,'维度字典'!$M$2:$N$50,2,0),"求和")="最新值",IFERROR(LOOKUP(9.99E+307,G252:R252),""),SUM(G252:R252))))</f>
        <v/>
      </c>
      <c r="T252" s="33" t="n"/>
    </row>
    <row r="253">
      <c r="A253" s="26">
        <f>IF($B253="","",ROW()-3)</f>
        <v/>
      </c>
      <c r="B253" s="27" t="n"/>
      <c r="C253" s="27" t="n"/>
      <c r="D253" s="28" t="n"/>
      <c r="E253" s="29" t="n"/>
      <c r="F253" s="30" t="n"/>
      <c r="G253" s="31" t="n"/>
      <c r="H253" s="31" t="n"/>
      <c r="I253" s="31" t="n"/>
      <c r="J253" s="31" t="n"/>
      <c r="K253" s="31" t="n"/>
      <c r="L253" s="31" t="n"/>
      <c r="M253" s="31" t="n"/>
      <c r="N253" s="31" t="n"/>
      <c r="O253" s="31" t="n"/>
      <c r="P253" s="31" t="n"/>
      <c r="Q253" s="31" t="n"/>
      <c r="R253" s="31" t="n"/>
      <c r="S253" s="32">
        <f>IF($F253="","",IF(IFERROR(VLOOKUP($F253,'维度字典'!$M$2:$N$50,2,0),"求和")="手工录入","",IF(IFERROR(VLOOKUP($F253,'维度字典'!$M$2:$N$50,2,0),"求和")="最新值",IFERROR(LOOKUP(9.99E+307,G253:R253),""),SUM(G253:R253))))</f>
        <v/>
      </c>
      <c r="T253" s="33" t="n"/>
    </row>
    <row r="254">
      <c r="A254" s="26">
        <f>IF($B254="","",ROW()-3)</f>
        <v/>
      </c>
      <c r="B254" s="27" t="n"/>
      <c r="C254" s="27" t="n"/>
      <c r="D254" s="28" t="n"/>
      <c r="E254" s="29" t="n"/>
      <c r="F254" s="30" t="n"/>
      <c r="G254" s="31" t="n"/>
      <c r="H254" s="31" t="n"/>
      <c r="I254" s="31" t="n"/>
      <c r="J254" s="31" t="n"/>
      <c r="K254" s="31" t="n"/>
      <c r="L254" s="31" t="n"/>
      <c r="M254" s="31" t="n"/>
      <c r="N254" s="31" t="n"/>
      <c r="O254" s="31" t="n"/>
      <c r="P254" s="31" t="n"/>
      <c r="Q254" s="31" t="n"/>
      <c r="R254" s="31" t="n"/>
      <c r="S254" s="32">
        <f>IF($F254="","",IF(IFERROR(VLOOKUP($F254,'维度字典'!$M$2:$N$50,2,0),"求和")="手工录入","",IF(IFERROR(VLOOKUP($F254,'维度字典'!$M$2:$N$50,2,0),"求和")="最新值",IFERROR(LOOKUP(9.99E+307,G254:R254),""),SUM(G254:R254))))</f>
        <v/>
      </c>
      <c r="T254" s="33" t="n"/>
    </row>
    <row r="255">
      <c r="A255" s="26">
        <f>IF($B255="","",ROW()-3)</f>
        <v/>
      </c>
      <c r="B255" s="27" t="n"/>
      <c r="C255" s="27" t="n"/>
      <c r="D255" s="28" t="n"/>
      <c r="E255" s="29" t="n"/>
      <c r="F255" s="30" t="n"/>
      <c r="G255" s="31" t="n"/>
      <c r="H255" s="31" t="n"/>
      <c r="I255" s="31" t="n"/>
      <c r="J255" s="31" t="n"/>
      <c r="K255" s="31" t="n"/>
      <c r="L255" s="31" t="n"/>
      <c r="M255" s="31" t="n"/>
      <c r="N255" s="31" t="n"/>
      <c r="O255" s="31" t="n"/>
      <c r="P255" s="31" t="n"/>
      <c r="Q255" s="31" t="n"/>
      <c r="R255" s="31" t="n"/>
      <c r="S255" s="32">
        <f>IF($F255="","",IF(IFERROR(VLOOKUP($F255,'维度字典'!$M$2:$N$50,2,0),"求和")="手工录入","",IF(IFERROR(VLOOKUP($F255,'维度字典'!$M$2:$N$50,2,0),"求和")="最新值",IFERROR(LOOKUP(9.99E+307,G255:R255),""),SUM(G255:R255))))</f>
        <v/>
      </c>
      <c r="T255" s="33" t="n"/>
    </row>
    <row r="256">
      <c r="A256" s="26">
        <f>IF($B256="","",ROW()-3)</f>
        <v/>
      </c>
      <c r="B256" s="27" t="n"/>
      <c r="C256" s="27" t="n"/>
      <c r="D256" s="28" t="n"/>
      <c r="E256" s="29" t="n"/>
      <c r="F256" s="30" t="n"/>
      <c r="G256" s="31" t="n"/>
      <c r="H256" s="31" t="n"/>
      <c r="I256" s="31" t="n"/>
      <c r="J256" s="31" t="n"/>
      <c r="K256" s="31" t="n"/>
      <c r="L256" s="31" t="n"/>
      <c r="M256" s="31" t="n"/>
      <c r="N256" s="31" t="n"/>
      <c r="O256" s="31" t="n"/>
      <c r="P256" s="31" t="n"/>
      <c r="Q256" s="31" t="n"/>
      <c r="R256" s="31" t="n"/>
      <c r="S256" s="32">
        <f>IF($F256="","",IF(IFERROR(VLOOKUP($F256,'维度字典'!$M$2:$N$50,2,0),"求和")="手工录入","",IF(IFERROR(VLOOKUP($F256,'维度字典'!$M$2:$N$50,2,0),"求和")="最新值",IFERROR(LOOKUP(9.99E+307,G256:R256),""),SUM(G256:R256))))</f>
        <v/>
      </c>
      <c r="T256" s="33" t="n"/>
    </row>
    <row r="257">
      <c r="A257" s="26">
        <f>IF($B257="","",ROW()-3)</f>
        <v/>
      </c>
      <c r="B257" s="27" t="n"/>
      <c r="C257" s="27" t="n"/>
      <c r="D257" s="28" t="n"/>
      <c r="E257" s="29" t="n"/>
      <c r="F257" s="30" t="n"/>
      <c r="G257" s="31" t="n"/>
      <c r="H257" s="31" t="n"/>
      <c r="I257" s="31" t="n"/>
      <c r="J257" s="31" t="n"/>
      <c r="K257" s="31" t="n"/>
      <c r="L257" s="31" t="n"/>
      <c r="M257" s="31" t="n"/>
      <c r="N257" s="31" t="n"/>
      <c r="O257" s="31" t="n"/>
      <c r="P257" s="31" t="n"/>
      <c r="Q257" s="31" t="n"/>
      <c r="R257" s="31" t="n"/>
      <c r="S257" s="32">
        <f>IF($F257="","",IF(IFERROR(VLOOKUP($F257,'维度字典'!$M$2:$N$50,2,0),"求和")="手工录入","",IF(IFERROR(VLOOKUP($F257,'维度字典'!$M$2:$N$50,2,0),"求和")="最新值",IFERROR(LOOKUP(9.99E+307,G257:R257),""),SUM(G257:R257))))</f>
        <v/>
      </c>
      <c r="T257" s="33" t="n"/>
    </row>
    <row r="258">
      <c r="A258" s="26">
        <f>IF($B258="","",ROW()-3)</f>
        <v/>
      </c>
      <c r="B258" s="27" t="n"/>
      <c r="C258" s="27" t="n"/>
      <c r="D258" s="28" t="n"/>
      <c r="E258" s="29" t="n"/>
      <c r="F258" s="30" t="n"/>
      <c r="G258" s="31" t="n"/>
      <c r="H258" s="31" t="n"/>
      <c r="I258" s="31" t="n"/>
      <c r="J258" s="31" t="n"/>
      <c r="K258" s="31" t="n"/>
      <c r="L258" s="31" t="n"/>
      <c r="M258" s="31" t="n"/>
      <c r="N258" s="31" t="n"/>
      <c r="O258" s="31" t="n"/>
      <c r="P258" s="31" t="n"/>
      <c r="Q258" s="31" t="n"/>
      <c r="R258" s="31" t="n"/>
      <c r="S258" s="32">
        <f>IF($F258="","",IF(IFERROR(VLOOKUP($F258,'维度字典'!$M$2:$N$50,2,0),"求和")="手工录入","",IF(IFERROR(VLOOKUP($F258,'维度字典'!$M$2:$N$50,2,0),"求和")="最新值",IFERROR(LOOKUP(9.99E+307,G258:R258),""),SUM(G258:R258))))</f>
        <v/>
      </c>
      <c r="T258" s="33" t="n"/>
    </row>
    <row r="259">
      <c r="A259" s="26">
        <f>IF($B259="","",ROW()-3)</f>
        <v/>
      </c>
      <c r="B259" s="27" t="n"/>
      <c r="C259" s="27" t="n"/>
      <c r="D259" s="28" t="n"/>
      <c r="E259" s="29" t="n"/>
      <c r="F259" s="30" t="n"/>
      <c r="G259" s="31" t="n"/>
      <c r="H259" s="31" t="n"/>
      <c r="I259" s="31" t="n"/>
      <c r="J259" s="31" t="n"/>
      <c r="K259" s="31" t="n"/>
      <c r="L259" s="31" t="n"/>
      <c r="M259" s="31" t="n"/>
      <c r="N259" s="31" t="n"/>
      <c r="O259" s="31" t="n"/>
      <c r="P259" s="31" t="n"/>
      <c r="Q259" s="31" t="n"/>
      <c r="R259" s="31" t="n"/>
      <c r="S259" s="32">
        <f>IF($F259="","",IF(IFERROR(VLOOKUP($F259,'维度字典'!$M$2:$N$50,2,0),"求和")="手工录入","",IF(IFERROR(VLOOKUP($F259,'维度字典'!$M$2:$N$50,2,0),"求和")="最新值",IFERROR(LOOKUP(9.99E+307,G259:R259),""),SUM(G259:R259))))</f>
        <v/>
      </c>
      <c r="T259" s="33" t="n"/>
    </row>
    <row r="260">
      <c r="A260" s="26">
        <f>IF($B260="","",ROW()-3)</f>
        <v/>
      </c>
      <c r="B260" s="27" t="n"/>
      <c r="C260" s="27" t="n"/>
      <c r="D260" s="28" t="n"/>
      <c r="E260" s="29" t="n"/>
      <c r="F260" s="30" t="n"/>
      <c r="G260" s="31" t="n"/>
      <c r="H260" s="31" t="n"/>
      <c r="I260" s="31" t="n"/>
      <c r="J260" s="31" t="n"/>
      <c r="K260" s="31" t="n"/>
      <c r="L260" s="31" t="n"/>
      <c r="M260" s="31" t="n"/>
      <c r="N260" s="31" t="n"/>
      <c r="O260" s="31" t="n"/>
      <c r="P260" s="31" t="n"/>
      <c r="Q260" s="31" t="n"/>
      <c r="R260" s="31" t="n"/>
      <c r="S260" s="32">
        <f>IF($F260="","",IF(IFERROR(VLOOKUP($F260,'维度字典'!$M$2:$N$50,2,0),"求和")="手工录入","",IF(IFERROR(VLOOKUP($F260,'维度字典'!$M$2:$N$50,2,0),"求和")="最新值",IFERROR(LOOKUP(9.99E+307,G260:R260),""),SUM(G260:R260))))</f>
        <v/>
      </c>
      <c r="T260" s="33" t="n"/>
    </row>
    <row r="261">
      <c r="A261" s="26">
        <f>IF($B261="","",ROW()-3)</f>
        <v/>
      </c>
      <c r="B261" s="27" t="n"/>
      <c r="C261" s="27" t="n"/>
      <c r="D261" s="28" t="n"/>
      <c r="E261" s="29" t="n"/>
      <c r="F261" s="30" t="n"/>
      <c r="G261" s="31" t="n"/>
      <c r="H261" s="31" t="n"/>
      <c r="I261" s="31" t="n"/>
      <c r="J261" s="31" t="n"/>
      <c r="K261" s="31" t="n"/>
      <c r="L261" s="31" t="n"/>
      <c r="M261" s="31" t="n"/>
      <c r="N261" s="31" t="n"/>
      <c r="O261" s="31" t="n"/>
      <c r="P261" s="31" t="n"/>
      <c r="Q261" s="31" t="n"/>
      <c r="R261" s="31" t="n"/>
      <c r="S261" s="32">
        <f>IF($F261="","",IF(IFERROR(VLOOKUP($F261,'维度字典'!$M$2:$N$50,2,0),"求和")="手工录入","",IF(IFERROR(VLOOKUP($F261,'维度字典'!$M$2:$N$50,2,0),"求和")="最新值",IFERROR(LOOKUP(9.99E+307,G261:R261),""),SUM(G261:R261))))</f>
        <v/>
      </c>
      <c r="T261" s="33" t="n"/>
    </row>
    <row r="262">
      <c r="A262" s="26">
        <f>IF($B262="","",ROW()-3)</f>
        <v/>
      </c>
      <c r="B262" s="27" t="n"/>
      <c r="C262" s="27" t="n"/>
      <c r="D262" s="28" t="n"/>
      <c r="E262" s="29" t="n"/>
      <c r="F262" s="30" t="n"/>
      <c r="G262" s="31" t="n"/>
      <c r="H262" s="31" t="n"/>
      <c r="I262" s="31" t="n"/>
      <c r="J262" s="31" t="n"/>
      <c r="K262" s="31" t="n"/>
      <c r="L262" s="31" t="n"/>
      <c r="M262" s="31" t="n"/>
      <c r="N262" s="31" t="n"/>
      <c r="O262" s="31" t="n"/>
      <c r="P262" s="31" t="n"/>
      <c r="Q262" s="31" t="n"/>
      <c r="R262" s="31" t="n"/>
      <c r="S262" s="32">
        <f>IF($F262="","",IF(IFERROR(VLOOKUP($F262,'维度字典'!$M$2:$N$50,2,0),"求和")="手工录入","",IF(IFERROR(VLOOKUP($F262,'维度字典'!$M$2:$N$50,2,0),"求和")="最新值",IFERROR(LOOKUP(9.99E+307,G262:R262),""),SUM(G262:R262))))</f>
        <v/>
      </c>
      <c r="T262" s="33" t="n"/>
    </row>
    <row r="263">
      <c r="A263" s="26">
        <f>IF($B263="","",ROW()-3)</f>
        <v/>
      </c>
      <c r="B263" s="27" t="n"/>
      <c r="C263" s="27" t="n"/>
      <c r="D263" s="28" t="n"/>
      <c r="E263" s="29" t="n"/>
      <c r="F263" s="30" t="n"/>
      <c r="G263" s="31" t="n"/>
      <c r="H263" s="31" t="n"/>
      <c r="I263" s="31" t="n"/>
      <c r="J263" s="31" t="n"/>
      <c r="K263" s="31" t="n"/>
      <c r="L263" s="31" t="n"/>
      <c r="M263" s="31" t="n"/>
      <c r="N263" s="31" t="n"/>
      <c r="O263" s="31" t="n"/>
      <c r="P263" s="31" t="n"/>
      <c r="Q263" s="31" t="n"/>
      <c r="R263" s="31" t="n"/>
      <c r="S263" s="32">
        <f>IF($F263="","",IF(IFERROR(VLOOKUP($F263,'维度字典'!$M$2:$N$50,2,0),"求和")="手工录入","",IF(IFERROR(VLOOKUP($F263,'维度字典'!$M$2:$N$50,2,0),"求和")="最新值",IFERROR(LOOKUP(9.99E+307,G263:R263),""),SUM(G263:R263))))</f>
        <v/>
      </c>
      <c r="T263" s="33" t="n"/>
    </row>
    <row r="264">
      <c r="A264" s="26">
        <f>IF($B264="","",ROW()-3)</f>
        <v/>
      </c>
      <c r="B264" s="27" t="n"/>
      <c r="C264" s="27" t="n"/>
      <c r="D264" s="28" t="n"/>
      <c r="E264" s="29" t="n"/>
      <c r="F264" s="30" t="n"/>
      <c r="G264" s="31" t="n"/>
      <c r="H264" s="31" t="n"/>
      <c r="I264" s="31" t="n"/>
      <c r="J264" s="31" t="n"/>
      <c r="K264" s="31" t="n"/>
      <c r="L264" s="31" t="n"/>
      <c r="M264" s="31" t="n"/>
      <c r="N264" s="31" t="n"/>
      <c r="O264" s="31" t="n"/>
      <c r="P264" s="31" t="n"/>
      <c r="Q264" s="31" t="n"/>
      <c r="R264" s="31" t="n"/>
      <c r="S264" s="32">
        <f>IF($F264="","",IF(IFERROR(VLOOKUP($F264,'维度字典'!$M$2:$N$50,2,0),"求和")="手工录入","",IF(IFERROR(VLOOKUP($F264,'维度字典'!$M$2:$N$50,2,0),"求和")="最新值",IFERROR(LOOKUP(9.99E+307,G264:R264),""),SUM(G264:R264))))</f>
        <v/>
      </c>
      <c r="T264" s="33" t="n"/>
    </row>
    <row r="265">
      <c r="A265" s="26">
        <f>IF($B265="","",ROW()-3)</f>
        <v/>
      </c>
      <c r="B265" s="27" t="n"/>
      <c r="C265" s="27" t="n"/>
      <c r="D265" s="28" t="n"/>
      <c r="E265" s="29" t="n"/>
      <c r="F265" s="30" t="n"/>
      <c r="G265" s="31" t="n"/>
      <c r="H265" s="31" t="n"/>
      <c r="I265" s="31" t="n"/>
      <c r="J265" s="31" t="n"/>
      <c r="K265" s="31" t="n"/>
      <c r="L265" s="31" t="n"/>
      <c r="M265" s="31" t="n"/>
      <c r="N265" s="31" t="n"/>
      <c r="O265" s="31" t="n"/>
      <c r="P265" s="31" t="n"/>
      <c r="Q265" s="31" t="n"/>
      <c r="R265" s="31" t="n"/>
      <c r="S265" s="32">
        <f>IF($F265="","",IF(IFERROR(VLOOKUP($F265,'维度字典'!$M$2:$N$50,2,0),"求和")="手工录入","",IF(IFERROR(VLOOKUP($F265,'维度字典'!$M$2:$N$50,2,0),"求和")="最新值",IFERROR(LOOKUP(9.99E+307,G265:R265),""),SUM(G265:R265))))</f>
        <v/>
      </c>
      <c r="T265" s="33" t="n"/>
    </row>
    <row r="266">
      <c r="A266" s="26">
        <f>IF($B266="","",ROW()-3)</f>
        <v/>
      </c>
      <c r="B266" s="27" t="n"/>
      <c r="C266" s="27" t="n"/>
      <c r="D266" s="28" t="n"/>
      <c r="E266" s="29" t="n"/>
      <c r="F266" s="30" t="n"/>
      <c r="G266" s="31" t="n"/>
      <c r="H266" s="31" t="n"/>
      <c r="I266" s="31" t="n"/>
      <c r="J266" s="31" t="n"/>
      <c r="K266" s="31" t="n"/>
      <c r="L266" s="31" t="n"/>
      <c r="M266" s="31" t="n"/>
      <c r="N266" s="31" t="n"/>
      <c r="O266" s="31" t="n"/>
      <c r="P266" s="31" t="n"/>
      <c r="Q266" s="31" t="n"/>
      <c r="R266" s="31" t="n"/>
      <c r="S266" s="32">
        <f>IF($F266="","",IF(IFERROR(VLOOKUP($F266,'维度字典'!$M$2:$N$50,2,0),"求和")="手工录入","",IF(IFERROR(VLOOKUP($F266,'维度字典'!$M$2:$N$50,2,0),"求和")="最新值",IFERROR(LOOKUP(9.99E+307,G266:R266),""),SUM(G266:R266))))</f>
        <v/>
      </c>
      <c r="T266" s="33" t="n"/>
    </row>
    <row r="267">
      <c r="A267" s="26">
        <f>IF($B267="","",ROW()-3)</f>
        <v/>
      </c>
      <c r="B267" s="27" t="n"/>
      <c r="C267" s="27" t="n"/>
      <c r="D267" s="28" t="n"/>
      <c r="E267" s="29" t="n"/>
      <c r="F267" s="30" t="n"/>
      <c r="G267" s="31" t="n"/>
      <c r="H267" s="31" t="n"/>
      <c r="I267" s="31" t="n"/>
      <c r="J267" s="31" t="n"/>
      <c r="K267" s="31" t="n"/>
      <c r="L267" s="31" t="n"/>
      <c r="M267" s="31" t="n"/>
      <c r="N267" s="31" t="n"/>
      <c r="O267" s="31" t="n"/>
      <c r="P267" s="31" t="n"/>
      <c r="Q267" s="31" t="n"/>
      <c r="R267" s="31" t="n"/>
      <c r="S267" s="32">
        <f>IF($F267="","",IF(IFERROR(VLOOKUP($F267,'维度字典'!$M$2:$N$50,2,0),"求和")="手工录入","",IF(IFERROR(VLOOKUP($F267,'维度字典'!$M$2:$N$50,2,0),"求和")="最新值",IFERROR(LOOKUP(9.99E+307,G267:R267),""),SUM(G267:R267))))</f>
        <v/>
      </c>
      <c r="T267" s="33" t="n"/>
    </row>
    <row r="268">
      <c r="A268" s="26">
        <f>IF($B268="","",ROW()-3)</f>
        <v/>
      </c>
      <c r="B268" s="27" t="n"/>
      <c r="C268" s="27" t="n"/>
      <c r="D268" s="28" t="n"/>
      <c r="E268" s="29" t="n"/>
      <c r="F268" s="30" t="n"/>
      <c r="G268" s="31" t="n"/>
      <c r="H268" s="31" t="n"/>
      <c r="I268" s="31" t="n"/>
      <c r="J268" s="31" t="n"/>
      <c r="K268" s="31" t="n"/>
      <c r="L268" s="31" t="n"/>
      <c r="M268" s="31" t="n"/>
      <c r="N268" s="31" t="n"/>
      <c r="O268" s="31" t="n"/>
      <c r="P268" s="31" t="n"/>
      <c r="Q268" s="31" t="n"/>
      <c r="R268" s="31" t="n"/>
      <c r="S268" s="32">
        <f>IF($F268="","",IF(IFERROR(VLOOKUP($F268,'维度字典'!$M$2:$N$50,2,0),"求和")="手工录入","",IF(IFERROR(VLOOKUP($F268,'维度字典'!$M$2:$N$50,2,0),"求和")="最新值",IFERROR(LOOKUP(9.99E+307,G268:R268),""),SUM(G268:R268))))</f>
        <v/>
      </c>
      <c r="T268" s="33" t="n"/>
    </row>
    <row r="269">
      <c r="A269" s="26">
        <f>IF($B269="","",ROW()-3)</f>
        <v/>
      </c>
      <c r="B269" s="27" t="n"/>
      <c r="C269" s="27" t="n"/>
      <c r="D269" s="28" t="n"/>
      <c r="E269" s="29" t="n"/>
      <c r="F269" s="30" t="n"/>
      <c r="G269" s="31" t="n"/>
      <c r="H269" s="31" t="n"/>
      <c r="I269" s="31" t="n"/>
      <c r="J269" s="31" t="n"/>
      <c r="K269" s="31" t="n"/>
      <c r="L269" s="31" t="n"/>
      <c r="M269" s="31" t="n"/>
      <c r="N269" s="31" t="n"/>
      <c r="O269" s="31" t="n"/>
      <c r="P269" s="31" t="n"/>
      <c r="Q269" s="31" t="n"/>
      <c r="R269" s="31" t="n"/>
      <c r="S269" s="32">
        <f>IF($F269="","",IF(IFERROR(VLOOKUP($F269,'维度字典'!$M$2:$N$50,2,0),"求和")="手工录入","",IF(IFERROR(VLOOKUP($F269,'维度字典'!$M$2:$N$50,2,0),"求和")="最新值",IFERROR(LOOKUP(9.99E+307,G269:R269),""),SUM(G269:R269))))</f>
        <v/>
      </c>
      <c r="T269" s="33" t="n"/>
    </row>
    <row r="270">
      <c r="A270" s="26">
        <f>IF($B270="","",ROW()-3)</f>
        <v/>
      </c>
      <c r="B270" s="27" t="n"/>
      <c r="C270" s="27" t="n"/>
      <c r="D270" s="28" t="n"/>
      <c r="E270" s="29" t="n"/>
      <c r="F270" s="30" t="n"/>
      <c r="G270" s="31" t="n"/>
      <c r="H270" s="31" t="n"/>
      <c r="I270" s="31" t="n"/>
      <c r="J270" s="31" t="n"/>
      <c r="K270" s="31" t="n"/>
      <c r="L270" s="31" t="n"/>
      <c r="M270" s="31" t="n"/>
      <c r="N270" s="31" t="n"/>
      <c r="O270" s="31" t="n"/>
      <c r="P270" s="31" t="n"/>
      <c r="Q270" s="31" t="n"/>
      <c r="R270" s="31" t="n"/>
      <c r="S270" s="32">
        <f>IF($F270="","",IF(IFERROR(VLOOKUP($F270,'维度字典'!$M$2:$N$50,2,0),"求和")="手工录入","",IF(IFERROR(VLOOKUP($F270,'维度字典'!$M$2:$N$50,2,0),"求和")="最新值",IFERROR(LOOKUP(9.99E+307,G270:R270),""),SUM(G270:R270))))</f>
        <v/>
      </c>
      <c r="T270" s="33" t="n"/>
    </row>
    <row r="271">
      <c r="A271" s="26">
        <f>IF($B271="","",ROW()-3)</f>
        <v/>
      </c>
      <c r="B271" s="27" t="n"/>
      <c r="C271" s="27" t="n"/>
      <c r="D271" s="28" t="n"/>
      <c r="E271" s="29" t="n"/>
      <c r="F271" s="30" t="n"/>
      <c r="G271" s="31" t="n"/>
      <c r="H271" s="31" t="n"/>
      <c r="I271" s="31" t="n"/>
      <c r="J271" s="31" t="n"/>
      <c r="K271" s="31" t="n"/>
      <c r="L271" s="31" t="n"/>
      <c r="M271" s="31" t="n"/>
      <c r="N271" s="31" t="n"/>
      <c r="O271" s="31" t="n"/>
      <c r="P271" s="31" t="n"/>
      <c r="Q271" s="31" t="n"/>
      <c r="R271" s="31" t="n"/>
      <c r="S271" s="32">
        <f>IF($F271="","",IF(IFERROR(VLOOKUP($F271,'维度字典'!$M$2:$N$50,2,0),"求和")="手工录入","",IF(IFERROR(VLOOKUP($F271,'维度字典'!$M$2:$N$50,2,0),"求和")="最新值",IFERROR(LOOKUP(9.99E+307,G271:R271),""),SUM(G271:R271))))</f>
        <v/>
      </c>
      <c r="T271" s="33" t="n"/>
    </row>
    <row r="272">
      <c r="A272" s="26">
        <f>IF($B272="","",ROW()-3)</f>
        <v/>
      </c>
      <c r="B272" s="27" t="n"/>
      <c r="C272" s="27" t="n"/>
      <c r="D272" s="28" t="n"/>
      <c r="E272" s="29" t="n"/>
      <c r="F272" s="30" t="n"/>
      <c r="G272" s="31" t="n"/>
      <c r="H272" s="31" t="n"/>
      <c r="I272" s="31" t="n"/>
      <c r="J272" s="31" t="n"/>
      <c r="K272" s="31" t="n"/>
      <c r="L272" s="31" t="n"/>
      <c r="M272" s="31" t="n"/>
      <c r="N272" s="31" t="n"/>
      <c r="O272" s="31" t="n"/>
      <c r="P272" s="31" t="n"/>
      <c r="Q272" s="31" t="n"/>
      <c r="R272" s="31" t="n"/>
      <c r="S272" s="32">
        <f>IF($F272="","",IF(IFERROR(VLOOKUP($F272,'维度字典'!$M$2:$N$50,2,0),"求和")="手工录入","",IF(IFERROR(VLOOKUP($F272,'维度字典'!$M$2:$N$50,2,0),"求和")="最新值",IFERROR(LOOKUP(9.99E+307,G272:R272),""),SUM(G272:R272))))</f>
        <v/>
      </c>
      <c r="T272" s="33" t="n"/>
    </row>
    <row r="273">
      <c r="A273" s="26">
        <f>IF($B273="","",ROW()-3)</f>
        <v/>
      </c>
      <c r="B273" s="27" t="n"/>
      <c r="C273" s="27" t="n"/>
      <c r="D273" s="28" t="n"/>
      <c r="E273" s="29" t="n"/>
      <c r="F273" s="30" t="n"/>
      <c r="G273" s="31" t="n"/>
      <c r="H273" s="31" t="n"/>
      <c r="I273" s="31" t="n"/>
      <c r="J273" s="31" t="n"/>
      <c r="K273" s="31" t="n"/>
      <c r="L273" s="31" t="n"/>
      <c r="M273" s="31" t="n"/>
      <c r="N273" s="31" t="n"/>
      <c r="O273" s="31" t="n"/>
      <c r="P273" s="31" t="n"/>
      <c r="Q273" s="31" t="n"/>
      <c r="R273" s="31" t="n"/>
      <c r="S273" s="32">
        <f>IF($F273="","",IF(IFERROR(VLOOKUP($F273,'维度字典'!$M$2:$N$50,2,0),"求和")="手工录入","",IF(IFERROR(VLOOKUP($F273,'维度字典'!$M$2:$N$50,2,0),"求和")="最新值",IFERROR(LOOKUP(9.99E+307,G273:R273),""),SUM(G273:R273))))</f>
        <v/>
      </c>
      <c r="T273" s="33" t="n"/>
    </row>
    <row r="274">
      <c r="A274" s="26">
        <f>IF($B274="","",ROW()-3)</f>
        <v/>
      </c>
      <c r="B274" s="27" t="n"/>
      <c r="C274" s="27" t="n"/>
      <c r="D274" s="28" t="n"/>
      <c r="E274" s="29" t="n"/>
      <c r="F274" s="30" t="n"/>
      <c r="G274" s="31" t="n"/>
      <c r="H274" s="31" t="n"/>
      <c r="I274" s="31" t="n"/>
      <c r="J274" s="31" t="n"/>
      <c r="K274" s="31" t="n"/>
      <c r="L274" s="31" t="n"/>
      <c r="M274" s="31" t="n"/>
      <c r="N274" s="31" t="n"/>
      <c r="O274" s="31" t="n"/>
      <c r="P274" s="31" t="n"/>
      <c r="Q274" s="31" t="n"/>
      <c r="R274" s="31" t="n"/>
      <c r="S274" s="32">
        <f>IF($F274="","",IF(IFERROR(VLOOKUP($F274,'维度字典'!$M$2:$N$50,2,0),"求和")="手工录入","",IF(IFERROR(VLOOKUP($F274,'维度字典'!$M$2:$N$50,2,0),"求和")="最新值",IFERROR(LOOKUP(9.99E+307,G274:R274),""),SUM(G274:R274))))</f>
        <v/>
      </c>
      <c r="T274" s="33" t="n"/>
    </row>
    <row r="275">
      <c r="A275" s="26">
        <f>IF($B275="","",ROW()-3)</f>
        <v/>
      </c>
      <c r="B275" s="27" t="n"/>
      <c r="C275" s="27" t="n"/>
      <c r="D275" s="28" t="n"/>
      <c r="E275" s="29" t="n"/>
      <c r="F275" s="30" t="n"/>
      <c r="G275" s="31" t="n"/>
      <c r="H275" s="31" t="n"/>
      <c r="I275" s="31" t="n"/>
      <c r="J275" s="31" t="n"/>
      <c r="K275" s="31" t="n"/>
      <c r="L275" s="31" t="n"/>
      <c r="M275" s="31" t="n"/>
      <c r="N275" s="31" t="n"/>
      <c r="O275" s="31" t="n"/>
      <c r="P275" s="31" t="n"/>
      <c r="Q275" s="31" t="n"/>
      <c r="R275" s="31" t="n"/>
      <c r="S275" s="32">
        <f>IF($F275="","",IF(IFERROR(VLOOKUP($F275,'维度字典'!$M$2:$N$50,2,0),"求和")="手工录入","",IF(IFERROR(VLOOKUP($F275,'维度字典'!$M$2:$N$50,2,0),"求和")="最新值",IFERROR(LOOKUP(9.99E+307,G275:R275),""),SUM(G275:R275))))</f>
        <v/>
      </c>
      <c r="T275" s="33" t="n"/>
    </row>
    <row r="276">
      <c r="A276" s="26">
        <f>IF($B276="","",ROW()-3)</f>
        <v/>
      </c>
      <c r="B276" s="27" t="n"/>
      <c r="C276" s="27" t="n"/>
      <c r="D276" s="28" t="n"/>
      <c r="E276" s="29" t="n"/>
      <c r="F276" s="30" t="n"/>
      <c r="G276" s="31" t="n"/>
      <c r="H276" s="31" t="n"/>
      <c r="I276" s="31" t="n"/>
      <c r="J276" s="31" t="n"/>
      <c r="K276" s="31" t="n"/>
      <c r="L276" s="31" t="n"/>
      <c r="M276" s="31" t="n"/>
      <c r="N276" s="31" t="n"/>
      <c r="O276" s="31" t="n"/>
      <c r="P276" s="31" t="n"/>
      <c r="Q276" s="31" t="n"/>
      <c r="R276" s="31" t="n"/>
      <c r="S276" s="32">
        <f>IF($F276="","",IF(IFERROR(VLOOKUP($F276,'维度字典'!$M$2:$N$50,2,0),"求和")="手工录入","",IF(IFERROR(VLOOKUP($F276,'维度字典'!$M$2:$N$50,2,0),"求和")="最新值",IFERROR(LOOKUP(9.99E+307,G276:R276),""),SUM(G276:R276))))</f>
        <v/>
      </c>
      <c r="T276" s="33" t="n"/>
    </row>
    <row r="277">
      <c r="A277" s="26">
        <f>IF($B277="","",ROW()-3)</f>
        <v/>
      </c>
      <c r="B277" s="27" t="n"/>
      <c r="C277" s="27" t="n"/>
      <c r="D277" s="28" t="n"/>
      <c r="E277" s="29" t="n"/>
      <c r="F277" s="30" t="n"/>
      <c r="G277" s="31" t="n"/>
      <c r="H277" s="31" t="n"/>
      <c r="I277" s="31" t="n"/>
      <c r="J277" s="31" t="n"/>
      <c r="K277" s="31" t="n"/>
      <c r="L277" s="31" t="n"/>
      <c r="M277" s="31" t="n"/>
      <c r="N277" s="31" t="n"/>
      <c r="O277" s="31" t="n"/>
      <c r="P277" s="31" t="n"/>
      <c r="Q277" s="31" t="n"/>
      <c r="R277" s="31" t="n"/>
      <c r="S277" s="32">
        <f>IF($F277="","",IF(IFERROR(VLOOKUP($F277,'维度字典'!$M$2:$N$50,2,0),"求和")="手工录入","",IF(IFERROR(VLOOKUP($F277,'维度字典'!$M$2:$N$50,2,0),"求和")="最新值",IFERROR(LOOKUP(9.99E+307,G277:R277),""),SUM(G277:R277))))</f>
        <v/>
      </c>
      <c r="T277" s="33" t="n"/>
    </row>
    <row r="278">
      <c r="A278" s="26">
        <f>IF($B278="","",ROW()-3)</f>
        <v/>
      </c>
      <c r="B278" s="27" t="n"/>
      <c r="C278" s="27" t="n"/>
      <c r="D278" s="28" t="n"/>
      <c r="E278" s="29" t="n"/>
      <c r="F278" s="30" t="n"/>
      <c r="G278" s="31" t="n"/>
      <c r="H278" s="31" t="n"/>
      <c r="I278" s="31" t="n"/>
      <c r="J278" s="31" t="n"/>
      <c r="K278" s="31" t="n"/>
      <c r="L278" s="31" t="n"/>
      <c r="M278" s="31" t="n"/>
      <c r="N278" s="31" t="n"/>
      <c r="O278" s="31" t="n"/>
      <c r="P278" s="31" t="n"/>
      <c r="Q278" s="31" t="n"/>
      <c r="R278" s="31" t="n"/>
      <c r="S278" s="32">
        <f>IF($F278="","",IF(IFERROR(VLOOKUP($F278,'维度字典'!$M$2:$N$50,2,0),"求和")="手工录入","",IF(IFERROR(VLOOKUP($F278,'维度字典'!$M$2:$N$50,2,0),"求和")="最新值",IFERROR(LOOKUP(9.99E+307,G278:R278),""),SUM(G278:R278))))</f>
        <v/>
      </c>
      <c r="T278" s="33" t="n"/>
    </row>
    <row r="279">
      <c r="A279" s="26">
        <f>IF($B279="","",ROW()-3)</f>
        <v/>
      </c>
      <c r="B279" s="27" t="n"/>
      <c r="C279" s="27" t="n"/>
      <c r="D279" s="28" t="n"/>
      <c r="E279" s="29" t="n"/>
      <c r="F279" s="30" t="n"/>
      <c r="G279" s="31" t="n"/>
      <c r="H279" s="31" t="n"/>
      <c r="I279" s="31" t="n"/>
      <c r="J279" s="31" t="n"/>
      <c r="K279" s="31" t="n"/>
      <c r="L279" s="31" t="n"/>
      <c r="M279" s="31" t="n"/>
      <c r="N279" s="31" t="n"/>
      <c r="O279" s="31" t="n"/>
      <c r="P279" s="31" t="n"/>
      <c r="Q279" s="31" t="n"/>
      <c r="R279" s="31" t="n"/>
      <c r="S279" s="32">
        <f>IF($F279="","",IF(IFERROR(VLOOKUP($F279,'维度字典'!$M$2:$N$50,2,0),"求和")="手工录入","",IF(IFERROR(VLOOKUP($F279,'维度字典'!$M$2:$N$50,2,0),"求和")="最新值",IFERROR(LOOKUP(9.99E+307,G279:R279),""),SUM(G279:R279))))</f>
        <v/>
      </c>
      <c r="T279" s="33" t="n"/>
    </row>
    <row r="280">
      <c r="A280" s="26">
        <f>IF($B280="","",ROW()-3)</f>
        <v/>
      </c>
      <c r="B280" s="27" t="n"/>
      <c r="C280" s="27" t="n"/>
      <c r="D280" s="28" t="n"/>
      <c r="E280" s="29" t="n"/>
      <c r="F280" s="30" t="n"/>
      <c r="G280" s="31" t="n"/>
      <c r="H280" s="31" t="n"/>
      <c r="I280" s="31" t="n"/>
      <c r="J280" s="31" t="n"/>
      <c r="K280" s="31" t="n"/>
      <c r="L280" s="31" t="n"/>
      <c r="M280" s="31" t="n"/>
      <c r="N280" s="31" t="n"/>
      <c r="O280" s="31" t="n"/>
      <c r="P280" s="31" t="n"/>
      <c r="Q280" s="31" t="n"/>
      <c r="R280" s="31" t="n"/>
      <c r="S280" s="32">
        <f>IF($F280="","",IF(IFERROR(VLOOKUP($F280,'维度字典'!$M$2:$N$50,2,0),"求和")="手工录入","",IF(IFERROR(VLOOKUP($F280,'维度字典'!$M$2:$N$50,2,0),"求和")="最新值",IFERROR(LOOKUP(9.99E+307,G280:R280),""),SUM(G280:R280))))</f>
        <v/>
      </c>
      <c r="T280" s="33" t="n"/>
    </row>
    <row r="281">
      <c r="A281" s="26">
        <f>IF($B281="","",ROW()-3)</f>
        <v/>
      </c>
      <c r="B281" s="27" t="n"/>
      <c r="C281" s="27" t="n"/>
      <c r="D281" s="28" t="n"/>
      <c r="E281" s="29" t="n"/>
      <c r="F281" s="30" t="n"/>
      <c r="G281" s="31" t="n"/>
      <c r="H281" s="31" t="n"/>
      <c r="I281" s="31" t="n"/>
      <c r="J281" s="31" t="n"/>
      <c r="K281" s="31" t="n"/>
      <c r="L281" s="31" t="n"/>
      <c r="M281" s="31" t="n"/>
      <c r="N281" s="31" t="n"/>
      <c r="O281" s="31" t="n"/>
      <c r="P281" s="31" t="n"/>
      <c r="Q281" s="31" t="n"/>
      <c r="R281" s="31" t="n"/>
      <c r="S281" s="32">
        <f>IF($F281="","",IF(IFERROR(VLOOKUP($F281,'维度字典'!$M$2:$N$50,2,0),"求和")="手工录入","",IF(IFERROR(VLOOKUP($F281,'维度字典'!$M$2:$N$50,2,0),"求和")="最新值",IFERROR(LOOKUP(9.99E+307,G281:R281),""),SUM(G281:R281))))</f>
        <v/>
      </c>
      <c r="T281" s="33" t="n"/>
    </row>
    <row r="282">
      <c r="A282" s="26">
        <f>IF($B282="","",ROW()-3)</f>
        <v/>
      </c>
      <c r="B282" s="27" t="n"/>
      <c r="C282" s="27" t="n"/>
      <c r="D282" s="28" t="n"/>
      <c r="E282" s="29" t="n"/>
      <c r="F282" s="30" t="n"/>
      <c r="G282" s="31" t="n"/>
      <c r="H282" s="31" t="n"/>
      <c r="I282" s="31" t="n"/>
      <c r="J282" s="31" t="n"/>
      <c r="K282" s="31" t="n"/>
      <c r="L282" s="31" t="n"/>
      <c r="M282" s="31" t="n"/>
      <c r="N282" s="31" t="n"/>
      <c r="O282" s="31" t="n"/>
      <c r="P282" s="31" t="n"/>
      <c r="Q282" s="31" t="n"/>
      <c r="R282" s="31" t="n"/>
      <c r="S282" s="32">
        <f>IF($F282="","",IF(IFERROR(VLOOKUP($F282,'维度字典'!$M$2:$N$50,2,0),"求和")="手工录入","",IF(IFERROR(VLOOKUP($F282,'维度字典'!$M$2:$N$50,2,0),"求和")="最新值",IFERROR(LOOKUP(9.99E+307,G282:R282),""),SUM(G282:R282))))</f>
        <v/>
      </c>
      <c r="T282" s="33" t="n"/>
    </row>
    <row r="283">
      <c r="A283" s="26">
        <f>IF($B283="","",ROW()-3)</f>
        <v/>
      </c>
      <c r="B283" s="27" t="n"/>
      <c r="C283" s="27" t="n"/>
      <c r="D283" s="28" t="n"/>
      <c r="E283" s="29" t="n"/>
      <c r="F283" s="30" t="n"/>
      <c r="G283" s="31" t="n"/>
      <c r="H283" s="31" t="n"/>
      <c r="I283" s="31" t="n"/>
      <c r="J283" s="31" t="n"/>
      <c r="K283" s="31" t="n"/>
      <c r="L283" s="31" t="n"/>
      <c r="M283" s="31" t="n"/>
      <c r="N283" s="31" t="n"/>
      <c r="O283" s="31" t="n"/>
      <c r="P283" s="31" t="n"/>
      <c r="Q283" s="31" t="n"/>
      <c r="R283" s="31" t="n"/>
      <c r="S283" s="32">
        <f>IF($F283="","",IF(IFERROR(VLOOKUP($F283,'维度字典'!$M$2:$N$50,2,0),"求和")="手工录入","",IF(IFERROR(VLOOKUP($F283,'维度字典'!$M$2:$N$50,2,0),"求和")="最新值",IFERROR(LOOKUP(9.99E+307,G283:R283),""),SUM(G283:R283))))</f>
        <v/>
      </c>
      <c r="T283" s="33" t="n"/>
    </row>
    <row r="284">
      <c r="A284" s="26">
        <f>IF($B284="","",ROW()-3)</f>
        <v/>
      </c>
      <c r="B284" s="27" t="n"/>
      <c r="C284" s="27" t="n"/>
      <c r="D284" s="28" t="n"/>
      <c r="E284" s="29" t="n"/>
      <c r="F284" s="30" t="n"/>
      <c r="G284" s="31" t="n"/>
      <c r="H284" s="31" t="n"/>
      <c r="I284" s="31" t="n"/>
      <c r="J284" s="31" t="n"/>
      <c r="K284" s="31" t="n"/>
      <c r="L284" s="31" t="n"/>
      <c r="M284" s="31" t="n"/>
      <c r="N284" s="31" t="n"/>
      <c r="O284" s="31" t="n"/>
      <c r="P284" s="31" t="n"/>
      <c r="Q284" s="31" t="n"/>
      <c r="R284" s="31" t="n"/>
      <c r="S284" s="32">
        <f>IF($F284="","",IF(IFERROR(VLOOKUP($F284,'维度字典'!$M$2:$N$50,2,0),"求和")="手工录入","",IF(IFERROR(VLOOKUP($F284,'维度字典'!$M$2:$N$50,2,0),"求和")="最新值",IFERROR(LOOKUP(9.99E+307,G284:R284),""),SUM(G284:R284))))</f>
        <v/>
      </c>
      <c r="T284" s="33" t="n"/>
    </row>
    <row r="285">
      <c r="A285" s="26">
        <f>IF($B285="","",ROW()-3)</f>
        <v/>
      </c>
      <c r="B285" s="27" t="n"/>
      <c r="C285" s="27" t="n"/>
      <c r="D285" s="28" t="n"/>
      <c r="E285" s="29" t="n"/>
      <c r="F285" s="30" t="n"/>
      <c r="G285" s="31" t="n"/>
      <c r="H285" s="31" t="n"/>
      <c r="I285" s="31" t="n"/>
      <c r="J285" s="31" t="n"/>
      <c r="K285" s="31" t="n"/>
      <c r="L285" s="31" t="n"/>
      <c r="M285" s="31" t="n"/>
      <c r="N285" s="31" t="n"/>
      <c r="O285" s="31" t="n"/>
      <c r="P285" s="31" t="n"/>
      <c r="Q285" s="31" t="n"/>
      <c r="R285" s="31" t="n"/>
      <c r="S285" s="32">
        <f>IF($F285="","",IF(IFERROR(VLOOKUP($F285,'维度字典'!$M$2:$N$50,2,0),"求和")="手工录入","",IF(IFERROR(VLOOKUP($F285,'维度字典'!$M$2:$N$50,2,0),"求和")="最新值",IFERROR(LOOKUP(9.99E+307,G285:R285),""),SUM(G285:R285))))</f>
        <v/>
      </c>
      <c r="T285" s="33" t="n"/>
    </row>
    <row r="286">
      <c r="A286" s="26">
        <f>IF($B286="","",ROW()-3)</f>
        <v/>
      </c>
      <c r="B286" s="27" t="n"/>
      <c r="C286" s="27" t="n"/>
      <c r="D286" s="28" t="n"/>
      <c r="E286" s="29" t="n"/>
      <c r="F286" s="30" t="n"/>
      <c r="G286" s="31" t="n"/>
      <c r="H286" s="31" t="n"/>
      <c r="I286" s="31" t="n"/>
      <c r="J286" s="31" t="n"/>
      <c r="K286" s="31" t="n"/>
      <c r="L286" s="31" t="n"/>
      <c r="M286" s="31" t="n"/>
      <c r="N286" s="31" t="n"/>
      <c r="O286" s="31" t="n"/>
      <c r="P286" s="31" t="n"/>
      <c r="Q286" s="31" t="n"/>
      <c r="R286" s="31" t="n"/>
      <c r="S286" s="32">
        <f>IF($F286="","",IF(IFERROR(VLOOKUP($F286,'维度字典'!$M$2:$N$50,2,0),"求和")="手工录入","",IF(IFERROR(VLOOKUP($F286,'维度字典'!$M$2:$N$50,2,0),"求和")="最新值",IFERROR(LOOKUP(9.99E+307,G286:R286),""),SUM(G286:R286))))</f>
        <v/>
      </c>
      <c r="T286" s="33" t="n"/>
    </row>
    <row r="287">
      <c r="A287" s="26">
        <f>IF($B287="","",ROW()-3)</f>
        <v/>
      </c>
      <c r="B287" s="27" t="n"/>
      <c r="C287" s="27" t="n"/>
      <c r="D287" s="28" t="n"/>
      <c r="E287" s="29" t="n"/>
      <c r="F287" s="30" t="n"/>
      <c r="G287" s="31" t="n"/>
      <c r="H287" s="31" t="n"/>
      <c r="I287" s="31" t="n"/>
      <c r="J287" s="31" t="n"/>
      <c r="K287" s="31" t="n"/>
      <c r="L287" s="31" t="n"/>
      <c r="M287" s="31" t="n"/>
      <c r="N287" s="31" t="n"/>
      <c r="O287" s="31" t="n"/>
      <c r="P287" s="31" t="n"/>
      <c r="Q287" s="31" t="n"/>
      <c r="R287" s="31" t="n"/>
      <c r="S287" s="32">
        <f>IF($F287="","",IF(IFERROR(VLOOKUP($F287,'维度字典'!$M$2:$N$50,2,0),"求和")="手工录入","",IF(IFERROR(VLOOKUP($F287,'维度字典'!$M$2:$N$50,2,0),"求和")="最新值",IFERROR(LOOKUP(9.99E+307,G287:R287),""),SUM(G287:R287))))</f>
        <v/>
      </c>
      <c r="T287" s="33" t="n"/>
    </row>
    <row r="288">
      <c r="A288" s="26">
        <f>IF($B288="","",ROW()-3)</f>
        <v/>
      </c>
      <c r="B288" s="27" t="n"/>
      <c r="C288" s="27" t="n"/>
      <c r="D288" s="28" t="n"/>
      <c r="E288" s="29" t="n"/>
      <c r="F288" s="30" t="n"/>
      <c r="G288" s="31" t="n"/>
      <c r="H288" s="31" t="n"/>
      <c r="I288" s="31" t="n"/>
      <c r="J288" s="31" t="n"/>
      <c r="K288" s="31" t="n"/>
      <c r="L288" s="31" t="n"/>
      <c r="M288" s="31" t="n"/>
      <c r="N288" s="31" t="n"/>
      <c r="O288" s="31" t="n"/>
      <c r="P288" s="31" t="n"/>
      <c r="Q288" s="31" t="n"/>
      <c r="R288" s="31" t="n"/>
      <c r="S288" s="32">
        <f>IF($F288="","",IF(IFERROR(VLOOKUP($F288,'维度字典'!$M$2:$N$50,2,0),"求和")="手工录入","",IF(IFERROR(VLOOKUP($F288,'维度字典'!$M$2:$N$50,2,0),"求和")="最新值",IFERROR(LOOKUP(9.99E+307,G288:R288),""),SUM(G288:R288))))</f>
        <v/>
      </c>
      <c r="T288" s="33" t="n"/>
    </row>
    <row r="289">
      <c r="A289" s="26">
        <f>IF($B289="","",ROW()-3)</f>
        <v/>
      </c>
      <c r="B289" s="27" t="n"/>
      <c r="C289" s="27" t="n"/>
      <c r="D289" s="28" t="n"/>
      <c r="E289" s="29" t="n"/>
      <c r="F289" s="30" t="n"/>
      <c r="G289" s="31" t="n"/>
      <c r="H289" s="31" t="n"/>
      <c r="I289" s="31" t="n"/>
      <c r="J289" s="31" t="n"/>
      <c r="K289" s="31" t="n"/>
      <c r="L289" s="31" t="n"/>
      <c r="M289" s="31" t="n"/>
      <c r="N289" s="31" t="n"/>
      <c r="O289" s="31" t="n"/>
      <c r="P289" s="31" t="n"/>
      <c r="Q289" s="31" t="n"/>
      <c r="R289" s="31" t="n"/>
      <c r="S289" s="32">
        <f>IF($F289="","",IF(IFERROR(VLOOKUP($F289,'维度字典'!$M$2:$N$50,2,0),"求和")="手工录入","",IF(IFERROR(VLOOKUP($F289,'维度字典'!$M$2:$N$50,2,0),"求和")="最新值",IFERROR(LOOKUP(9.99E+307,G289:R289),""),SUM(G289:R289))))</f>
        <v/>
      </c>
      <c r="T289" s="33" t="n"/>
    </row>
    <row r="290">
      <c r="A290" s="26">
        <f>IF($B290="","",ROW()-3)</f>
        <v/>
      </c>
      <c r="B290" s="27" t="n"/>
      <c r="C290" s="27" t="n"/>
      <c r="D290" s="28" t="n"/>
      <c r="E290" s="29" t="n"/>
      <c r="F290" s="30" t="n"/>
      <c r="G290" s="31" t="n"/>
      <c r="H290" s="31" t="n"/>
      <c r="I290" s="31" t="n"/>
      <c r="J290" s="31" t="n"/>
      <c r="K290" s="31" t="n"/>
      <c r="L290" s="31" t="n"/>
      <c r="M290" s="31" t="n"/>
      <c r="N290" s="31" t="n"/>
      <c r="O290" s="31" t="n"/>
      <c r="P290" s="31" t="n"/>
      <c r="Q290" s="31" t="n"/>
      <c r="R290" s="31" t="n"/>
      <c r="S290" s="32">
        <f>IF($F290="","",IF(IFERROR(VLOOKUP($F290,'维度字典'!$M$2:$N$50,2,0),"求和")="手工录入","",IF(IFERROR(VLOOKUP($F290,'维度字典'!$M$2:$N$50,2,0),"求和")="最新值",IFERROR(LOOKUP(9.99E+307,G290:R290),""),SUM(G290:R290))))</f>
        <v/>
      </c>
      <c r="T290" s="33" t="n"/>
    </row>
    <row r="291">
      <c r="A291" s="26">
        <f>IF($B291="","",ROW()-3)</f>
        <v/>
      </c>
      <c r="B291" s="27" t="n"/>
      <c r="C291" s="27" t="n"/>
      <c r="D291" s="28" t="n"/>
      <c r="E291" s="29" t="n"/>
      <c r="F291" s="30" t="n"/>
      <c r="G291" s="31" t="n"/>
      <c r="H291" s="31" t="n"/>
      <c r="I291" s="31" t="n"/>
      <c r="J291" s="31" t="n"/>
      <c r="K291" s="31" t="n"/>
      <c r="L291" s="31" t="n"/>
      <c r="M291" s="31" t="n"/>
      <c r="N291" s="31" t="n"/>
      <c r="O291" s="31" t="n"/>
      <c r="P291" s="31" t="n"/>
      <c r="Q291" s="31" t="n"/>
      <c r="R291" s="31" t="n"/>
      <c r="S291" s="32">
        <f>IF($F291="","",IF(IFERROR(VLOOKUP($F291,'维度字典'!$M$2:$N$50,2,0),"求和")="手工录入","",IF(IFERROR(VLOOKUP($F291,'维度字典'!$M$2:$N$50,2,0),"求和")="最新值",IFERROR(LOOKUP(9.99E+307,G291:R291),""),SUM(G291:R291))))</f>
        <v/>
      </c>
      <c r="T291" s="33" t="n"/>
    </row>
    <row r="292">
      <c r="A292" s="26">
        <f>IF($B292="","",ROW()-3)</f>
        <v/>
      </c>
      <c r="B292" s="27" t="n"/>
      <c r="C292" s="27" t="n"/>
      <c r="D292" s="28" t="n"/>
      <c r="E292" s="29" t="n"/>
      <c r="F292" s="30" t="n"/>
      <c r="G292" s="31" t="n"/>
      <c r="H292" s="31" t="n"/>
      <c r="I292" s="31" t="n"/>
      <c r="J292" s="31" t="n"/>
      <c r="K292" s="31" t="n"/>
      <c r="L292" s="31" t="n"/>
      <c r="M292" s="31" t="n"/>
      <c r="N292" s="31" t="n"/>
      <c r="O292" s="31" t="n"/>
      <c r="P292" s="31" t="n"/>
      <c r="Q292" s="31" t="n"/>
      <c r="R292" s="31" t="n"/>
      <c r="S292" s="32">
        <f>IF($F292="","",IF(IFERROR(VLOOKUP($F292,'维度字典'!$M$2:$N$50,2,0),"求和")="手工录入","",IF(IFERROR(VLOOKUP($F292,'维度字典'!$M$2:$N$50,2,0),"求和")="最新值",IFERROR(LOOKUP(9.99E+307,G292:R292),""),SUM(G292:R292))))</f>
        <v/>
      </c>
      <c r="T292" s="33" t="n"/>
    </row>
    <row r="293">
      <c r="A293" s="26">
        <f>IF($B293="","",ROW()-3)</f>
        <v/>
      </c>
      <c r="B293" s="27" t="n"/>
      <c r="C293" s="27" t="n"/>
      <c r="D293" s="28" t="n"/>
      <c r="E293" s="29" t="n"/>
      <c r="F293" s="30" t="n"/>
      <c r="G293" s="31" t="n"/>
      <c r="H293" s="31" t="n"/>
      <c r="I293" s="31" t="n"/>
      <c r="J293" s="31" t="n"/>
      <c r="K293" s="31" t="n"/>
      <c r="L293" s="31" t="n"/>
      <c r="M293" s="31" t="n"/>
      <c r="N293" s="31" t="n"/>
      <c r="O293" s="31" t="n"/>
      <c r="P293" s="31" t="n"/>
      <c r="Q293" s="31" t="n"/>
      <c r="R293" s="31" t="n"/>
      <c r="S293" s="32">
        <f>IF($F293="","",IF(IFERROR(VLOOKUP($F293,'维度字典'!$M$2:$N$50,2,0),"求和")="手工录入","",IF(IFERROR(VLOOKUP($F293,'维度字典'!$M$2:$N$50,2,0),"求和")="最新值",IFERROR(LOOKUP(9.99E+307,G293:R293),""),SUM(G293:R293))))</f>
        <v/>
      </c>
      <c r="T293" s="33" t="n"/>
    </row>
    <row r="294">
      <c r="A294" s="26">
        <f>IF($B294="","",ROW()-3)</f>
        <v/>
      </c>
      <c r="B294" s="27" t="n"/>
      <c r="C294" s="27" t="n"/>
      <c r="D294" s="28" t="n"/>
      <c r="E294" s="29" t="n"/>
      <c r="F294" s="30" t="n"/>
      <c r="G294" s="31" t="n"/>
      <c r="H294" s="31" t="n"/>
      <c r="I294" s="31" t="n"/>
      <c r="J294" s="31" t="n"/>
      <c r="K294" s="31" t="n"/>
      <c r="L294" s="31" t="n"/>
      <c r="M294" s="31" t="n"/>
      <c r="N294" s="31" t="n"/>
      <c r="O294" s="31" t="n"/>
      <c r="P294" s="31" t="n"/>
      <c r="Q294" s="31" t="n"/>
      <c r="R294" s="31" t="n"/>
      <c r="S294" s="32">
        <f>IF($F294="","",IF(IFERROR(VLOOKUP($F294,'维度字典'!$M$2:$N$50,2,0),"求和")="手工录入","",IF(IFERROR(VLOOKUP($F294,'维度字典'!$M$2:$N$50,2,0),"求和")="最新值",IFERROR(LOOKUP(9.99E+307,G294:R294),""),SUM(G294:R294))))</f>
        <v/>
      </c>
      <c r="T294" s="33" t="n"/>
    </row>
    <row r="295">
      <c r="A295" s="26">
        <f>IF($B295="","",ROW()-3)</f>
        <v/>
      </c>
      <c r="B295" s="27" t="n"/>
      <c r="C295" s="27" t="n"/>
      <c r="D295" s="28" t="n"/>
      <c r="E295" s="29" t="n"/>
      <c r="F295" s="30" t="n"/>
      <c r="G295" s="31" t="n"/>
      <c r="H295" s="31" t="n"/>
      <c r="I295" s="31" t="n"/>
      <c r="J295" s="31" t="n"/>
      <c r="K295" s="31" t="n"/>
      <c r="L295" s="31" t="n"/>
      <c r="M295" s="31" t="n"/>
      <c r="N295" s="31" t="n"/>
      <c r="O295" s="31" t="n"/>
      <c r="P295" s="31" t="n"/>
      <c r="Q295" s="31" t="n"/>
      <c r="R295" s="31" t="n"/>
      <c r="S295" s="32">
        <f>IF($F295="","",IF(IFERROR(VLOOKUP($F295,'维度字典'!$M$2:$N$50,2,0),"求和")="手工录入","",IF(IFERROR(VLOOKUP($F295,'维度字典'!$M$2:$N$50,2,0),"求和")="最新值",IFERROR(LOOKUP(9.99E+307,G295:R295),""),SUM(G295:R295))))</f>
        <v/>
      </c>
      <c r="T295" s="33" t="n"/>
    </row>
    <row r="296">
      <c r="A296" s="26">
        <f>IF($B296="","",ROW()-3)</f>
        <v/>
      </c>
      <c r="B296" s="27" t="n"/>
      <c r="C296" s="27" t="n"/>
      <c r="D296" s="28" t="n"/>
      <c r="E296" s="29" t="n"/>
      <c r="F296" s="30" t="n"/>
      <c r="G296" s="31" t="n"/>
      <c r="H296" s="31" t="n"/>
      <c r="I296" s="31" t="n"/>
      <c r="J296" s="31" t="n"/>
      <c r="K296" s="31" t="n"/>
      <c r="L296" s="31" t="n"/>
      <c r="M296" s="31" t="n"/>
      <c r="N296" s="31" t="n"/>
      <c r="O296" s="31" t="n"/>
      <c r="P296" s="31" t="n"/>
      <c r="Q296" s="31" t="n"/>
      <c r="R296" s="31" t="n"/>
      <c r="S296" s="32">
        <f>IF($F296="","",IF(IFERROR(VLOOKUP($F296,'维度字典'!$M$2:$N$50,2,0),"求和")="手工录入","",IF(IFERROR(VLOOKUP($F296,'维度字典'!$M$2:$N$50,2,0),"求和")="最新值",IFERROR(LOOKUP(9.99E+307,G296:R296),""),SUM(G296:R296))))</f>
        <v/>
      </c>
      <c r="T296" s="33" t="n"/>
    </row>
    <row r="297">
      <c r="A297" s="26">
        <f>IF($B297="","",ROW()-3)</f>
        <v/>
      </c>
      <c r="B297" s="27" t="n"/>
      <c r="C297" s="27" t="n"/>
      <c r="D297" s="28" t="n"/>
      <c r="E297" s="29" t="n"/>
      <c r="F297" s="30" t="n"/>
      <c r="G297" s="31" t="n"/>
      <c r="H297" s="31" t="n"/>
      <c r="I297" s="31" t="n"/>
      <c r="J297" s="31" t="n"/>
      <c r="K297" s="31" t="n"/>
      <c r="L297" s="31" t="n"/>
      <c r="M297" s="31" t="n"/>
      <c r="N297" s="31" t="n"/>
      <c r="O297" s="31" t="n"/>
      <c r="P297" s="31" t="n"/>
      <c r="Q297" s="31" t="n"/>
      <c r="R297" s="31" t="n"/>
      <c r="S297" s="32">
        <f>IF($F297="","",IF(IFERROR(VLOOKUP($F297,'维度字典'!$M$2:$N$50,2,0),"求和")="手工录入","",IF(IFERROR(VLOOKUP($F297,'维度字典'!$M$2:$N$50,2,0),"求和")="最新值",IFERROR(LOOKUP(9.99E+307,G297:R297),""),SUM(G297:R297))))</f>
        <v/>
      </c>
      <c r="T297" s="33" t="n"/>
    </row>
    <row r="298">
      <c r="A298" s="26">
        <f>IF($B298="","",ROW()-3)</f>
        <v/>
      </c>
      <c r="B298" s="27" t="n"/>
      <c r="C298" s="27" t="n"/>
      <c r="D298" s="28" t="n"/>
      <c r="E298" s="29" t="n"/>
      <c r="F298" s="30" t="n"/>
      <c r="G298" s="31" t="n"/>
      <c r="H298" s="31" t="n"/>
      <c r="I298" s="31" t="n"/>
      <c r="J298" s="31" t="n"/>
      <c r="K298" s="31" t="n"/>
      <c r="L298" s="31" t="n"/>
      <c r="M298" s="31" t="n"/>
      <c r="N298" s="31" t="n"/>
      <c r="O298" s="31" t="n"/>
      <c r="P298" s="31" t="n"/>
      <c r="Q298" s="31" t="n"/>
      <c r="R298" s="31" t="n"/>
      <c r="S298" s="32">
        <f>IF($F298="","",IF(IFERROR(VLOOKUP($F298,'维度字典'!$M$2:$N$50,2,0),"求和")="手工录入","",IF(IFERROR(VLOOKUP($F298,'维度字典'!$M$2:$N$50,2,0),"求和")="最新值",IFERROR(LOOKUP(9.99E+307,G298:R298),""),SUM(G298:R298))))</f>
        <v/>
      </c>
      <c r="T298" s="33" t="n"/>
    </row>
    <row r="299">
      <c r="A299" s="26">
        <f>IF($B299="","",ROW()-3)</f>
        <v/>
      </c>
      <c r="B299" s="27" t="n"/>
      <c r="C299" s="27" t="n"/>
      <c r="D299" s="28" t="n"/>
      <c r="E299" s="29" t="n"/>
      <c r="F299" s="30" t="n"/>
      <c r="G299" s="31" t="n"/>
      <c r="H299" s="31" t="n"/>
      <c r="I299" s="31" t="n"/>
      <c r="J299" s="31" t="n"/>
      <c r="K299" s="31" t="n"/>
      <c r="L299" s="31" t="n"/>
      <c r="M299" s="31" t="n"/>
      <c r="N299" s="31" t="n"/>
      <c r="O299" s="31" t="n"/>
      <c r="P299" s="31" t="n"/>
      <c r="Q299" s="31" t="n"/>
      <c r="R299" s="31" t="n"/>
      <c r="S299" s="32">
        <f>IF($F299="","",IF(IFERROR(VLOOKUP($F299,'维度字典'!$M$2:$N$50,2,0),"求和")="手工录入","",IF(IFERROR(VLOOKUP($F299,'维度字典'!$M$2:$N$50,2,0),"求和")="最新值",IFERROR(LOOKUP(9.99E+307,G299:R299),""),SUM(G299:R299))))</f>
        <v/>
      </c>
      <c r="T299" s="33" t="n"/>
    </row>
    <row r="300">
      <c r="A300" s="26">
        <f>IF($B300="","",ROW()-3)</f>
        <v/>
      </c>
      <c r="B300" s="27" t="n"/>
      <c r="C300" s="27" t="n"/>
      <c r="D300" s="28" t="n"/>
      <c r="E300" s="29" t="n"/>
      <c r="F300" s="30" t="n"/>
      <c r="G300" s="31" t="n"/>
      <c r="H300" s="31" t="n"/>
      <c r="I300" s="31" t="n"/>
      <c r="J300" s="31" t="n"/>
      <c r="K300" s="31" t="n"/>
      <c r="L300" s="31" t="n"/>
      <c r="M300" s="31" t="n"/>
      <c r="N300" s="31" t="n"/>
      <c r="O300" s="31" t="n"/>
      <c r="P300" s="31" t="n"/>
      <c r="Q300" s="31" t="n"/>
      <c r="R300" s="31" t="n"/>
      <c r="S300" s="32">
        <f>IF($F300="","",IF(IFERROR(VLOOKUP($F300,'维度字典'!$M$2:$N$50,2,0),"求和")="手工录入","",IF(IFERROR(VLOOKUP($F300,'维度字典'!$M$2:$N$50,2,0),"求和")="最新值",IFERROR(LOOKUP(9.99E+307,G300:R300),""),SUM(G300:R300))))</f>
        <v/>
      </c>
      <c r="T300" s="33" t="n"/>
    </row>
    <row r="301">
      <c r="A301" s="26">
        <f>IF($B301="","",ROW()-3)</f>
        <v/>
      </c>
      <c r="B301" s="27" t="n"/>
      <c r="C301" s="27" t="n"/>
      <c r="D301" s="28" t="n"/>
      <c r="E301" s="29" t="n"/>
      <c r="F301" s="30" t="n"/>
      <c r="G301" s="31" t="n"/>
      <c r="H301" s="31" t="n"/>
      <c r="I301" s="31" t="n"/>
      <c r="J301" s="31" t="n"/>
      <c r="K301" s="31" t="n"/>
      <c r="L301" s="31" t="n"/>
      <c r="M301" s="31" t="n"/>
      <c r="N301" s="31" t="n"/>
      <c r="O301" s="31" t="n"/>
      <c r="P301" s="31" t="n"/>
      <c r="Q301" s="31" t="n"/>
      <c r="R301" s="31" t="n"/>
      <c r="S301" s="32">
        <f>IF($F301="","",IF(IFERROR(VLOOKUP($F301,'维度字典'!$M$2:$N$50,2,0),"求和")="手工录入","",IF(IFERROR(VLOOKUP($F301,'维度字典'!$M$2:$N$50,2,0),"求和")="最新值",IFERROR(LOOKUP(9.99E+307,G301:R301),""),SUM(G301:R301))))</f>
        <v/>
      </c>
      <c r="T301" s="33" t="n"/>
    </row>
    <row r="302">
      <c r="A302" s="26">
        <f>IF($B302="","",ROW()-3)</f>
        <v/>
      </c>
      <c r="B302" s="27" t="n"/>
      <c r="C302" s="27" t="n"/>
      <c r="D302" s="28" t="n"/>
      <c r="E302" s="29" t="n"/>
      <c r="F302" s="30" t="n"/>
      <c r="G302" s="31" t="n"/>
      <c r="H302" s="31" t="n"/>
      <c r="I302" s="31" t="n"/>
      <c r="J302" s="31" t="n"/>
      <c r="K302" s="31" t="n"/>
      <c r="L302" s="31" t="n"/>
      <c r="M302" s="31" t="n"/>
      <c r="N302" s="31" t="n"/>
      <c r="O302" s="31" t="n"/>
      <c r="P302" s="31" t="n"/>
      <c r="Q302" s="31" t="n"/>
      <c r="R302" s="31" t="n"/>
      <c r="S302" s="32">
        <f>IF($F302="","",IF(IFERROR(VLOOKUP($F302,'维度字典'!$M$2:$N$50,2,0),"求和")="手工录入","",IF(IFERROR(VLOOKUP($F302,'维度字典'!$M$2:$N$50,2,0),"求和")="最新值",IFERROR(LOOKUP(9.99E+307,G302:R302),""),SUM(G302:R302))))</f>
        <v/>
      </c>
      <c r="T302" s="33" t="n"/>
    </row>
    <row r="303">
      <c r="A303" s="26">
        <f>IF($B303="","",ROW()-3)</f>
        <v/>
      </c>
      <c r="B303" s="27" t="n"/>
      <c r="C303" s="27" t="n"/>
      <c r="D303" s="28" t="n"/>
      <c r="E303" s="29" t="n"/>
      <c r="F303" s="30" t="n"/>
      <c r="G303" s="31" t="n"/>
      <c r="H303" s="31" t="n"/>
      <c r="I303" s="31" t="n"/>
      <c r="J303" s="31" t="n"/>
      <c r="K303" s="31" t="n"/>
      <c r="L303" s="31" t="n"/>
      <c r="M303" s="31" t="n"/>
      <c r="N303" s="31" t="n"/>
      <c r="O303" s="31" t="n"/>
      <c r="P303" s="31" t="n"/>
      <c r="Q303" s="31" t="n"/>
      <c r="R303" s="31" t="n"/>
      <c r="S303" s="32">
        <f>IF($F303="","",IF(IFERROR(VLOOKUP($F303,'维度字典'!$M$2:$N$50,2,0),"求和")="手工录入","",IF(IFERROR(VLOOKUP($F303,'维度字典'!$M$2:$N$50,2,0),"求和")="最新值",IFERROR(LOOKUP(9.99E+307,G303:R303),""),SUM(G303:R303))))</f>
        <v/>
      </c>
      <c r="T303" s="33" t="n"/>
    </row>
    <row r="304">
      <c r="A304" s="26">
        <f>IF($B304="","",ROW()-3)</f>
        <v/>
      </c>
      <c r="B304" s="27" t="n"/>
      <c r="C304" s="27" t="n"/>
      <c r="D304" s="28" t="n"/>
      <c r="E304" s="29" t="n"/>
      <c r="F304" s="30" t="n"/>
      <c r="G304" s="31" t="n"/>
      <c r="H304" s="31" t="n"/>
      <c r="I304" s="31" t="n"/>
      <c r="J304" s="31" t="n"/>
      <c r="K304" s="31" t="n"/>
      <c r="L304" s="31" t="n"/>
      <c r="M304" s="31" t="n"/>
      <c r="N304" s="31" t="n"/>
      <c r="O304" s="31" t="n"/>
      <c r="P304" s="31" t="n"/>
      <c r="Q304" s="31" t="n"/>
      <c r="R304" s="31" t="n"/>
      <c r="S304" s="32">
        <f>IF($F304="","",IF(IFERROR(VLOOKUP($F304,'维度字典'!$M$2:$N$50,2,0),"求和")="手工录入","",IF(IFERROR(VLOOKUP($F304,'维度字典'!$M$2:$N$50,2,0),"求和")="最新值",IFERROR(LOOKUP(9.99E+307,G304:R304),""),SUM(G304:R304))))</f>
        <v/>
      </c>
      <c r="T304" s="33" t="n"/>
    </row>
    <row r="305">
      <c r="A305" s="26">
        <f>IF($B305="","",ROW()-3)</f>
        <v/>
      </c>
      <c r="B305" s="27" t="n"/>
      <c r="C305" s="27" t="n"/>
      <c r="D305" s="28" t="n"/>
      <c r="E305" s="29" t="n"/>
      <c r="F305" s="30" t="n"/>
      <c r="G305" s="31" t="n"/>
      <c r="H305" s="31" t="n"/>
      <c r="I305" s="31" t="n"/>
      <c r="J305" s="31" t="n"/>
      <c r="K305" s="31" t="n"/>
      <c r="L305" s="31" t="n"/>
      <c r="M305" s="31" t="n"/>
      <c r="N305" s="31" t="n"/>
      <c r="O305" s="31" t="n"/>
      <c r="P305" s="31" t="n"/>
      <c r="Q305" s="31" t="n"/>
      <c r="R305" s="31" t="n"/>
      <c r="S305" s="32">
        <f>IF($F305="","",IF(IFERROR(VLOOKUP($F305,'维度字典'!$M$2:$N$50,2,0),"求和")="手工录入","",IF(IFERROR(VLOOKUP($F305,'维度字典'!$M$2:$N$50,2,0),"求和")="最新值",IFERROR(LOOKUP(9.99E+307,G305:R305),""),SUM(G305:R305))))</f>
        <v/>
      </c>
      <c r="T305" s="33" t="n"/>
    </row>
    <row r="306">
      <c r="A306" s="26">
        <f>IF($B306="","",ROW()-3)</f>
        <v/>
      </c>
      <c r="B306" s="27" t="n"/>
      <c r="C306" s="27" t="n"/>
      <c r="D306" s="28" t="n"/>
      <c r="E306" s="29" t="n"/>
      <c r="F306" s="30" t="n"/>
      <c r="G306" s="31" t="n"/>
      <c r="H306" s="31" t="n"/>
      <c r="I306" s="31" t="n"/>
      <c r="J306" s="31" t="n"/>
      <c r="K306" s="31" t="n"/>
      <c r="L306" s="31" t="n"/>
      <c r="M306" s="31" t="n"/>
      <c r="N306" s="31" t="n"/>
      <c r="O306" s="31" t="n"/>
      <c r="P306" s="31" t="n"/>
      <c r="Q306" s="31" t="n"/>
      <c r="R306" s="31" t="n"/>
      <c r="S306" s="32">
        <f>IF($F306="","",IF(IFERROR(VLOOKUP($F306,'维度字典'!$M$2:$N$50,2,0),"求和")="手工录入","",IF(IFERROR(VLOOKUP($F306,'维度字典'!$M$2:$N$50,2,0),"求和")="最新值",IFERROR(LOOKUP(9.99E+307,G306:R306),""),SUM(G306:R306))))</f>
        <v/>
      </c>
      <c r="T306" s="33" t="n"/>
    </row>
    <row r="307">
      <c r="A307" s="26">
        <f>IF($B307="","",ROW()-3)</f>
        <v/>
      </c>
      <c r="B307" s="27" t="n"/>
      <c r="C307" s="27" t="n"/>
      <c r="D307" s="28" t="n"/>
      <c r="E307" s="29" t="n"/>
      <c r="F307" s="30" t="n"/>
      <c r="G307" s="31" t="n"/>
      <c r="H307" s="31" t="n"/>
      <c r="I307" s="31" t="n"/>
      <c r="J307" s="31" t="n"/>
      <c r="K307" s="31" t="n"/>
      <c r="L307" s="31" t="n"/>
      <c r="M307" s="31" t="n"/>
      <c r="N307" s="31" t="n"/>
      <c r="O307" s="31" t="n"/>
      <c r="P307" s="31" t="n"/>
      <c r="Q307" s="31" t="n"/>
      <c r="R307" s="31" t="n"/>
      <c r="S307" s="32">
        <f>IF($F307="","",IF(IFERROR(VLOOKUP($F307,'维度字典'!$M$2:$N$50,2,0),"求和")="手工录入","",IF(IFERROR(VLOOKUP($F307,'维度字典'!$M$2:$N$50,2,0),"求和")="最新值",IFERROR(LOOKUP(9.99E+307,G307:R307),""),SUM(G307:R307))))</f>
        <v/>
      </c>
      <c r="T307" s="33" t="n"/>
    </row>
    <row r="308">
      <c r="A308" s="26">
        <f>IF($B308="","",ROW()-3)</f>
        <v/>
      </c>
      <c r="B308" s="27" t="n"/>
      <c r="C308" s="27" t="n"/>
      <c r="D308" s="28" t="n"/>
      <c r="E308" s="29" t="n"/>
      <c r="F308" s="30" t="n"/>
      <c r="G308" s="31" t="n"/>
      <c r="H308" s="31" t="n"/>
      <c r="I308" s="31" t="n"/>
      <c r="J308" s="31" t="n"/>
      <c r="K308" s="31" t="n"/>
      <c r="L308" s="31" t="n"/>
      <c r="M308" s="31" t="n"/>
      <c r="N308" s="31" t="n"/>
      <c r="O308" s="31" t="n"/>
      <c r="P308" s="31" t="n"/>
      <c r="Q308" s="31" t="n"/>
      <c r="R308" s="31" t="n"/>
      <c r="S308" s="32">
        <f>IF($F308="","",IF(IFERROR(VLOOKUP($F308,'维度字典'!$M$2:$N$50,2,0),"求和")="手工录入","",IF(IFERROR(VLOOKUP($F308,'维度字典'!$M$2:$N$50,2,0),"求和")="最新值",IFERROR(LOOKUP(9.99E+307,G308:R308),""),SUM(G308:R308))))</f>
        <v/>
      </c>
      <c r="T308" s="33" t="n"/>
    </row>
    <row r="309">
      <c r="A309" s="26">
        <f>IF($B309="","",ROW()-3)</f>
        <v/>
      </c>
      <c r="B309" s="27" t="n"/>
      <c r="C309" s="27" t="n"/>
      <c r="D309" s="28" t="n"/>
      <c r="E309" s="29" t="n"/>
      <c r="F309" s="30" t="n"/>
      <c r="G309" s="31" t="n"/>
      <c r="H309" s="31" t="n"/>
      <c r="I309" s="31" t="n"/>
      <c r="J309" s="31" t="n"/>
      <c r="K309" s="31" t="n"/>
      <c r="L309" s="31" t="n"/>
      <c r="M309" s="31" t="n"/>
      <c r="N309" s="31" t="n"/>
      <c r="O309" s="31" t="n"/>
      <c r="P309" s="31" t="n"/>
      <c r="Q309" s="31" t="n"/>
      <c r="R309" s="31" t="n"/>
      <c r="S309" s="32">
        <f>IF($F309="","",IF(IFERROR(VLOOKUP($F309,'维度字典'!$M$2:$N$50,2,0),"求和")="手工录入","",IF(IFERROR(VLOOKUP($F309,'维度字典'!$M$2:$N$50,2,0),"求和")="最新值",IFERROR(LOOKUP(9.99E+307,G309:R309),""),SUM(G309:R309))))</f>
        <v/>
      </c>
      <c r="T309" s="33" t="n"/>
    </row>
    <row r="310">
      <c r="A310" s="26">
        <f>IF($B310="","",ROW()-3)</f>
        <v/>
      </c>
      <c r="B310" s="27" t="n"/>
      <c r="C310" s="27" t="n"/>
      <c r="D310" s="28" t="n"/>
      <c r="E310" s="29" t="n"/>
      <c r="F310" s="30" t="n"/>
      <c r="G310" s="31" t="n"/>
      <c r="H310" s="31" t="n"/>
      <c r="I310" s="31" t="n"/>
      <c r="J310" s="31" t="n"/>
      <c r="K310" s="31" t="n"/>
      <c r="L310" s="31" t="n"/>
      <c r="M310" s="31" t="n"/>
      <c r="N310" s="31" t="n"/>
      <c r="O310" s="31" t="n"/>
      <c r="P310" s="31" t="n"/>
      <c r="Q310" s="31" t="n"/>
      <c r="R310" s="31" t="n"/>
      <c r="S310" s="32">
        <f>IF($F310="","",IF(IFERROR(VLOOKUP($F310,'维度字典'!$M$2:$N$50,2,0),"求和")="手工录入","",IF(IFERROR(VLOOKUP($F310,'维度字典'!$M$2:$N$50,2,0),"求和")="最新值",IFERROR(LOOKUP(9.99E+307,G310:R310),""),SUM(G310:R310))))</f>
        <v/>
      </c>
      <c r="T310" s="33" t="n"/>
    </row>
    <row r="311">
      <c r="A311" s="26">
        <f>IF($B311="","",ROW()-3)</f>
        <v/>
      </c>
      <c r="B311" s="27" t="n"/>
      <c r="C311" s="27" t="n"/>
      <c r="D311" s="28" t="n"/>
      <c r="E311" s="29" t="n"/>
      <c r="F311" s="30" t="n"/>
      <c r="G311" s="31" t="n"/>
      <c r="H311" s="31" t="n"/>
      <c r="I311" s="31" t="n"/>
      <c r="J311" s="31" t="n"/>
      <c r="K311" s="31" t="n"/>
      <c r="L311" s="31" t="n"/>
      <c r="M311" s="31" t="n"/>
      <c r="N311" s="31" t="n"/>
      <c r="O311" s="31" t="n"/>
      <c r="P311" s="31" t="n"/>
      <c r="Q311" s="31" t="n"/>
      <c r="R311" s="31" t="n"/>
      <c r="S311" s="32">
        <f>IF($F311="","",IF(IFERROR(VLOOKUP($F311,'维度字典'!$M$2:$N$50,2,0),"求和")="手工录入","",IF(IFERROR(VLOOKUP($F311,'维度字典'!$M$2:$N$50,2,0),"求和")="最新值",IFERROR(LOOKUP(9.99E+307,G311:R311),""),SUM(G311:R311))))</f>
        <v/>
      </c>
      <c r="T311" s="33" t="n"/>
    </row>
    <row r="312">
      <c r="A312" s="26">
        <f>IF($B312="","",ROW()-3)</f>
        <v/>
      </c>
      <c r="B312" s="27" t="n"/>
      <c r="C312" s="27" t="n"/>
      <c r="D312" s="28" t="n"/>
      <c r="E312" s="29" t="n"/>
      <c r="F312" s="30" t="n"/>
      <c r="G312" s="31" t="n"/>
      <c r="H312" s="31" t="n"/>
      <c r="I312" s="31" t="n"/>
      <c r="J312" s="31" t="n"/>
      <c r="K312" s="31" t="n"/>
      <c r="L312" s="31" t="n"/>
      <c r="M312" s="31" t="n"/>
      <c r="N312" s="31" t="n"/>
      <c r="O312" s="31" t="n"/>
      <c r="P312" s="31" t="n"/>
      <c r="Q312" s="31" t="n"/>
      <c r="R312" s="31" t="n"/>
      <c r="S312" s="32">
        <f>IF($F312="","",IF(IFERROR(VLOOKUP($F312,'维度字典'!$M$2:$N$50,2,0),"求和")="手工录入","",IF(IFERROR(VLOOKUP($F312,'维度字典'!$M$2:$N$50,2,0),"求和")="最新值",IFERROR(LOOKUP(9.99E+307,G312:R312),""),SUM(G312:R312))))</f>
        <v/>
      </c>
      <c r="T312" s="33" t="n"/>
    </row>
    <row r="313">
      <c r="A313" s="26">
        <f>IF($B313="","",ROW()-3)</f>
        <v/>
      </c>
      <c r="B313" s="27" t="n"/>
      <c r="C313" s="27" t="n"/>
      <c r="D313" s="28" t="n"/>
      <c r="E313" s="29" t="n"/>
      <c r="F313" s="30" t="n"/>
      <c r="G313" s="31" t="n"/>
      <c r="H313" s="31" t="n"/>
      <c r="I313" s="31" t="n"/>
      <c r="J313" s="31" t="n"/>
      <c r="K313" s="31" t="n"/>
      <c r="L313" s="31" t="n"/>
      <c r="M313" s="31" t="n"/>
      <c r="N313" s="31" t="n"/>
      <c r="O313" s="31" t="n"/>
      <c r="P313" s="31" t="n"/>
      <c r="Q313" s="31" t="n"/>
      <c r="R313" s="31" t="n"/>
      <c r="S313" s="32">
        <f>IF($F313="","",IF(IFERROR(VLOOKUP($F313,'维度字典'!$M$2:$N$50,2,0),"求和")="手工录入","",IF(IFERROR(VLOOKUP($F313,'维度字典'!$M$2:$N$50,2,0),"求和")="最新值",IFERROR(LOOKUP(9.99E+307,G313:R313),""),SUM(G313:R313))))</f>
        <v/>
      </c>
      <c r="T313" s="33" t="n"/>
    </row>
    <row r="314">
      <c r="A314" s="26">
        <f>IF($B314="","",ROW()-3)</f>
        <v/>
      </c>
      <c r="B314" s="27" t="n"/>
      <c r="C314" s="27" t="n"/>
      <c r="D314" s="28" t="n"/>
      <c r="E314" s="29" t="n"/>
      <c r="F314" s="30" t="n"/>
      <c r="G314" s="31" t="n"/>
      <c r="H314" s="31" t="n"/>
      <c r="I314" s="31" t="n"/>
      <c r="J314" s="31" t="n"/>
      <c r="K314" s="31" t="n"/>
      <c r="L314" s="31" t="n"/>
      <c r="M314" s="31" t="n"/>
      <c r="N314" s="31" t="n"/>
      <c r="O314" s="31" t="n"/>
      <c r="P314" s="31" t="n"/>
      <c r="Q314" s="31" t="n"/>
      <c r="R314" s="31" t="n"/>
      <c r="S314" s="32">
        <f>IF($F314="","",IF(IFERROR(VLOOKUP($F314,'维度字典'!$M$2:$N$50,2,0),"求和")="手工录入","",IF(IFERROR(VLOOKUP($F314,'维度字典'!$M$2:$N$50,2,0),"求和")="最新值",IFERROR(LOOKUP(9.99E+307,G314:R314),""),SUM(G314:R314))))</f>
        <v/>
      </c>
      <c r="T314" s="33" t="n"/>
    </row>
    <row r="315">
      <c r="A315" s="26">
        <f>IF($B315="","",ROW()-3)</f>
        <v/>
      </c>
      <c r="B315" s="27" t="n"/>
      <c r="C315" s="27" t="n"/>
      <c r="D315" s="28" t="n"/>
      <c r="E315" s="29" t="n"/>
      <c r="F315" s="30" t="n"/>
      <c r="G315" s="31" t="n"/>
      <c r="H315" s="31" t="n"/>
      <c r="I315" s="31" t="n"/>
      <c r="J315" s="31" t="n"/>
      <c r="K315" s="31" t="n"/>
      <c r="L315" s="31" t="n"/>
      <c r="M315" s="31" t="n"/>
      <c r="N315" s="31" t="n"/>
      <c r="O315" s="31" t="n"/>
      <c r="P315" s="31" t="n"/>
      <c r="Q315" s="31" t="n"/>
      <c r="R315" s="31" t="n"/>
      <c r="S315" s="32">
        <f>IF($F315="","",IF(IFERROR(VLOOKUP($F315,'维度字典'!$M$2:$N$50,2,0),"求和")="手工录入","",IF(IFERROR(VLOOKUP($F315,'维度字典'!$M$2:$N$50,2,0),"求和")="最新值",IFERROR(LOOKUP(9.99E+307,G315:R315),""),SUM(G315:R315))))</f>
        <v/>
      </c>
      <c r="T315" s="33" t="n"/>
    </row>
    <row r="316">
      <c r="A316" s="26">
        <f>IF($B316="","",ROW()-3)</f>
        <v/>
      </c>
      <c r="B316" s="27" t="n"/>
      <c r="C316" s="27" t="n"/>
      <c r="D316" s="28" t="n"/>
      <c r="E316" s="29" t="n"/>
      <c r="F316" s="30" t="n"/>
      <c r="G316" s="31" t="n"/>
      <c r="H316" s="31" t="n"/>
      <c r="I316" s="31" t="n"/>
      <c r="J316" s="31" t="n"/>
      <c r="K316" s="31" t="n"/>
      <c r="L316" s="31" t="n"/>
      <c r="M316" s="31" t="n"/>
      <c r="N316" s="31" t="n"/>
      <c r="O316" s="31" t="n"/>
      <c r="P316" s="31" t="n"/>
      <c r="Q316" s="31" t="n"/>
      <c r="R316" s="31" t="n"/>
      <c r="S316" s="32">
        <f>IF($F316="","",IF(IFERROR(VLOOKUP($F316,'维度字典'!$M$2:$N$50,2,0),"求和")="手工录入","",IF(IFERROR(VLOOKUP($F316,'维度字典'!$M$2:$N$50,2,0),"求和")="最新值",IFERROR(LOOKUP(9.99E+307,G316:R316),""),SUM(G316:R316))))</f>
        <v/>
      </c>
      <c r="T316" s="33" t="n"/>
    </row>
    <row r="317">
      <c r="A317" s="26">
        <f>IF($B317="","",ROW()-3)</f>
        <v/>
      </c>
      <c r="B317" s="27" t="n"/>
      <c r="C317" s="27" t="n"/>
      <c r="D317" s="28" t="n"/>
      <c r="E317" s="29" t="n"/>
      <c r="F317" s="30" t="n"/>
      <c r="G317" s="31" t="n"/>
      <c r="H317" s="31" t="n"/>
      <c r="I317" s="31" t="n"/>
      <c r="J317" s="31" t="n"/>
      <c r="K317" s="31" t="n"/>
      <c r="L317" s="31" t="n"/>
      <c r="M317" s="31" t="n"/>
      <c r="N317" s="31" t="n"/>
      <c r="O317" s="31" t="n"/>
      <c r="P317" s="31" t="n"/>
      <c r="Q317" s="31" t="n"/>
      <c r="R317" s="31" t="n"/>
      <c r="S317" s="32">
        <f>IF($F317="","",IF(IFERROR(VLOOKUP($F317,'维度字典'!$M$2:$N$50,2,0),"求和")="手工录入","",IF(IFERROR(VLOOKUP($F317,'维度字典'!$M$2:$N$50,2,0),"求和")="最新值",IFERROR(LOOKUP(9.99E+307,G317:R317),""),SUM(G317:R317))))</f>
        <v/>
      </c>
      <c r="T317" s="33" t="n"/>
    </row>
    <row r="318">
      <c r="A318" s="26">
        <f>IF($B318="","",ROW()-3)</f>
        <v/>
      </c>
      <c r="B318" s="27" t="n"/>
      <c r="C318" s="27" t="n"/>
      <c r="D318" s="28" t="n"/>
      <c r="E318" s="29" t="n"/>
      <c r="F318" s="30" t="n"/>
      <c r="G318" s="31" t="n"/>
      <c r="H318" s="31" t="n"/>
      <c r="I318" s="31" t="n"/>
      <c r="J318" s="31" t="n"/>
      <c r="K318" s="31" t="n"/>
      <c r="L318" s="31" t="n"/>
      <c r="M318" s="31" t="n"/>
      <c r="N318" s="31" t="n"/>
      <c r="O318" s="31" t="n"/>
      <c r="P318" s="31" t="n"/>
      <c r="Q318" s="31" t="n"/>
      <c r="R318" s="31" t="n"/>
      <c r="S318" s="32">
        <f>IF($F318="","",IF(IFERROR(VLOOKUP($F318,'维度字典'!$M$2:$N$50,2,0),"求和")="手工录入","",IF(IFERROR(VLOOKUP($F318,'维度字典'!$M$2:$N$50,2,0),"求和")="最新值",IFERROR(LOOKUP(9.99E+307,G318:R318),""),SUM(G318:R318))))</f>
        <v/>
      </c>
      <c r="T318" s="33" t="n"/>
    </row>
    <row r="319">
      <c r="A319" s="26">
        <f>IF($B319="","",ROW()-3)</f>
        <v/>
      </c>
      <c r="B319" s="27" t="n"/>
      <c r="C319" s="27" t="n"/>
      <c r="D319" s="28" t="n"/>
      <c r="E319" s="29" t="n"/>
      <c r="F319" s="30" t="n"/>
      <c r="G319" s="31" t="n"/>
      <c r="H319" s="31" t="n"/>
      <c r="I319" s="31" t="n"/>
      <c r="J319" s="31" t="n"/>
      <c r="K319" s="31" t="n"/>
      <c r="L319" s="31" t="n"/>
      <c r="M319" s="31" t="n"/>
      <c r="N319" s="31" t="n"/>
      <c r="O319" s="31" t="n"/>
      <c r="P319" s="31" t="n"/>
      <c r="Q319" s="31" t="n"/>
      <c r="R319" s="31" t="n"/>
      <c r="S319" s="32">
        <f>IF($F319="","",IF(IFERROR(VLOOKUP($F319,'维度字典'!$M$2:$N$50,2,0),"求和")="手工录入","",IF(IFERROR(VLOOKUP($F319,'维度字典'!$M$2:$N$50,2,0),"求和")="最新值",IFERROR(LOOKUP(9.99E+307,G319:R319),""),SUM(G319:R319))))</f>
        <v/>
      </c>
      <c r="T319" s="33" t="n"/>
    </row>
    <row r="320">
      <c r="A320" s="26">
        <f>IF($B320="","",ROW()-3)</f>
        <v/>
      </c>
      <c r="B320" s="27" t="n"/>
      <c r="C320" s="27" t="n"/>
      <c r="D320" s="28" t="n"/>
      <c r="E320" s="29" t="n"/>
      <c r="F320" s="30" t="n"/>
      <c r="G320" s="31" t="n"/>
      <c r="H320" s="31" t="n"/>
      <c r="I320" s="31" t="n"/>
      <c r="J320" s="31" t="n"/>
      <c r="K320" s="31" t="n"/>
      <c r="L320" s="31" t="n"/>
      <c r="M320" s="31" t="n"/>
      <c r="N320" s="31" t="n"/>
      <c r="O320" s="31" t="n"/>
      <c r="P320" s="31" t="n"/>
      <c r="Q320" s="31" t="n"/>
      <c r="R320" s="31" t="n"/>
      <c r="S320" s="32">
        <f>IF($F320="","",IF(IFERROR(VLOOKUP($F320,'维度字典'!$M$2:$N$50,2,0),"求和")="手工录入","",IF(IFERROR(VLOOKUP($F320,'维度字典'!$M$2:$N$50,2,0),"求和")="最新值",IFERROR(LOOKUP(9.99E+307,G320:R320),""),SUM(G320:R320))))</f>
        <v/>
      </c>
      <c r="T320" s="33" t="n"/>
    </row>
    <row r="321">
      <c r="A321" s="26">
        <f>IF($B321="","",ROW()-3)</f>
        <v/>
      </c>
      <c r="B321" s="27" t="n"/>
      <c r="C321" s="27" t="n"/>
      <c r="D321" s="28" t="n"/>
      <c r="E321" s="29" t="n"/>
      <c r="F321" s="30" t="n"/>
      <c r="G321" s="31" t="n"/>
      <c r="H321" s="31" t="n"/>
      <c r="I321" s="31" t="n"/>
      <c r="J321" s="31" t="n"/>
      <c r="K321" s="31" t="n"/>
      <c r="L321" s="31" t="n"/>
      <c r="M321" s="31" t="n"/>
      <c r="N321" s="31" t="n"/>
      <c r="O321" s="31" t="n"/>
      <c r="P321" s="31" t="n"/>
      <c r="Q321" s="31" t="n"/>
      <c r="R321" s="31" t="n"/>
      <c r="S321" s="32">
        <f>IF($F321="","",IF(IFERROR(VLOOKUP($F321,'维度字典'!$M$2:$N$50,2,0),"求和")="手工录入","",IF(IFERROR(VLOOKUP($F321,'维度字典'!$M$2:$N$50,2,0),"求和")="最新值",IFERROR(LOOKUP(9.99E+307,G321:R321),""),SUM(G321:R321))))</f>
        <v/>
      </c>
      <c r="T321" s="33" t="n"/>
    </row>
    <row r="322">
      <c r="A322" s="26">
        <f>IF($B322="","",ROW()-3)</f>
        <v/>
      </c>
      <c r="B322" s="27" t="n"/>
      <c r="C322" s="27" t="n"/>
      <c r="D322" s="28" t="n"/>
      <c r="E322" s="29" t="n"/>
      <c r="F322" s="30" t="n"/>
      <c r="G322" s="31" t="n"/>
      <c r="H322" s="31" t="n"/>
      <c r="I322" s="31" t="n"/>
      <c r="J322" s="31" t="n"/>
      <c r="K322" s="31" t="n"/>
      <c r="L322" s="31" t="n"/>
      <c r="M322" s="31" t="n"/>
      <c r="N322" s="31" t="n"/>
      <c r="O322" s="31" t="n"/>
      <c r="P322" s="31" t="n"/>
      <c r="Q322" s="31" t="n"/>
      <c r="R322" s="31" t="n"/>
      <c r="S322" s="32">
        <f>IF($F322="","",IF(IFERROR(VLOOKUP($F322,'维度字典'!$M$2:$N$50,2,0),"求和")="手工录入","",IF(IFERROR(VLOOKUP($F322,'维度字典'!$M$2:$N$50,2,0),"求和")="最新值",IFERROR(LOOKUP(9.99E+307,G322:R322),""),SUM(G322:R322))))</f>
        <v/>
      </c>
      <c r="T322" s="33" t="n"/>
    </row>
    <row r="323">
      <c r="A323" s="26">
        <f>IF($B323="","",ROW()-3)</f>
        <v/>
      </c>
      <c r="B323" s="27" t="n"/>
      <c r="C323" s="27" t="n"/>
      <c r="D323" s="28" t="n"/>
      <c r="E323" s="29" t="n"/>
      <c r="F323" s="30" t="n"/>
      <c r="G323" s="31" t="n"/>
      <c r="H323" s="31" t="n"/>
      <c r="I323" s="31" t="n"/>
      <c r="J323" s="31" t="n"/>
      <c r="K323" s="31" t="n"/>
      <c r="L323" s="31" t="n"/>
      <c r="M323" s="31" t="n"/>
      <c r="N323" s="31" t="n"/>
      <c r="O323" s="31" t="n"/>
      <c r="P323" s="31" t="n"/>
      <c r="Q323" s="31" t="n"/>
      <c r="R323" s="31" t="n"/>
      <c r="S323" s="32">
        <f>IF($F323="","",IF(IFERROR(VLOOKUP($F323,'维度字典'!$M$2:$N$50,2,0),"求和")="手工录入","",IF(IFERROR(VLOOKUP($F323,'维度字典'!$M$2:$N$50,2,0),"求和")="最新值",IFERROR(LOOKUP(9.99E+307,G323:R323),""),SUM(G323:R323))))</f>
        <v/>
      </c>
      <c r="T323" s="33" t="n"/>
    </row>
    <row r="324">
      <c r="A324" s="26">
        <f>IF($B324="","",ROW()-3)</f>
        <v/>
      </c>
      <c r="B324" s="27" t="n"/>
      <c r="C324" s="27" t="n"/>
      <c r="D324" s="28" t="n"/>
      <c r="E324" s="29" t="n"/>
      <c r="F324" s="30" t="n"/>
      <c r="G324" s="31" t="n"/>
      <c r="H324" s="31" t="n"/>
      <c r="I324" s="31" t="n"/>
      <c r="J324" s="31" t="n"/>
      <c r="K324" s="31" t="n"/>
      <c r="L324" s="31" t="n"/>
      <c r="M324" s="31" t="n"/>
      <c r="N324" s="31" t="n"/>
      <c r="O324" s="31" t="n"/>
      <c r="P324" s="31" t="n"/>
      <c r="Q324" s="31" t="n"/>
      <c r="R324" s="31" t="n"/>
      <c r="S324" s="32">
        <f>IF($F324="","",IF(IFERROR(VLOOKUP($F324,'维度字典'!$M$2:$N$50,2,0),"求和")="手工录入","",IF(IFERROR(VLOOKUP($F324,'维度字典'!$M$2:$N$50,2,0),"求和")="最新值",IFERROR(LOOKUP(9.99E+307,G324:R324),""),SUM(G324:R324))))</f>
        <v/>
      </c>
      <c r="T324" s="33" t="n"/>
    </row>
    <row r="325">
      <c r="A325" s="26">
        <f>IF($B325="","",ROW()-3)</f>
        <v/>
      </c>
      <c r="B325" s="27" t="n"/>
      <c r="C325" s="27" t="n"/>
      <c r="D325" s="28" t="n"/>
      <c r="E325" s="29" t="n"/>
      <c r="F325" s="30" t="n"/>
      <c r="G325" s="31" t="n"/>
      <c r="H325" s="31" t="n"/>
      <c r="I325" s="31" t="n"/>
      <c r="J325" s="31" t="n"/>
      <c r="K325" s="31" t="n"/>
      <c r="L325" s="31" t="n"/>
      <c r="M325" s="31" t="n"/>
      <c r="N325" s="31" t="n"/>
      <c r="O325" s="31" t="n"/>
      <c r="P325" s="31" t="n"/>
      <c r="Q325" s="31" t="n"/>
      <c r="R325" s="31" t="n"/>
      <c r="S325" s="32">
        <f>IF($F325="","",IF(IFERROR(VLOOKUP($F325,'维度字典'!$M$2:$N$50,2,0),"求和")="手工录入","",IF(IFERROR(VLOOKUP($F325,'维度字典'!$M$2:$N$50,2,0),"求和")="最新值",IFERROR(LOOKUP(9.99E+307,G325:R325),""),SUM(G325:R325))))</f>
        <v/>
      </c>
      <c r="T325" s="33" t="n"/>
    </row>
    <row r="326">
      <c r="A326" s="26">
        <f>IF($B326="","",ROW()-3)</f>
        <v/>
      </c>
      <c r="B326" s="27" t="n"/>
      <c r="C326" s="27" t="n"/>
      <c r="D326" s="28" t="n"/>
      <c r="E326" s="29" t="n"/>
      <c r="F326" s="30" t="n"/>
      <c r="G326" s="31" t="n"/>
      <c r="H326" s="31" t="n"/>
      <c r="I326" s="31" t="n"/>
      <c r="J326" s="31" t="n"/>
      <c r="K326" s="31" t="n"/>
      <c r="L326" s="31" t="n"/>
      <c r="M326" s="31" t="n"/>
      <c r="N326" s="31" t="n"/>
      <c r="O326" s="31" t="n"/>
      <c r="P326" s="31" t="n"/>
      <c r="Q326" s="31" t="n"/>
      <c r="R326" s="31" t="n"/>
      <c r="S326" s="32">
        <f>IF($F326="","",IF(IFERROR(VLOOKUP($F326,'维度字典'!$M$2:$N$50,2,0),"求和")="手工录入","",IF(IFERROR(VLOOKUP($F326,'维度字典'!$M$2:$N$50,2,0),"求和")="最新值",IFERROR(LOOKUP(9.99E+307,G326:R326),""),SUM(G326:R326))))</f>
        <v/>
      </c>
      <c r="T326" s="33" t="n"/>
    </row>
    <row r="327">
      <c r="A327" s="26">
        <f>IF($B327="","",ROW()-3)</f>
        <v/>
      </c>
      <c r="B327" s="27" t="n"/>
      <c r="C327" s="27" t="n"/>
      <c r="D327" s="28" t="n"/>
      <c r="E327" s="29" t="n"/>
      <c r="F327" s="30" t="n"/>
      <c r="G327" s="31" t="n"/>
      <c r="H327" s="31" t="n"/>
      <c r="I327" s="31" t="n"/>
      <c r="J327" s="31" t="n"/>
      <c r="K327" s="31" t="n"/>
      <c r="L327" s="31" t="n"/>
      <c r="M327" s="31" t="n"/>
      <c r="N327" s="31" t="n"/>
      <c r="O327" s="31" t="n"/>
      <c r="P327" s="31" t="n"/>
      <c r="Q327" s="31" t="n"/>
      <c r="R327" s="31" t="n"/>
      <c r="S327" s="32">
        <f>IF($F327="","",IF(IFERROR(VLOOKUP($F327,'维度字典'!$M$2:$N$50,2,0),"求和")="手工录入","",IF(IFERROR(VLOOKUP($F327,'维度字典'!$M$2:$N$50,2,0),"求和")="最新值",IFERROR(LOOKUP(9.99E+307,G327:R327),""),SUM(G327:R327))))</f>
        <v/>
      </c>
      <c r="T327" s="33" t="n"/>
    </row>
    <row r="328">
      <c r="A328" s="26">
        <f>IF($B328="","",ROW()-3)</f>
        <v/>
      </c>
      <c r="B328" s="27" t="n"/>
      <c r="C328" s="27" t="n"/>
      <c r="D328" s="28" t="n"/>
      <c r="E328" s="29" t="n"/>
      <c r="F328" s="30" t="n"/>
      <c r="G328" s="31" t="n"/>
      <c r="H328" s="31" t="n"/>
      <c r="I328" s="31" t="n"/>
      <c r="J328" s="31" t="n"/>
      <c r="K328" s="31" t="n"/>
      <c r="L328" s="31" t="n"/>
      <c r="M328" s="31" t="n"/>
      <c r="N328" s="31" t="n"/>
      <c r="O328" s="31" t="n"/>
      <c r="P328" s="31" t="n"/>
      <c r="Q328" s="31" t="n"/>
      <c r="R328" s="31" t="n"/>
      <c r="S328" s="32">
        <f>IF($F328="","",IF(IFERROR(VLOOKUP($F328,'维度字典'!$M$2:$N$50,2,0),"求和")="手工录入","",IF(IFERROR(VLOOKUP($F328,'维度字典'!$M$2:$N$50,2,0),"求和")="最新值",IFERROR(LOOKUP(9.99E+307,G328:R328),""),SUM(G328:R328))))</f>
        <v/>
      </c>
      <c r="T328" s="33" t="n"/>
    </row>
    <row r="329">
      <c r="A329" s="26">
        <f>IF($B329="","",ROW()-3)</f>
        <v/>
      </c>
      <c r="B329" s="27" t="n"/>
      <c r="C329" s="27" t="n"/>
      <c r="D329" s="28" t="n"/>
      <c r="E329" s="29" t="n"/>
      <c r="F329" s="30" t="n"/>
      <c r="G329" s="31" t="n"/>
      <c r="H329" s="31" t="n"/>
      <c r="I329" s="31" t="n"/>
      <c r="J329" s="31" t="n"/>
      <c r="K329" s="31" t="n"/>
      <c r="L329" s="31" t="n"/>
      <c r="M329" s="31" t="n"/>
      <c r="N329" s="31" t="n"/>
      <c r="O329" s="31" t="n"/>
      <c r="P329" s="31" t="n"/>
      <c r="Q329" s="31" t="n"/>
      <c r="R329" s="31" t="n"/>
      <c r="S329" s="32">
        <f>IF($F329="","",IF(IFERROR(VLOOKUP($F329,'维度字典'!$M$2:$N$50,2,0),"求和")="手工录入","",IF(IFERROR(VLOOKUP($F329,'维度字典'!$M$2:$N$50,2,0),"求和")="最新值",IFERROR(LOOKUP(9.99E+307,G329:R329),""),SUM(G329:R329))))</f>
        <v/>
      </c>
      <c r="T329" s="33" t="n"/>
    </row>
    <row r="330">
      <c r="A330" s="26">
        <f>IF($B330="","",ROW()-3)</f>
        <v/>
      </c>
      <c r="B330" s="27" t="n"/>
      <c r="C330" s="27" t="n"/>
      <c r="D330" s="28" t="n"/>
      <c r="E330" s="29" t="n"/>
      <c r="F330" s="30" t="n"/>
      <c r="G330" s="31" t="n"/>
      <c r="H330" s="31" t="n"/>
      <c r="I330" s="31" t="n"/>
      <c r="J330" s="31" t="n"/>
      <c r="K330" s="31" t="n"/>
      <c r="L330" s="31" t="n"/>
      <c r="M330" s="31" t="n"/>
      <c r="N330" s="31" t="n"/>
      <c r="O330" s="31" t="n"/>
      <c r="P330" s="31" t="n"/>
      <c r="Q330" s="31" t="n"/>
      <c r="R330" s="31" t="n"/>
      <c r="S330" s="32">
        <f>IF($F330="","",IF(IFERROR(VLOOKUP($F330,'维度字典'!$M$2:$N$50,2,0),"求和")="手工录入","",IF(IFERROR(VLOOKUP($F330,'维度字典'!$M$2:$N$50,2,0),"求和")="最新值",IFERROR(LOOKUP(9.99E+307,G330:R330),""),SUM(G330:R330))))</f>
        <v/>
      </c>
      <c r="T330" s="33" t="n"/>
    </row>
    <row r="331">
      <c r="A331" s="26">
        <f>IF($B331="","",ROW()-3)</f>
        <v/>
      </c>
      <c r="B331" s="27" t="n"/>
      <c r="C331" s="27" t="n"/>
      <c r="D331" s="28" t="n"/>
      <c r="E331" s="29" t="n"/>
      <c r="F331" s="30" t="n"/>
      <c r="G331" s="31" t="n"/>
      <c r="H331" s="31" t="n"/>
      <c r="I331" s="31" t="n"/>
      <c r="J331" s="31" t="n"/>
      <c r="K331" s="31" t="n"/>
      <c r="L331" s="31" t="n"/>
      <c r="M331" s="31" t="n"/>
      <c r="N331" s="31" t="n"/>
      <c r="O331" s="31" t="n"/>
      <c r="P331" s="31" t="n"/>
      <c r="Q331" s="31" t="n"/>
      <c r="R331" s="31" t="n"/>
      <c r="S331" s="32">
        <f>IF($F331="","",IF(IFERROR(VLOOKUP($F331,'维度字典'!$M$2:$N$50,2,0),"求和")="手工录入","",IF(IFERROR(VLOOKUP($F331,'维度字典'!$M$2:$N$50,2,0),"求和")="最新值",IFERROR(LOOKUP(9.99E+307,G331:R331),""),SUM(G331:R331))))</f>
        <v/>
      </c>
      <c r="T331" s="33" t="n"/>
    </row>
    <row r="332">
      <c r="A332" s="26">
        <f>IF($B332="","",ROW()-3)</f>
        <v/>
      </c>
      <c r="B332" s="27" t="n"/>
      <c r="C332" s="27" t="n"/>
      <c r="D332" s="28" t="n"/>
      <c r="E332" s="29" t="n"/>
      <c r="F332" s="30" t="n"/>
      <c r="G332" s="31" t="n"/>
      <c r="H332" s="31" t="n"/>
      <c r="I332" s="31" t="n"/>
      <c r="J332" s="31" t="n"/>
      <c r="K332" s="31" t="n"/>
      <c r="L332" s="31" t="n"/>
      <c r="M332" s="31" t="n"/>
      <c r="N332" s="31" t="n"/>
      <c r="O332" s="31" t="n"/>
      <c r="P332" s="31" t="n"/>
      <c r="Q332" s="31" t="n"/>
      <c r="R332" s="31" t="n"/>
      <c r="S332" s="32">
        <f>IF($F332="","",IF(IFERROR(VLOOKUP($F332,'维度字典'!$M$2:$N$50,2,0),"求和")="手工录入","",IF(IFERROR(VLOOKUP($F332,'维度字典'!$M$2:$N$50,2,0),"求和")="最新值",IFERROR(LOOKUP(9.99E+307,G332:R332),""),SUM(G332:R332))))</f>
        <v/>
      </c>
      <c r="T332" s="33" t="n"/>
    </row>
    <row r="333">
      <c r="A333" s="26">
        <f>IF($B333="","",ROW()-3)</f>
        <v/>
      </c>
      <c r="B333" s="27" t="n"/>
      <c r="C333" s="27" t="n"/>
      <c r="D333" s="28" t="n"/>
      <c r="E333" s="29" t="n"/>
      <c r="F333" s="30" t="n"/>
      <c r="G333" s="31" t="n"/>
      <c r="H333" s="31" t="n"/>
      <c r="I333" s="31" t="n"/>
      <c r="J333" s="31" t="n"/>
      <c r="K333" s="31" t="n"/>
      <c r="L333" s="31" t="n"/>
      <c r="M333" s="31" t="n"/>
      <c r="N333" s="31" t="n"/>
      <c r="O333" s="31" t="n"/>
      <c r="P333" s="31" t="n"/>
      <c r="Q333" s="31" t="n"/>
      <c r="R333" s="31" t="n"/>
      <c r="S333" s="32">
        <f>IF($F333="","",IF(IFERROR(VLOOKUP($F333,'维度字典'!$M$2:$N$50,2,0),"求和")="手工录入","",IF(IFERROR(VLOOKUP($F333,'维度字典'!$M$2:$N$50,2,0),"求和")="最新值",IFERROR(LOOKUP(9.99E+307,G333:R333),""),SUM(G333:R333))))</f>
        <v/>
      </c>
      <c r="T333" s="33" t="n"/>
    </row>
    <row r="334">
      <c r="A334" s="26">
        <f>IF($B334="","",ROW()-3)</f>
        <v/>
      </c>
      <c r="B334" s="27" t="n"/>
      <c r="C334" s="27" t="n"/>
      <c r="D334" s="28" t="n"/>
      <c r="E334" s="29" t="n"/>
      <c r="F334" s="30" t="n"/>
      <c r="G334" s="31" t="n"/>
      <c r="H334" s="31" t="n"/>
      <c r="I334" s="31" t="n"/>
      <c r="J334" s="31" t="n"/>
      <c r="K334" s="31" t="n"/>
      <c r="L334" s="31" t="n"/>
      <c r="M334" s="31" t="n"/>
      <c r="N334" s="31" t="n"/>
      <c r="O334" s="31" t="n"/>
      <c r="P334" s="31" t="n"/>
      <c r="Q334" s="31" t="n"/>
      <c r="R334" s="31" t="n"/>
      <c r="S334" s="32">
        <f>IF($F334="","",IF(IFERROR(VLOOKUP($F334,'维度字典'!$M$2:$N$50,2,0),"求和")="手工录入","",IF(IFERROR(VLOOKUP($F334,'维度字典'!$M$2:$N$50,2,0),"求和")="最新值",IFERROR(LOOKUP(9.99E+307,G334:R334),""),SUM(G334:R334))))</f>
        <v/>
      </c>
      <c r="T334" s="33" t="n"/>
    </row>
    <row r="335">
      <c r="A335" s="26">
        <f>IF($B335="","",ROW()-3)</f>
        <v/>
      </c>
      <c r="B335" s="27" t="n"/>
      <c r="C335" s="27" t="n"/>
      <c r="D335" s="28" t="n"/>
      <c r="E335" s="29" t="n"/>
      <c r="F335" s="30" t="n"/>
      <c r="G335" s="31" t="n"/>
      <c r="H335" s="31" t="n"/>
      <c r="I335" s="31" t="n"/>
      <c r="J335" s="31" t="n"/>
      <c r="K335" s="31" t="n"/>
      <c r="L335" s="31" t="n"/>
      <c r="M335" s="31" t="n"/>
      <c r="N335" s="31" t="n"/>
      <c r="O335" s="31" t="n"/>
      <c r="P335" s="31" t="n"/>
      <c r="Q335" s="31" t="n"/>
      <c r="R335" s="31" t="n"/>
      <c r="S335" s="32">
        <f>IF($F335="","",IF(IFERROR(VLOOKUP($F335,'维度字典'!$M$2:$N$50,2,0),"求和")="手工录入","",IF(IFERROR(VLOOKUP($F335,'维度字典'!$M$2:$N$50,2,0),"求和")="最新值",IFERROR(LOOKUP(9.99E+307,G335:R335),""),SUM(G335:R335))))</f>
        <v/>
      </c>
      <c r="T335" s="33" t="n"/>
    </row>
    <row r="336">
      <c r="A336" s="26">
        <f>IF($B336="","",ROW()-3)</f>
        <v/>
      </c>
      <c r="B336" s="27" t="n"/>
      <c r="C336" s="27" t="n"/>
      <c r="D336" s="28" t="n"/>
      <c r="E336" s="29" t="n"/>
      <c r="F336" s="30" t="n"/>
      <c r="G336" s="31" t="n"/>
      <c r="H336" s="31" t="n"/>
      <c r="I336" s="31" t="n"/>
      <c r="J336" s="31" t="n"/>
      <c r="K336" s="31" t="n"/>
      <c r="L336" s="31" t="n"/>
      <c r="M336" s="31" t="n"/>
      <c r="N336" s="31" t="n"/>
      <c r="O336" s="31" t="n"/>
      <c r="P336" s="31" t="n"/>
      <c r="Q336" s="31" t="n"/>
      <c r="R336" s="31" t="n"/>
      <c r="S336" s="32">
        <f>IF($F336="","",IF(IFERROR(VLOOKUP($F336,'维度字典'!$M$2:$N$50,2,0),"求和")="手工录入","",IF(IFERROR(VLOOKUP($F336,'维度字典'!$M$2:$N$50,2,0),"求和")="最新值",IFERROR(LOOKUP(9.99E+307,G336:R336),""),SUM(G336:R336))))</f>
        <v/>
      </c>
      <c r="T336" s="33" t="n"/>
    </row>
    <row r="337">
      <c r="A337" s="26">
        <f>IF($B337="","",ROW()-3)</f>
        <v/>
      </c>
      <c r="B337" s="27" t="n"/>
      <c r="C337" s="27" t="n"/>
      <c r="D337" s="28" t="n"/>
      <c r="E337" s="29" t="n"/>
      <c r="F337" s="30" t="n"/>
      <c r="G337" s="31" t="n"/>
      <c r="H337" s="31" t="n"/>
      <c r="I337" s="31" t="n"/>
      <c r="J337" s="31" t="n"/>
      <c r="K337" s="31" t="n"/>
      <c r="L337" s="31" t="n"/>
      <c r="M337" s="31" t="n"/>
      <c r="N337" s="31" t="n"/>
      <c r="O337" s="31" t="n"/>
      <c r="P337" s="31" t="n"/>
      <c r="Q337" s="31" t="n"/>
      <c r="R337" s="31" t="n"/>
      <c r="S337" s="32">
        <f>IF($F337="","",IF(IFERROR(VLOOKUP($F337,'维度字典'!$M$2:$N$50,2,0),"求和")="手工录入","",IF(IFERROR(VLOOKUP($F337,'维度字典'!$M$2:$N$50,2,0),"求和")="最新值",IFERROR(LOOKUP(9.99E+307,G337:R337),""),SUM(G337:R337))))</f>
        <v/>
      </c>
      <c r="T337" s="33" t="n"/>
    </row>
    <row r="338">
      <c r="A338" s="26">
        <f>IF($B338="","",ROW()-3)</f>
        <v/>
      </c>
      <c r="B338" s="27" t="n"/>
      <c r="C338" s="27" t="n"/>
      <c r="D338" s="28" t="n"/>
      <c r="E338" s="29" t="n"/>
      <c r="F338" s="30" t="n"/>
      <c r="G338" s="31" t="n"/>
      <c r="H338" s="31" t="n"/>
      <c r="I338" s="31" t="n"/>
      <c r="J338" s="31" t="n"/>
      <c r="K338" s="31" t="n"/>
      <c r="L338" s="31" t="n"/>
      <c r="M338" s="31" t="n"/>
      <c r="N338" s="31" t="n"/>
      <c r="O338" s="31" t="n"/>
      <c r="P338" s="31" t="n"/>
      <c r="Q338" s="31" t="n"/>
      <c r="R338" s="31" t="n"/>
      <c r="S338" s="32">
        <f>IF($F338="","",IF(IFERROR(VLOOKUP($F338,'维度字典'!$M$2:$N$50,2,0),"求和")="手工录入","",IF(IFERROR(VLOOKUP($F338,'维度字典'!$M$2:$N$50,2,0),"求和")="最新值",IFERROR(LOOKUP(9.99E+307,G338:R338),""),SUM(G338:R338))))</f>
        <v/>
      </c>
      <c r="T338" s="33" t="n"/>
    </row>
    <row r="339">
      <c r="A339" s="26">
        <f>IF($B339="","",ROW()-3)</f>
        <v/>
      </c>
      <c r="B339" s="27" t="n"/>
      <c r="C339" s="27" t="n"/>
      <c r="D339" s="28" t="n"/>
      <c r="E339" s="29" t="n"/>
      <c r="F339" s="30" t="n"/>
      <c r="G339" s="31" t="n"/>
      <c r="H339" s="31" t="n"/>
      <c r="I339" s="31" t="n"/>
      <c r="J339" s="31" t="n"/>
      <c r="K339" s="31" t="n"/>
      <c r="L339" s="31" t="n"/>
      <c r="M339" s="31" t="n"/>
      <c r="N339" s="31" t="n"/>
      <c r="O339" s="31" t="n"/>
      <c r="P339" s="31" t="n"/>
      <c r="Q339" s="31" t="n"/>
      <c r="R339" s="31" t="n"/>
      <c r="S339" s="32">
        <f>IF($F339="","",IF(IFERROR(VLOOKUP($F339,'维度字典'!$M$2:$N$50,2,0),"求和")="手工录入","",IF(IFERROR(VLOOKUP($F339,'维度字典'!$M$2:$N$50,2,0),"求和")="最新值",IFERROR(LOOKUP(9.99E+307,G339:R339),""),SUM(G339:R339))))</f>
        <v/>
      </c>
      <c r="T339" s="33" t="n"/>
    </row>
    <row r="340">
      <c r="A340" s="26">
        <f>IF($B340="","",ROW()-3)</f>
        <v/>
      </c>
      <c r="B340" s="27" t="n"/>
      <c r="C340" s="27" t="n"/>
      <c r="D340" s="28" t="n"/>
      <c r="E340" s="29" t="n"/>
      <c r="F340" s="30" t="n"/>
      <c r="G340" s="31" t="n"/>
      <c r="H340" s="31" t="n"/>
      <c r="I340" s="31" t="n"/>
      <c r="J340" s="31" t="n"/>
      <c r="K340" s="31" t="n"/>
      <c r="L340" s="31" t="n"/>
      <c r="M340" s="31" t="n"/>
      <c r="N340" s="31" t="n"/>
      <c r="O340" s="31" t="n"/>
      <c r="P340" s="31" t="n"/>
      <c r="Q340" s="31" t="n"/>
      <c r="R340" s="31" t="n"/>
      <c r="S340" s="32">
        <f>IF($F340="","",IF(IFERROR(VLOOKUP($F340,'维度字典'!$M$2:$N$50,2,0),"求和")="手工录入","",IF(IFERROR(VLOOKUP($F340,'维度字典'!$M$2:$N$50,2,0),"求和")="最新值",IFERROR(LOOKUP(9.99E+307,G340:R340),""),SUM(G340:R340))))</f>
        <v/>
      </c>
      <c r="T340" s="33" t="n"/>
    </row>
    <row r="341">
      <c r="A341" s="26">
        <f>IF($B341="","",ROW()-3)</f>
        <v/>
      </c>
      <c r="B341" s="27" t="n"/>
      <c r="C341" s="27" t="n"/>
      <c r="D341" s="28" t="n"/>
      <c r="E341" s="29" t="n"/>
      <c r="F341" s="30" t="n"/>
      <c r="G341" s="31" t="n"/>
      <c r="H341" s="31" t="n"/>
      <c r="I341" s="31" t="n"/>
      <c r="J341" s="31" t="n"/>
      <c r="K341" s="31" t="n"/>
      <c r="L341" s="31" t="n"/>
      <c r="M341" s="31" t="n"/>
      <c r="N341" s="31" t="n"/>
      <c r="O341" s="31" t="n"/>
      <c r="P341" s="31" t="n"/>
      <c r="Q341" s="31" t="n"/>
      <c r="R341" s="31" t="n"/>
      <c r="S341" s="32">
        <f>IF($F341="","",IF(IFERROR(VLOOKUP($F341,'维度字典'!$M$2:$N$50,2,0),"求和")="手工录入","",IF(IFERROR(VLOOKUP($F341,'维度字典'!$M$2:$N$50,2,0),"求和")="最新值",IFERROR(LOOKUP(9.99E+307,G341:R341),""),SUM(G341:R341))))</f>
        <v/>
      </c>
      <c r="T341" s="33" t="n"/>
    </row>
    <row r="342">
      <c r="A342" s="26">
        <f>IF($B342="","",ROW()-3)</f>
        <v/>
      </c>
      <c r="B342" s="27" t="n"/>
      <c r="C342" s="27" t="n"/>
      <c r="D342" s="28" t="n"/>
      <c r="E342" s="29" t="n"/>
      <c r="F342" s="30" t="n"/>
      <c r="G342" s="31" t="n"/>
      <c r="H342" s="31" t="n"/>
      <c r="I342" s="31" t="n"/>
      <c r="J342" s="31" t="n"/>
      <c r="K342" s="31" t="n"/>
      <c r="L342" s="31" t="n"/>
      <c r="M342" s="31" t="n"/>
      <c r="N342" s="31" t="n"/>
      <c r="O342" s="31" t="n"/>
      <c r="P342" s="31" t="n"/>
      <c r="Q342" s="31" t="n"/>
      <c r="R342" s="31" t="n"/>
      <c r="S342" s="32">
        <f>IF($F342="","",IF(IFERROR(VLOOKUP($F342,'维度字典'!$M$2:$N$50,2,0),"求和")="手工录入","",IF(IFERROR(VLOOKUP($F342,'维度字典'!$M$2:$N$50,2,0),"求和")="最新值",IFERROR(LOOKUP(9.99E+307,G342:R342),""),SUM(G342:R342))))</f>
        <v/>
      </c>
      <c r="T342" s="33" t="n"/>
    </row>
    <row r="343">
      <c r="A343" s="26">
        <f>IF($B343="","",ROW()-3)</f>
        <v/>
      </c>
      <c r="B343" s="27" t="n"/>
      <c r="C343" s="27" t="n"/>
      <c r="D343" s="28" t="n"/>
      <c r="E343" s="29" t="n"/>
      <c r="F343" s="30" t="n"/>
      <c r="G343" s="31" t="n"/>
      <c r="H343" s="31" t="n"/>
      <c r="I343" s="31" t="n"/>
      <c r="J343" s="31" t="n"/>
      <c r="K343" s="31" t="n"/>
      <c r="L343" s="31" t="n"/>
      <c r="M343" s="31" t="n"/>
      <c r="N343" s="31" t="n"/>
      <c r="O343" s="31" t="n"/>
      <c r="P343" s="31" t="n"/>
      <c r="Q343" s="31" t="n"/>
      <c r="R343" s="31" t="n"/>
      <c r="S343" s="32">
        <f>IF($F343="","",IF(IFERROR(VLOOKUP($F343,'维度字典'!$M$2:$N$50,2,0),"求和")="手工录入","",IF(IFERROR(VLOOKUP($F343,'维度字典'!$M$2:$N$50,2,0),"求和")="最新值",IFERROR(LOOKUP(9.99E+307,G343:R343),""),SUM(G343:R343))))</f>
        <v/>
      </c>
      <c r="T343" s="33" t="n"/>
    </row>
    <row r="344">
      <c r="A344" s="26">
        <f>IF($B344="","",ROW()-3)</f>
        <v/>
      </c>
      <c r="B344" s="27" t="n"/>
      <c r="C344" s="27" t="n"/>
      <c r="D344" s="28" t="n"/>
      <c r="E344" s="29" t="n"/>
      <c r="F344" s="30" t="n"/>
      <c r="G344" s="31" t="n"/>
      <c r="H344" s="31" t="n"/>
      <c r="I344" s="31" t="n"/>
      <c r="J344" s="31" t="n"/>
      <c r="K344" s="31" t="n"/>
      <c r="L344" s="31" t="n"/>
      <c r="M344" s="31" t="n"/>
      <c r="N344" s="31" t="n"/>
      <c r="O344" s="31" t="n"/>
      <c r="P344" s="31" t="n"/>
      <c r="Q344" s="31" t="n"/>
      <c r="R344" s="31" t="n"/>
      <c r="S344" s="32">
        <f>IF($F344="","",IF(IFERROR(VLOOKUP($F344,'维度字典'!$M$2:$N$50,2,0),"求和")="手工录入","",IF(IFERROR(VLOOKUP($F344,'维度字典'!$M$2:$N$50,2,0),"求和")="最新值",IFERROR(LOOKUP(9.99E+307,G344:R344),""),SUM(G344:R344))))</f>
        <v/>
      </c>
      <c r="T344" s="33" t="n"/>
    </row>
    <row r="345">
      <c r="A345" s="26">
        <f>IF($B345="","",ROW()-3)</f>
        <v/>
      </c>
      <c r="B345" s="27" t="n"/>
      <c r="C345" s="27" t="n"/>
      <c r="D345" s="28" t="n"/>
      <c r="E345" s="29" t="n"/>
      <c r="F345" s="30" t="n"/>
      <c r="G345" s="31" t="n"/>
      <c r="H345" s="31" t="n"/>
      <c r="I345" s="31" t="n"/>
      <c r="J345" s="31" t="n"/>
      <c r="K345" s="31" t="n"/>
      <c r="L345" s="31" t="n"/>
      <c r="M345" s="31" t="n"/>
      <c r="N345" s="31" t="n"/>
      <c r="O345" s="31" t="n"/>
      <c r="P345" s="31" t="n"/>
      <c r="Q345" s="31" t="n"/>
      <c r="R345" s="31" t="n"/>
      <c r="S345" s="32">
        <f>IF($F345="","",IF(IFERROR(VLOOKUP($F345,'维度字典'!$M$2:$N$50,2,0),"求和")="手工录入","",IF(IFERROR(VLOOKUP($F345,'维度字典'!$M$2:$N$50,2,0),"求和")="最新值",IFERROR(LOOKUP(9.99E+307,G345:R345),""),SUM(G345:R345))))</f>
        <v/>
      </c>
      <c r="T345" s="33" t="n"/>
    </row>
    <row r="346">
      <c r="A346" s="26">
        <f>IF($B346="","",ROW()-3)</f>
        <v/>
      </c>
      <c r="B346" s="27" t="n"/>
      <c r="C346" s="27" t="n"/>
      <c r="D346" s="28" t="n"/>
      <c r="E346" s="29" t="n"/>
      <c r="F346" s="30" t="n"/>
      <c r="G346" s="31" t="n"/>
      <c r="H346" s="31" t="n"/>
      <c r="I346" s="31" t="n"/>
      <c r="J346" s="31" t="n"/>
      <c r="K346" s="31" t="n"/>
      <c r="L346" s="31" t="n"/>
      <c r="M346" s="31" t="n"/>
      <c r="N346" s="31" t="n"/>
      <c r="O346" s="31" t="n"/>
      <c r="P346" s="31" t="n"/>
      <c r="Q346" s="31" t="n"/>
      <c r="R346" s="31" t="n"/>
      <c r="S346" s="32">
        <f>IF($F346="","",IF(IFERROR(VLOOKUP($F346,'维度字典'!$M$2:$N$50,2,0),"求和")="手工录入","",IF(IFERROR(VLOOKUP($F346,'维度字典'!$M$2:$N$50,2,0),"求和")="最新值",IFERROR(LOOKUP(9.99E+307,G346:R346),""),SUM(G346:R346))))</f>
        <v/>
      </c>
      <c r="T346" s="33" t="n"/>
    </row>
    <row r="347">
      <c r="A347" s="26">
        <f>IF($B347="","",ROW()-3)</f>
        <v/>
      </c>
      <c r="B347" s="27" t="n"/>
      <c r="C347" s="27" t="n"/>
      <c r="D347" s="28" t="n"/>
      <c r="E347" s="29" t="n"/>
      <c r="F347" s="30" t="n"/>
      <c r="G347" s="31" t="n"/>
      <c r="H347" s="31" t="n"/>
      <c r="I347" s="31" t="n"/>
      <c r="J347" s="31" t="n"/>
      <c r="K347" s="31" t="n"/>
      <c r="L347" s="31" t="n"/>
      <c r="M347" s="31" t="n"/>
      <c r="N347" s="31" t="n"/>
      <c r="O347" s="31" t="n"/>
      <c r="P347" s="31" t="n"/>
      <c r="Q347" s="31" t="n"/>
      <c r="R347" s="31" t="n"/>
      <c r="S347" s="32">
        <f>IF($F347="","",IF(IFERROR(VLOOKUP($F347,'维度字典'!$M$2:$N$50,2,0),"求和")="手工录入","",IF(IFERROR(VLOOKUP($F347,'维度字典'!$M$2:$N$50,2,0),"求和")="最新值",IFERROR(LOOKUP(9.99E+307,G347:R347),""),SUM(G347:R347))))</f>
        <v/>
      </c>
      <c r="T347" s="33" t="n"/>
    </row>
    <row r="348">
      <c r="A348" s="26">
        <f>IF($B348="","",ROW()-3)</f>
        <v/>
      </c>
      <c r="B348" s="27" t="n"/>
      <c r="C348" s="27" t="n"/>
      <c r="D348" s="28" t="n"/>
      <c r="E348" s="29" t="n"/>
      <c r="F348" s="30" t="n"/>
      <c r="G348" s="31" t="n"/>
      <c r="H348" s="31" t="n"/>
      <c r="I348" s="31" t="n"/>
      <c r="J348" s="31" t="n"/>
      <c r="K348" s="31" t="n"/>
      <c r="L348" s="31" t="n"/>
      <c r="M348" s="31" t="n"/>
      <c r="N348" s="31" t="n"/>
      <c r="O348" s="31" t="n"/>
      <c r="P348" s="31" t="n"/>
      <c r="Q348" s="31" t="n"/>
      <c r="R348" s="31" t="n"/>
      <c r="S348" s="32">
        <f>IF($F348="","",IF(IFERROR(VLOOKUP($F348,'维度字典'!$M$2:$N$50,2,0),"求和")="手工录入","",IF(IFERROR(VLOOKUP($F348,'维度字典'!$M$2:$N$50,2,0),"求和")="最新值",IFERROR(LOOKUP(9.99E+307,G348:R348),""),SUM(G348:R348))))</f>
        <v/>
      </c>
      <c r="T348" s="33" t="n"/>
    </row>
    <row r="349">
      <c r="A349" s="26">
        <f>IF($B349="","",ROW()-3)</f>
        <v/>
      </c>
      <c r="B349" s="27" t="n"/>
      <c r="C349" s="27" t="n"/>
      <c r="D349" s="28" t="n"/>
      <c r="E349" s="29" t="n"/>
      <c r="F349" s="30" t="n"/>
      <c r="G349" s="31" t="n"/>
      <c r="H349" s="31" t="n"/>
      <c r="I349" s="31" t="n"/>
      <c r="J349" s="31" t="n"/>
      <c r="K349" s="31" t="n"/>
      <c r="L349" s="31" t="n"/>
      <c r="M349" s="31" t="n"/>
      <c r="N349" s="31" t="n"/>
      <c r="O349" s="31" t="n"/>
      <c r="P349" s="31" t="n"/>
      <c r="Q349" s="31" t="n"/>
      <c r="R349" s="31" t="n"/>
      <c r="S349" s="32">
        <f>IF($F349="","",IF(IFERROR(VLOOKUP($F349,'维度字典'!$M$2:$N$50,2,0),"求和")="手工录入","",IF(IFERROR(VLOOKUP($F349,'维度字典'!$M$2:$N$50,2,0),"求和")="最新值",IFERROR(LOOKUP(9.99E+307,G349:R349),""),SUM(G349:R349))))</f>
        <v/>
      </c>
      <c r="T349" s="33" t="n"/>
    </row>
    <row r="350">
      <c r="A350" s="26">
        <f>IF($B350="","",ROW()-3)</f>
        <v/>
      </c>
      <c r="B350" s="27" t="n"/>
      <c r="C350" s="27" t="n"/>
      <c r="D350" s="28" t="n"/>
      <c r="E350" s="29" t="n"/>
      <c r="F350" s="30" t="n"/>
      <c r="G350" s="31" t="n"/>
      <c r="H350" s="31" t="n"/>
      <c r="I350" s="31" t="n"/>
      <c r="J350" s="31" t="n"/>
      <c r="K350" s="31" t="n"/>
      <c r="L350" s="31" t="n"/>
      <c r="M350" s="31" t="n"/>
      <c r="N350" s="31" t="n"/>
      <c r="O350" s="31" t="n"/>
      <c r="P350" s="31" t="n"/>
      <c r="Q350" s="31" t="n"/>
      <c r="R350" s="31" t="n"/>
      <c r="S350" s="32">
        <f>IF($F350="","",IF(IFERROR(VLOOKUP($F350,'维度字典'!$M$2:$N$50,2,0),"求和")="手工录入","",IF(IFERROR(VLOOKUP($F350,'维度字典'!$M$2:$N$50,2,0),"求和")="最新值",IFERROR(LOOKUP(9.99E+307,G350:R350),""),SUM(G350:R350))))</f>
        <v/>
      </c>
      <c r="T350" s="33" t="n"/>
    </row>
    <row r="351">
      <c r="A351" s="26">
        <f>IF($B351="","",ROW()-3)</f>
        <v/>
      </c>
      <c r="B351" s="27" t="n"/>
      <c r="C351" s="27" t="n"/>
      <c r="D351" s="28" t="n"/>
      <c r="E351" s="29" t="n"/>
      <c r="F351" s="30" t="n"/>
      <c r="G351" s="31" t="n"/>
      <c r="H351" s="31" t="n"/>
      <c r="I351" s="31" t="n"/>
      <c r="J351" s="31" t="n"/>
      <c r="K351" s="31" t="n"/>
      <c r="L351" s="31" t="n"/>
      <c r="M351" s="31" t="n"/>
      <c r="N351" s="31" t="n"/>
      <c r="O351" s="31" t="n"/>
      <c r="P351" s="31" t="n"/>
      <c r="Q351" s="31" t="n"/>
      <c r="R351" s="31" t="n"/>
      <c r="S351" s="32">
        <f>IF($F351="","",IF(IFERROR(VLOOKUP($F351,'维度字典'!$M$2:$N$50,2,0),"求和")="手工录入","",IF(IFERROR(VLOOKUP($F351,'维度字典'!$M$2:$N$50,2,0),"求和")="最新值",IFERROR(LOOKUP(9.99E+307,G351:R351),""),SUM(G351:R351))))</f>
        <v/>
      </c>
      <c r="T351" s="33" t="n"/>
    </row>
    <row r="352">
      <c r="A352" s="26">
        <f>IF($B352="","",ROW()-3)</f>
        <v/>
      </c>
      <c r="B352" s="27" t="n"/>
      <c r="C352" s="27" t="n"/>
      <c r="D352" s="28" t="n"/>
      <c r="E352" s="29" t="n"/>
      <c r="F352" s="30" t="n"/>
      <c r="G352" s="31" t="n"/>
      <c r="H352" s="31" t="n"/>
      <c r="I352" s="31" t="n"/>
      <c r="J352" s="31" t="n"/>
      <c r="K352" s="31" t="n"/>
      <c r="L352" s="31" t="n"/>
      <c r="M352" s="31" t="n"/>
      <c r="N352" s="31" t="n"/>
      <c r="O352" s="31" t="n"/>
      <c r="P352" s="31" t="n"/>
      <c r="Q352" s="31" t="n"/>
      <c r="R352" s="31" t="n"/>
      <c r="S352" s="32">
        <f>IF($F352="","",IF(IFERROR(VLOOKUP($F352,'维度字典'!$M$2:$N$50,2,0),"求和")="手工录入","",IF(IFERROR(VLOOKUP($F352,'维度字典'!$M$2:$N$50,2,0),"求和")="最新值",IFERROR(LOOKUP(9.99E+307,G352:R352),""),SUM(G352:R352))))</f>
        <v/>
      </c>
      <c r="T352" s="33" t="n"/>
    </row>
    <row r="353">
      <c r="A353" s="26">
        <f>IF($B353="","",ROW()-3)</f>
        <v/>
      </c>
      <c r="B353" s="27" t="n"/>
      <c r="C353" s="27" t="n"/>
      <c r="D353" s="28" t="n"/>
      <c r="E353" s="29" t="n"/>
      <c r="F353" s="30" t="n"/>
      <c r="G353" s="31" t="n"/>
      <c r="H353" s="31" t="n"/>
      <c r="I353" s="31" t="n"/>
      <c r="J353" s="31" t="n"/>
      <c r="K353" s="31" t="n"/>
      <c r="L353" s="31" t="n"/>
      <c r="M353" s="31" t="n"/>
      <c r="N353" s="31" t="n"/>
      <c r="O353" s="31" t="n"/>
      <c r="P353" s="31" t="n"/>
      <c r="Q353" s="31" t="n"/>
      <c r="R353" s="31" t="n"/>
      <c r="S353" s="32">
        <f>IF($F353="","",IF(IFERROR(VLOOKUP($F353,'维度字典'!$M$2:$N$50,2,0),"求和")="手工录入","",IF(IFERROR(VLOOKUP($F353,'维度字典'!$M$2:$N$50,2,0),"求和")="最新值",IFERROR(LOOKUP(9.99E+307,G353:R353),""),SUM(G353:R353))))</f>
        <v/>
      </c>
      <c r="T353" s="33" t="n"/>
    </row>
    <row r="354">
      <c r="A354" s="26">
        <f>IF($B354="","",ROW()-3)</f>
        <v/>
      </c>
      <c r="B354" s="27" t="n"/>
      <c r="C354" s="27" t="n"/>
      <c r="D354" s="28" t="n"/>
      <c r="E354" s="29" t="n"/>
      <c r="F354" s="30" t="n"/>
      <c r="G354" s="31" t="n"/>
      <c r="H354" s="31" t="n"/>
      <c r="I354" s="31" t="n"/>
      <c r="J354" s="31" t="n"/>
      <c r="K354" s="31" t="n"/>
      <c r="L354" s="31" t="n"/>
      <c r="M354" s="31" t="n"/>
      <c r="N354" s="31" t="n"/>
      <c r="O354" s="31" t="n"/>
      <c r="P354" s="31" t="n"/>
      <c r="Q354" s="31" t="n"/>
      <c r="R354" s="31" t="n"/>
      <c r="S354" s="32">
        <f>IF($F354="","",IF(IFERROR(VLOOKUP($F354,'维度字典'!$M$2:$N$50,2,0),"求和")="手工录入","",IF(IFERROR(VLOOKUP($F354,'维度字典'!$M$2:$N$50,2,0),"求和")="最新值",IFERROR(LOOKUP(9.99E+307,G354:R354),""),SUM(G354:R354))))</f>
        <v/>
      </c>
      <c r="T354" s="33" t="n"/>
    </row>
    <row r="355">
      <c r="A355" s="26">
        <f>IF($B355="","",ROW()-3)</f>
        <v/>
      </c>
      <c r="B355" s="27" t="n"/>
      <c r="C355" s="27" t="n"/>
      <c r="D355" s="28" t="n"/>
      <c r="E355" s="29" t="n"/>
      <c r="F355" s="30" t="n"/>
      <c r="G355" s="31" t="n"/>
      <c r="H355" s="31" t="n"/>
      <c r="I355" s="31" t="n"/>
      <c r="J355" s="31" t="n"/>
      <c r="K355" s="31" t="n"/>
      <c r="L355" s="31" t="n"/>
      <c r="M355" s="31" t="n"/>
      <c r="N355" s="31" t="n"/>
      <c r="O355" s="31" t="n"/>
      <c r="P355" s="31" t="n"/>
      <c r="Q355" s="31" t="n"/>
      <c r="R355" s="31" t="n"/>
      <c r="S355" s="32">
        <f>IF($F355="","",IF(IFERROR(VLOOKUP($F355,'维度字典'!$M$2:$N$50,2,0),"求和")="手工录入","",IF(IFERROR(VLOOKUP($F355,'维度字典'!$M$2:$N$50,2,0),"求和")="最新值",IFERROR(LOOKUP(9.99E+307,G355:R355),""),SUM(G355:R355))))</f>
        <v/>
      </c>
      <c r="T355" s="33" t="n"/>
    </row>
    <row r="356">
      <c r="A356" s="26">
        <f>IF($B356="","",ROW()-3)</f>
        <v/>
      </c>
      <c r="B356" s="27" t="n"/>
      <c r="C356" s="27" t="n"/>
      <c r="D356" s="28" t="n"/>
      <c r="E356" s="29" t="n"/>
      <c r="F356" s="30" t="n"/>
      <c r="G356" s="31" t="n"/>
      <c r="H356" s="31" t="n"/>
      <c r="I356" s="31" t="n"/>
      <c r="J356" s="31" t="n"/>
      <c r="K356" s="31" t="n"/>
      <c r="L356" s="31" t="n"/>
      <c r="M356" s="31" t="n"/>
      <c r="N356" s="31" t="n"/>
      <c r="O356" s="31" t="n"/>
      <c r="P356" s="31" t="n"/>
      <c r="Q356" s="31" t="n"/>
      <c r="R356" s="31" t="n"/>
      <c r="S356" s="32">
        <f>IF($F356="","",IF(IFERROR(VLOOKUP($F356,'维度字典'!$M$2:$N$50,2,0),"求和")="手工录入","",IF(IFERROR(VLOOKUP($F356,'维度字典'!$M$2:$N$50,2,0),"求和")="最新值",IFERROR(LOOKUP(9.99E+307,G356:R356),""),SUM(G356:R356))))</f>
        <v/>
      </c>
      <c r="T356" s="33" t="n"/>
    </row>
    <row r="357">
      <c r="A357" s="26">
        <f>IF($B357="","",ROW()-3)</f>
        <v/>
      </c>
      <c r="B357" s="27" t="n"/>
      <c r="C357" s="27" t="n"/>
      <c r="D357" s="28" t="n"/>
      <c r="E357" s="29" t="n"/>
      <c r="F357" s="30" t="n"/>
      <c r="G357" s="31" t="n"/>
      <c r="H357" s="31" t="n"/>
      <c r="I357" s="31" t="n"/>
      <c r="J357" s="31" t="n"/>
      <c r="K357" s="31" t="n"/>
      <c r="L357" s="31" t="n"/>
      <c r="M357" s="31" t="n"/>
      <c r="N357" s="31" t="n"/>
      <c r="O357" s="31" t="n"/>
      <c r="P357" s="31" t="n"/>
      <c r="Q357" s="31" t="n"/>
      <c r="R357" s="31" t="n"/>
      <c r="S357" s="32">
        <f>IF($F357="","",IF(IFERROR(VLOOKUP($F357,'维度字典'!$M$2:$N$50,2,0),"求和")="手工录入","",IF(IFERROR(VLOOKUP($F357,'维度字典'!$M$2:$N$50,2,0),"求和")="最新值",IFERROR(LOOKUP(9.99E+307,G357:R357),""),SUM(G357:R357))))</f>
        <v/>
      </c>
      <c r="T357" s="33" t="n"/>
    </row>
    <row r="358">
      <c r="A358" s="26">
        <f>IF($B358="","",ROW()-3)</f>
        <v/>
      </c>
      <c r="B358" s="27" t="n"/>
      <c r="C358" s="27" t="n"/>
      <c r="D358" s="28" t="n"/>
      <c r="E358" s="29" t="n"/>
      <c r="F358" s="30" t="n"/>
      <c r="G358" s="31" t="n"/>
      <c r="H358" s="31" t="n"/>
      <c r="I358" s="31" t="n"/>
      <c r="J358" s="31" t="n"/>
      <c r="K358" s="31" t="n"/>
      <c r="L358" s="31" t="n"/>
      <c r="M358" s="31" t="n"/>
      <c r="N358" s="31" t="n"/>
      <c r="O358" s="31" t="n"/>
      <c r="P358" s="31" t="n"/>
      <c r="Q358" s="31" t="n"/>
      <c r="R358" s="31" t="n"/>
      <c r="S358" s="32">
        <f>IF($F358="","",IF(IFERROR(VLOOKUP($F358,'维度字典'!$M$2:$N$50,2,0),"求和")="手工录入","",IF(IFERROR(VLOOKUP($F358,'维度字典'!$M$2:$N$50,2,0),"求和")="最新值",IFERROR(LOOKUP(9.99E+307,G358:R358),""),SUM(G358:R358))))</f>
        <v/>
      </c>
      <c r="T358" s="33" t="n"/>
    </row>
    <row r="359">
      <c r="A359" s="26">
        <f>IF($B359="","",ROW()-3)</f>
        <v/>
      </c>
      <c r="B359" s="27" t="n"/>
      <c r="C359" s="27" t="n"/>
      <c r="D359" s="28" t="n"/>
      <c r="E359" s="29" t="n"/>
      <c r="F359" s="30" t="n"/>
      <c r="G359" s="31" t="n"/>
      <c r="H359" s="31" t="n"/>
      <c r="I359" s="31" t="n"/>
      <c r="J359" s="31" t="n"/>
      <c r="K359" s="31" t="n"/>
      <c r="L359" s="31" t="n"/>
      <c r="M359" s="31" t="n"/>
      <c r="N359" s="31" t="n"/>
      <c r="O359" s="31" t="n"/>
      <c r="P359" s="31" t="n"/>
      <c r="Q359" s="31" t="n"/>
      <c r="R359" s="31" t="n"/>
      <c r="S359" s="32">
        <f>IF($F359="","",IF(IFERROR(VLOOKUP($F359,'维度字典'!$M$2:$N$50,2,0),"求和")="手工录入","",IF(IFERROR(VLOOKUP($F359,'维度字典'!$M$2:$N$50,2,0),"求和")="最新值",IFERROR(LOOKUP(9.99E+307,G359:R359),""),SUM(G359:R359))))</f>
        <v/>
      </c>
      <c r="T359" s="33" t="n"/>
    </row>
    <row r="360">
      <c r="A360" s="26">
        <f>IF($B360="","",ROW()-3)</f>
        <v/>
      </c>
      <c r="B360" s="27" t="n"/>
      <c r="C360" s="27" t="n"/>
      <c r="D360" s="28" t="n"/>
      <c r="E360" s="29" t="n"/>
      <c r="F360" s="30" t="n"/>
      <c r="G360" s="31" t="n"/>
      <c r="H360" s="31" t="n"/>
      <c r="I360" s="31" t="n"/>
      <c r="J360" s="31" t="n"/>
      <c r="K360" s="31" t="n"/>
      <c r="L360" s="31" t="n"/>
      <c r="M360" s="31" t="n"/>
      <c r="N360" s="31" t="n"/>
      <c r="O360" s="31" t="n"/>
      <c r="P360" s="31" t="n"/>
      <c r="Q360" s="31" t="n"/>
      <c r="R360" s="31" t="n"/>
      <c r="S360" s="32">
        <f>IF($F360="","",IF(IFERROR(VLOOKUP($F360,'维度字典'!$M$2:$N$50,2,0),"求和")="手工录入","",IF(IFERROR(VLOOKUP($F360,'维度字典'!$M$2:$N$50,2,0),"求和")="最新值",IFERROR(LOOKUP(9.99E+307,G360:R360),""),SUM(G360:R360))))</f>
        <v/>
      </c>
      <c r="T360" s="33" t="n"/>
    </row>
    <row r="361">
      <c r="A361" s="26">
        <f>IF($B361="","",ROW()-3)</f>
        <v/>
      </c>
      <c r="B361" s="27" t="n"/>
      <c r="C361" s="27" t="n"/>
      <c r="D361" s="28" t="n"/>
      <c r="E361" s="29" t="n"/>
      <c r="F361" s="30" t="n"/>
      <c r="G361" s="31" t="n"/>
      <c r="H361" s="31" t="n"/>
      <c r="I361" s="31" t="n"/>
      <c r="J361" s="31" t="n"/>
      <c r="K361" s="31" t="n"/>
      <c r="L361" s="31" t="n"/>
      <c r="M361" s="31" t="n"/>
      <c r="N361" s="31" t="n"/>
      <c r="O361" s="31" t="n"/>
      <c r="P361" s="31" t="n"/>
      <c r="Q361" s="31" t="n"/>
      <c r="R361" s="31" t="n"/>
      <c r="S361" s="32">
        <f>IF($F361="","",IF(IFERROR(VLOOKUP($F361,'维度字典'!$M$2:$N$50,2,0),"求和")="手工录入","",IF(IFERROR(VLOOKUP($F361,'维度字典'!$M$2:$N$50,2,0),"求和")="最新值",IFERROR(LOOKUP(9.99E+307,G361:R361),""),SUM(G361:R361))))</f>
        <v/>
      </c>
      <c r="T361" s="33" t="n"/>
    </row>
    <row r="362">
      <c r="A362" s="26">
        <f>IF($B362="","",ROW()-3)</f>
        <v/>
      </c>
      <c r="B362" s="27" t="n"/>
      <c r="C362" s="27" t="n"/>
      <c r="D362" s="28" t="n"/>
      <c r="E362" s="29" t="n"/>
      <c r="F362" s="30" t="n"/>
      <c r="G362" s="31" t="n"/>
      <c r="H362" s="31" t="n"/>
      <c r="I362" s="31" t="n"/>
      <c r="J362" s="31" t="n"/>
      <c r="K362" s="31" t="n"/>
      <c r="L362" s="31" t="n"/>
      <c r="M362" s="31" t="n"/>
      <c r="N362" s="31" t="n"/>
      <c r="O362" s="31" t="n"/>
      <c r="P362" s="31" t="n"/>
      <c r="Q362" s="31" t="n"/>
      <c r="R362" s="31" t="n"/>
      <c r="S362" s="32">
        <f>IF($F362="","",IF(IFERROR(VLOOKUP($F362,'维度字典'!$M$2:$N$50,2,0),"求和")="手工录入","",IF(IFERROR(VLOOKUP($F362,'维度字典'!$M$2:$N$50,2,0),"求和")="最新值",IFERROR(LOOKUP(9.99E+307,G362:R362),""),SUM(G362:R362))))</f>
        <v/>
      </c>
      <c r="T362" s="33" t="n"/>
    </row>
    <row r="363">
      <c r="A363" s="26">
        <f>IF($B363="","",ROW()-3)</f>
        <v/>
      </c>
      <c r="B363" s="27" t="n"/>
      <c r="C363" s="27" t="n"/>
      <c r="D363" s="28" t="n"/>
      <c r="E363" s="29" t="n"/>
      <c r="F363" s="30" t="n"/>
      <c r="G363" s="31" t="n"/>
      <c r="H363" s="31" t="n"/>
      <c r="I363" s="31" t="n"/>
      <c r="J363" s="31" t="n"/>
      <c r="K363" s="31" t="n"/>
      <c r="L363" s="31" t="n"/>
      <c r="M363" s="31" t="n"/>
      <c r="N363" s="31" t="n"/>
      <c r="O363" s="31" t="n"/>
      <c r="P363" s="31" t="n"/>
      <c r="Q363" s="31" t="n"/>
      <c r="R363" s="31" t="n"/>
      <c r="S363" s="32">
        <f>IF($F363="","",IF(IFERROR(VLOOKUP($F363,'维度字典'!$M$2:$N$50,2,0),"求和")="手工录入","",IF(IFERROR(VLOOKUP($F363,'维度字典'!$M$2:$N$50,2,0),"求和")="最新值",IFERROR(LOOKUP(9.99E+307,G363:R363),""),SUM(G363:R363))))</f>
        <v/>
      </c>
      <c r="T363" s="33" t="n"/>
    </row>
    <row r="364">
      <c r="A364" s="26">
        <f>IF($B364="","",ROW()-3)</f>
        <v/>
      </c>
      <c r="B364" s="27" t="n"/>
      <c r="C364" s="27" t="n"/>
      <c r="D364" s="28" t="n"/>
      <c r="E364" s="29" t="n"/>
      <c r="F364" s="30" t="n"/>
      <c r="G364" s="31" t="n"/>
      <c r="H364" s="31" t="n"/>
      <c r="I364" s="31" t="n"/>
      <c r="J364" s="31" t="n"/>
      <c r="K364" s="31" t="n"/>
      <c r="L364" s="31" t="n"/>
      <c r="M364" s="31" t="n"/>
      <c r="N364" s="31" t="n"/>
      <c r="O364" s="31" t="n"/>
      <c r="P364" s="31" t="n"/>
      <c r="Q364" s="31" t="n"/>
      <c r="R364" s="31" t="n"/>
      <c r="S364" s="32">
        <f>IF($F364="","",IF(IFERROR(VLOOKUP($F364,'维度字典'!$M$2:$N$50,2,0),"求和")="手工录入","",IF(IFERROR(VLOOKUP($F364,'维度字典'!$M$2:$N$50,2,0),"求和")="最新值",IFERROR(LOOKUP(9.99E+307,G364:R364),""),SUM(G364:R364))))</f>
        <v/>
      </c>
      <c r="T364" s="33" t="n"/>
    </row>
    <row r="365">
      <c r="A365" s="26">
        <f>IF($B365="","",ROW()-3)</f>
        <v/>
      </c>
      <c r="B365" s="27" t="n"/>
      <c r="C365" s="27" t="n"/>
      <c r="D365" s="28" t="n"/>
      <c r="E365" s="29" t="n"/>
      <c r="F365" s="30" t="n"/>
      <c r="G365" s="31" t="n"/>
      <c r="H365" s="31" t="n"/>
      <c r="I365" s="31" t="n"/>
      <c r="J365" s="31" t="n"/>
      <c r="K365" s="31" t="n"/>
      <c r="L365" s="31" t="n"/>
      <c r="M365" s="31" t="n"/>
      <c r="N365" s="31" t="n"/>
      <c r="O365" s="31" t="n"/>
      <c r="P365" s="31" t="n"/>
      <c r="Q365" s="31" t="n"/>
      <c r="R365" s="31" t="n"/>
      <c r="S365" s="32">
        <f>IF($F365="","",IF(IFERROR(VLOOKUP($F365,'维度字典'!$M$2:$N$50,2,0),"求和")="手工录入","",IF(IFERROR(VLOOKUP($F365,'维度字典'!$M$2:$N$50,2,0),"求和")="最新值",IFERROR(LOOKUP(9.99E+307,G365:R365),""),SUM(G365:R365))))</f>
        <v/>
      </c>
      <c r="T365" s="33" t="n"/>
    </row>
    <row r="366">
      <c r="A366" s="26">
        <f>IF($B366="","",ROW()-3)</f>
        <v/>
      </c>
      <c r="B366" s="27" t="n"/>
      <c r="C366" s="27" t="n"/>
      <c r="D366" s="28" t="n"/>
      <c r="E366" s="29" t="n"/>
      <c r="F366" s="30" t="n"/>
      <c r="G366" s="31" t="n"/>
      <c r="H366" s="31" t="n"/>
      <c r="I366" s="31" t="n"/>
      <c r="J366" s="31" t="n"/>
      <c r="K366" s="31" t="n"/>
      <c r="L366" s="31" t="n"/>
      <c r="M366" s="31" t="n"/>
      <c r="N366" s="31" t="n"/>
      <c r="O366" s="31" t="n"/>
      <c r="P366" s="31" t="n"/>
      <c r="Q366" s="31" t="n"/>
      <c r="R366" s="31" t="n"/>
      <c r="S366" s="32">
        <f>IF($F366="","",IF(IFERROR(VLOOKUP($F366,'维度字典'!$M$2:$N$50,2,0),"求和")="手工录入","",IF(IFERROR(VLOOKUP($F366,'维度字典'!$M$2:$N$50,2,0),"求和")="最新值",IFERROR(LOOKUP(9.99E+307,G366:R366),""),SUM(G366:R366))))</f>
        <v/>
      </c>
      <c r="T366" s="33" t="n"/>
    </row>
    <row r="367">
      <c r="A367" s="26">
        <f>IF($B367="","",ROW()-3)</f>
        <v/>
      </c>
      <c r="B367" s="27" t="n"/>
      <c r="C367" s="27" t="n"/>
      <c r="D367" s="28" t="n"/>
      <c r="E367" s="29" t="n"/>
      <c r="F367" s="30" t="n"/>
      <c r="G367" s="31" t="n"/>
      <c r="H367" s="31" t="n"/>
      <c r="I367" s="31" t="n"/>
      <c r="J367" s="31" t="n"/>
      <c r="K367" s="31" t="n"/>
      <c r="L367" s="31" t="n"/>
      <c r="M367" s="31" t="n"/>
      <c r="N367" s="31" t="n"/>
      <c r="O367" s="31" t="n"/>
      <c r="P367" s="31" t="n"/>
      <c r="Q367" s="31" t="n"/>
      <c r="R367" s="31" t="n"/>
      <c r="S367" s="32">
        <f>IF($F367="","",IF(IFERROR(VLOOKUP($F367,'维度字典'!$M$2:$N$50,2,0),"求和")="手工录入","",IF(IFERROR(VLOOKUP($F367,'维度字典'!$M$2:$N$50,2,0),"求和")="最新值",IFERROR(LOOKUP(9.99E+307,G367:R367),""),SUM(G367:R367))))</f>
        <v/>
      </c>
      <c r="T367" s="33" t="n"/>
    </row>
    <row r="368">
      <c r="A368" s="26">
        <f>IF($B368="","",ROW()-3)</f>
        <v/>
      </c>
      <c r="B368" s="27" t="n"/>
      <c r="C368" s="27" t="n"/>
      <c r="D368" s="28" t="n"/>
      <c r="E368" s="29" t="n"/>
      <c r="F368" s="30" t="n"/>
      <c r="G368" s="31" t="n"/>
      <c r="H368" s="31" t="n"/>
      <c r="I368" s="31" t="n"/>
      <c r="J368" s="31" t="n"/>
      <c r="K368" s="31" t="n"/>
      <c r="L368" s="31" t="n"/>
      <c r="M368" s="31" t="n"/>
      <c r="N368" s="31" t="n"/>
      <c r="O368" s="31" t="n"/>
      <c r="P368" s="31" t="n"/>
      <c r="Q368" s="31" t="n"/>
      <c r="R368" s="31" t="n"/>
      <c r="S368" s="32">
        <f>IF($F368="","",IF(IFERROR(VLOOKUP($F368,'维度字典'!$M$2:$N$50,2,0),"求和")="手工录入","",IF(IFERROR(VLOOKUP($F368,'维度字典'!$M$2:$N$50,2,0),"求和")="最新值",IFERROR(LOOKUP(9.99E+307,G368:R368),""),SUM(G368:R368))))</f>
        <v/>
      </c>
      <c r="T368" s="33" t="n"/>
    </row>
    <row r="369">
      <c r="A369" s="26">
        <f>IF($B369="","",ROW()-3)</f>
        <v/>
      </c>
      <c r="B369" s="27" t="n"/>
      <c r="C369" s="27" t="n"/>
      <c r="D369" s="28" t="n"/>
      <c r="E369" s="29" t="n"/>
      <c r="F369" s="30" t="n"/>
      <c r="G369" s="31" t="n"/>
      <c r="H369" s="31" t="n"/>
      <c r="I369" s="31" t="n"/>
      <c r="J369" s="31" t="n"/>
      <c r="K369" s="31" t="n"/>
      <c r="L369" s="31" t="n"/>
      <c r="M369" s="31" t="n"/>
      <c r="N369" s="31" t="n"/>
      <c r="O369" s="31" t="n"/>
      <c r="P369" s="31" t="n"/>
      <c r="Q369" s="31" t="n"/>
      <c r="R369" s="31" t="n"/>
      <c r="S369" s="32">
        <f>IF($F369="","",IF(IFERROR(VLOOKUP($F369,'维度字典'!$M$2:$N$50,2,0),"求和")="手工录入","",IF(IFERROR(VLOOKUP($F369,'维度字典'!$M$2:$N$50,2,0),"求和")="最新值",IFERROR(LOOKUP(9.99E+307,G369:R369),""),SUM(G369:R369))))</f>
        <v/>
      </c>
      <c r="T369" s="33" t="n"/>
    </row>
    <row r="370">
      <c r="A370" s="26">
        <f>IF($B370="","",ROW()-3)</f>
        <v/>
      </c>
      <c r="B370" s="27" t="n"/>
      <c r="C370" s="27" t="n"/>
      <c r="D370" s="28" t="n"/>
      <c r="E370" s="29" t="n"/>
      <c r="F370" s="30" t="n"/>
      <c r="G370" s="31" t="n"/>
      <c r="H370" s="31" t="n"/>
      <c r="I370" s="31" t="n"/>
      <c r="J370" s="31" t="n"/>
      <c r="K370" s="31" t="n"/>
      <c r="L370" s="31" t="n"/>
      <c r="M370" s="31" t="n"/>
      <c r="N370" s="31" t="n"/>
      <c r="O370" s="31" t="n"/>
      <c r="P370" s="31" t="n"/>
      <c r="Q370" s="31" t="n"/>
      <c r="R370" s="31" t="n"/>
      <c r="S370" s="32">
        <f>IF($F370="","",IF(IFERROR(VLOOKUP($F370,'维度字典'!$M$2:$N$50,2,0),"求和")="手工录入","",IF(IFERROR(VLOOKUP($F370,'维度字典'!$M$2:$N$50,2,0),"求和")="最新值",IFERROR(LOOKUP(9.99E+307,G370:R370),""),SUM(G370:R370))))</f>
        <v/>
      </c>
      <c r="T370" s="33" t="n"/>
    </row>
    <row r="371">
      <c r="A371" s="26">
        <f>IF($B371="","",ROW()-3)</f>
        <v/>
      </c>
      <c r="B371" s="27" t="n"/>
      <c r="C371" s="27" t="n"/>
      <c r="D371" s="28" t="n"/>
      <c r="E371" s="29" t="n"/>
      <c r="F371" s="30" t="n"/>
      <c r="G371" s="31" t="n"/>
      <c r="H371" s="31" t="n"/>
      <c r="I371" s="31" t="n"/>
      <c r="J371" s="31" t="n"/>
      <c r="K371" s="31" t="n"/>
      <c r="L371" s="31" t="n"/>
      <c r="M371" s="31" t="n"/>
      <c r="N371" s="31" t="n"/>
      <c r="O371" s="31" t="n"/>
      <c r="P371" s="31" t="n"/>
      <c r="Q371" s="31" t="n"/>
      <c r="R371" s="31" t="n"/>
      <c r="S371" s="32">
        <f>IF($F371="","",IF(IFERROR(VLOOKUP($F371,'维度字典'!$M$2:$N$50,2,0),"求和")="手工录入","",IF(IFERROR(VLOOKUP($F371,'维度字典'!$M$2:$N$50,2,0),"求和")="最新值",IFERROR(LOOKUP(9.99E+307,G371:R371),""),SUM(G371:R371))))</f>
        <v/>
      </c>
      <c r="T371" s="33" t="n"/>
    </row>
    <row r="372">
      <c r="A372" s="26">
        <f>IF($B372="","",ROW()-3)</f>
        <v/>
      </c>
      <c r="B372" s="27" t="n"/>
      <c r="C372" s="27" t="n"/>
      <c r="D372" s="28" t="n"/>
      <c r="E372" s="29" t="n"/>
      <c r="F372" s="30" t="n"/>
      <c r="G372" s="31" t="n"/>
      <c r="H372" s="31" t="n"/>
      <c r="I372" s="31" t="n"/>
      <c r="J372" s="31" t="n"/>
      <c r="K372" s="31" t="n"/>
      <c r="L372" s="31" t="n"/>
      <c r="M372" s="31" t="n"/>
      <c r="N372" s="31" t="n"/>
      <c r="O372" s="31" t="n"/>
      <c r="P372" s="31" t="n"/>
      <c r="Q372" s="31" t="n"/>
      <c r="R372" s="31" t="n"/>
      <c r="S372" s="32">
        <f>IF($F372="","",IF(IFERROR(VLOOKUP($F372,'维度字典'!$M$2:$N$50,2,0),"求和")="手工录入","",IF(IFERROR(VLOOKUP($F372,'维度字典'!$M$2:$N$50,2,0),"求和")="最新值",IFERROR(LOOKUP(9.99E+307,G372:R372),""),SUM(G372:R372))))</f>
        <v/>
      </c>
      <c r="T372" s="33" t="n"/>
    </row>
    <row r="373">
      <c r="A373" s="26">
        <f>IF($B373="","",ROW()-3)</f>
        <v/>
      </c>
      <c r="B373" s="27" t="n"/>
      <c r="C373" s="27" t="n"/>
      <c r="D373" s="28" t="n"/>
      <c r="E373" s="29" t="n"/>
      <c r="F373" s="30" t="n"/>
      <c r="G373" s="31" t="n"/>
      <c r="H373" s="31" t="n"/>
      <c r="I373" s="31" t="n"/>
      <c r="J373" s="31" t="n"/>
      <c r="K373" s="31" t="n"/>
      <c r="L373" s="31" t="n"/>
      <c r="M373" s="31" t="n"/>
      <c r="N373" s="31" t="n"/>
      <c r="O373" s="31" t="n"/>
      <c r="P373" s="31" t="n"/>
      <c r="Q373" s="31" t="n"/>
      <c r="R373" s="31" t="n"/>
      <c r="S373" s="32">
        <f>IF($F373="","",IF(IFERROR(VLOOKUP($F373,'维度字典'!$M$2:$N$50,2,0),"求和")="手工录入","",IF(IFERROR(VLOOKUP($F373,'维度字典'!$M$2:$N$50,2,0),"求和")="最新值",IFERROR(LOOKUP(9.99E+307,G373:R373),""),SUM(G373:R373))))</f>
        <v/>
      </c>
      <c r="T373" s="33" t="n"/>
    </row>
    <row r="374">
      <c r="A374" s="26">
        <f>IF($B374="","",ROW()-3)</f>
        <v/>
      </c>
      <c r="B374" s="27" t="n"/>
      <c r="C374" s="27" t="n"/>
      <c r="D374" s="28" t="n"/>
      <c r="E374" s="29" t="n"/>
      <c r="F374" s="30" t="n"/>
      <c r="G374" s="31" t="n"/>
      <c r="H374" s="31" t="n"/>
      <c r="I374" s="31" t="n"/>
      <c r="J374" s="31" t="n"/>
      <c r="K374" s="31" t="n"/>
      <c r="L374" s="31" t="n"/>
      <c r="M374" s="31" t="n"/>
      <c r="N374" s="31" t="n"/>
      <c r="O374" s="31" t="n"/>
      <c r="P374" s="31" t="n"/>
      <c r="Q374" s="31" t="n"/>
      <c r="R374" s="31" t="n"/>
      <c r="S374" s="32">
        <f>IF($F374="","",IF(IFERROR(VLOOKUP($F374,'维度字典'!$M$2:$N$50,2,0),"求和")="手工录入","",IF(IFERROR(VLOOKUP($F374,'维度字典'!$M$2:$N$50,2,0),"求和")="最新值",IFERROR(LOOKUP(9.99E+307,G374:R374),""),SUM(G374:R374))))</f>
        <v/>
      </c>
      <c r="T374" s="33" t="n"/>
    </row>
    <row r="375">
      <c r="A375" s="26">
        <f>IF($B375="","",ROW()-3)</f>
        <v/>
      </c>
      <c r="B375" s="27" t="n"/>
      <c r="C375" s="27" t="n"/>
      <c r="D375" s="28" t="n"/>
      <c r="E375" s="29" t="n"/>
      <c r="F375" s="30" t="n"/>
      <c r="G375" s="31" t="n"/>
      <c r="H375" s="31" t="n"/>
      <c r="I375" s="31" t="n"/>
      <c r="J375" s="31" t="n"/>
      <c r="K375" s="31" t="n"/>
      <c r="L375" s="31" t="n"/>
      <c r="M375" s="31" t="n"/>
      <c r="N375" s="31" t="n"/>
      <c r="O375" s="31" t="n"/>
      <c r="P375" s="31" t="n"/>
      <c r="Q375" s="31" t="n"/>
      <c r="R375" s="31" t="n"/>
      <c r="S375" s="32">
        <f>IF($F375="","",IF(IFERROR(VLOOKUP($F375,'维度字典'!$M$2:$N$50,2,0),"求和")="手工录入","",IF(IFERROR(VLOOKUP($F375,'维度字典'!$M$2:$N$50,2,0),"求和")="最新值",IFERROR(LOOKUP(9.99E+307,G375:R375),""),SUM(G375:R375))))</f>
        <v/>
      </c>
      <c r="T375" s="33" t="n"/>
    </row>
    <row r="376">
      <c r="A376" s="26">
        <f>IF($B376="","",ROW()-3)</f>
        <v/>
      </c>
      <c r="B376" s="27" t="n"/>
      <c r="C376" s="27" t="n"/>
      <c r="D376" s="28" t="n"/>
      <c r="E376" s="29" t="n"/>
      <c r="F376" s="30" t="n"/>
      <c r="G376" s="31" t="n"/>
      <c r="H376" s="31" t="n"/>
      <c r="I376" s="31" t="n"/>
      <c r="J376" s="31" t="n"/>
      <c r="K376" s="31" t="n"/>
      <c r="L376" s="31" t="n"/>
      <c r="M376" s="31" t="n"/>
      <c r="N376" s="31" t="n"/>
      <c r="O376" s="31" t="n"/>
      <c r="P376" s="31" t="n"/>
      <c r="Q376" s="31" t="n"/>
      <c r="R376" s="31" t="n"/>
      <c r="S376" s="32">
        <f>IF($F376="","",IF(IFERROR(VLOOKUP($F376,'维度字典'!$M$2:$N$50,2,0),"求和")="手工录入","",IF(IFERROR(VLOOKUP($F376,'维度字典'!$M$2:$N$50,2,0),"求和")="最新值",IFERROR(LOOKUP(9.99E+307,G376:R376),""),SUM(G376:R376))))</f>
        <v/>
      </c>
      <c r="T376" s="33" t="n"/>
    </row>
    <row r="377">
      <c r="A377" s="26">
        <f>IF($B377="","",ROW()-3)</f>
        <v/>
      </c>
      <c r="B377" s="27" t="n"/>
      <c r="C377" s="27" t="n"/>
      <c r="D377" s="28" t="n"/>
      <c r="E377" s="29" t="n"/>
      <c r="F377" s="30" t="n"/>
      <c r="G377" s="31" t="n"/>
      <c r="H377" s="31" t="n"/>
      <c r="I377" s="31" t="n"/>
      <c r="J377" s="31" t="n"/>
      <c r="K377" s="31" t="n"/>
      <c r="L377" s="31" t="n"/>
      <c r="M377" s="31" t="n"/>
      <c r="N377" s="31" t="n"/>
      <c r="O377" s="31" t="n"/>
      <c r="P377" s="31" t="n"/>
      <c r="Q377" s="31" t="n"/>
      <c r="R377" s="31" t="n"/>
      <c r="S377" s="32">
        <f>IF($F377="","",IF(IFERROR(VLOOKUP($F377,'维度字典'!$M$2:$N$50,2,0),"求和")="手工录入","",IF(IFERROR(VLOOKUP($F377,'维度字典'!$M$2:$N$50,2,0),"求和")="最新值",IFERROR(LOOKUP(9.99E+307,G377:R377),""),SUM(G377:R377))))</f>
        <v/>
      </c>
      <c r="T377" s="33" t="n"/>
    </row>
    <row r="378">
      <c r="A378" s="26">
        <f>IF($B378="","",ROW()-3)</f>
        <v/>
      </c>
      <c r="B378" s="27" t="n"/>
      <c r="C378" s="27" t="n"/>
      <c r="D378" s="28" t="n"/>
      <c r="E378" s="29" t="n"/>
      <c r="F378" s="30" t="n"/>
      <c r="G378" s="31" t="n"/>
      <c r="H378" s="31" t="n"/>
      <c r="I378" s="31" t="n"/>
      <c r="J378" s="31" t="n"/>
      <c r="K378" s="31" t="n"/>
      <c r="L378" s="31" t="n"/>
      <c r="M378" s="31" t="n"/>
      <c r="N378" s="31" t="n"/>
      <c r="O378" s="31" t="n"/>
      <c r="P378" s="31" t="n"/>
      <c r="Q378" s="31" t="n"/>
      <c r="R378" s="31" t="n"/>
      <c r="S378" s="32">
        <f>IF($F378="","",IF(IFERROR(VLOOKUP($F378,'维度字典'!$M$2:$N$50,2,0),"求和")="手工录入","",IF(IFERROR(VLOOKUP($F378,'维度字典'!$M$2:$N$50,2,0),"求和")="最新值",IFERROR(LOOKUP(9.99E+307,G378:R378),""),SUM(G378:R378))))</f>
        <v/>
      </c>
      <c r="T378" s="33" t="n"/>
    </row>
    <row r="379">
      <c r="A379" s="26">
        <f>IF($B379="","",ROW()-3)</f>
        <v/>
      </c>
      <c r="B379" s="27" t="n"/>
      <c r="C379" s="27" t="n"/>
      <c r="D379" s="28" t="n"/>
      <c r="E379" s="29" t="n"/>
      <c r="F379" s="30" t="n"/>
      <c r="G379" s="31" t="n"/>
      <c r="H379" s="31" t="n"/>
      <c r="I379" s="31" t="n"/>
      <c r="J379" s="31" t="n"/>
      <c r="K379" s="31" t="n"/>
      <c r="L379" s="31" t="n"/>
      <c r="M379" s="31" t="n"/>
      <c r="N379" s="31" t="n"/>
      <c r="O379" s="31" t="n"/>
      <c r="P379" s="31" t="n"/>
      <c r="Q379" s="31" t="n"/>
      <c r="R379" s="31" t="n"/>
      <c r="S379" s="32">
        <f>IF($F379="","",IF(IFERROR(VLOOKUP($F379,'维度字典'!$M$2:$N$50,2,0),"求和")="手工录入","",IF(IFERROR(VLOOKUP($F379,'维度字典'!$M$2:$N$50,2,0),"求和")="最新值",IFERROR(LOOKUP(9.99E+307,G379:R379),""),SUM(G379:R379))))</f>
        <v/>
      </c>
      <c r="T379" s="33" t="n"/>
    </row>
    <row r="380">
      <c r="A380" s="26">
        <f>IF($B380="","",ROW()-3)</f>
        <v/>
      </c>
      <c r="B380" s="27" t="n"/>
      <c r="C380" s="27" t="n"/>
      <c r="D380" s="28" t="n"/>
      <c r="E380" s="29" t="n"/>
      <c r="F380" s="30" t="n"/>
      <c r="G380" s="31" t="n"/>
      <c r="H380" s="31" t="n"/>
      <c r="I380" s="31" t="n"/>
      <c r="J380" s="31" t="n"/>
      <c r="K380" s="31" t="n"/>
      <c r="L380" s="31" t="n"/>
      <c r="M380" s="31" t="n"/>
      <c r="N380" s="31" t="n"/>
      <c r="O380" s="31" t="n"/>
      <c r="P380" s="31" t="n"/>
      <c r="Q380" s="31" t="n"/>
      <c r="R380" s="31" t="n"/>
      <c r="S380" s="32">
        <f>IF($F380="","",IF(IFERROR(VLOOKUP($F380,'维度字典'!$M$2:$N$50,2,0),"求和")="手工录入","",IF(IFERROR(VLOOKUP($F380,'维度字典'!$M$2:$N$50,2,0),"求和")="最新值",IFERROR(LOOKUP(9.99E+307,G380:R380),""),SUM(G380:R380))))</f>
        <v/>
      </c>
      <c r="T380" s="33" t="n"/>
    </row>
    <row r="381">
      <c r="A381" s="26">
        <f>IF($B381="","",ROW()-3)</f>
        <v/>
      </c>
      <c r="B381" s="27" t="n"/>
      <c r="C381" s="27" t="n"/>
      <c r="D381" s="28" t="n"/>
      <c r="E381" s="29" t="n"/>
      <c r="F381" s="30" t="n"/>
      <c r="G381" s="31" t="n"/>
      <c r="H381" s="31" t="n"/>
      <c r="I381" s="31" t="n"/>
      <c r="J381" s="31" t="n"/>
      <c r="K381" s="31" t="n"/>
      <c r="L381" s="31" t="n"/>
      <c r="M381" s="31" t="n"/>
      <c r="N381" s="31" t="n"/>
      <c r="O381" s="31" t="n"/>
      <c r="P381" s="31" t="n"/>
      <c r="Q381" s="31" t="n"/>
      <c r="R381" s="31" t="n"/>
      <c r="S381" s="32">
        <f>IF($F381="","",IF(IFERROR(VLOOKUP($F381,'维度字典'!$M$2:$N$50,2,0),"求和")="手工录入","",IF(IFERROR(VLOOKUP($F381,'维度字典'!$M$2:$N$50,2,0),"求和")="最新值",IFERROR(LOOKUP(9.99E+307,G381:R381),""),SUM(G381:R381))))</f>
        <v/>
      </c>
      <c r="T381" s="33" t="n"/>
    </row>
    <row r="382">
      <c r="A382" s="26">
        <f>IF($B382="","",ROW()-3)</f>
        <v/>
      </c>
      <c r="B382" s="27" t="n"/>
      <c r="C382" s="27" t="n"/>
      <c r="D382" s="28" t="n"/>
      <c r="E382" s="29" t="n"/>
      <c r="F382" s="30" t="n"/>
      <c r="G382" s="31" t="n"/>
      <c r="H382" s="31" t="n"/>
      <c r="I382" s="31" t="n"/>
      <c r="J382" s="31" t="n"/>
      <c r="K382" s="31" t="n"/>
      <c r="L382" s="31" t="n"/>
      <c r="M382" s="31" t="n"/>
      <c r="N382" s="31" t="n"/>
      <c r="O382" s="31" t="n"/>
      <c r="P382" s="31" t="n"/>
      <c r="Q382" s="31" t="n"/>
      <c r="R382" s="31" t="n"/>
      <c r="S382" s="32">
        <f>IF($F382="","",IF(IFERROR(VLOOKUP($F382,'维度字典'!$M$2:$N$50,2,0),"求和")="手工录入","",IF(IFERROR(VLOOKUP($F382,'维度字典'!$M$2:$N$50,2,0),"求和")="最新值",IFERROR(LOOKUP(9.99E+307,G382:R382),""),SUM(G382:R382))))</f>
        <v/>
      </c>
      <c r="T382" s="33" t="n"/>
    </row>
    <row r="383">
      <c r="A383" s="26">
        <f>IF($B383="","",ROW()-3)</f>
        <v/>
      </c>
      <c r="B383" s="27" t="n"/>
      <c r="C383" s="27" t="n"/>
      <c r="D383" s="28" t="n"/>
      <c r="E383" s="29" t="n"/>
      <c r="F383" s="30" t="n"/>
      <c r="G383" s="31" t="n"/>
      <c r="H383" s="31" t="n"/>
      <c r="I383" s="31" t="n"/>
      <c r="J383" s="31" t="n"/>
      <c r="K383" s="31" t="n"/>
      <c r="L383" s="31" t="n"/>
      <c r="M383" s="31" t="n"/>
      <c r="N383" s="31" t="n"/>
      <c r="O383" s="31" t="n"/>
      <c r="P383" s="31" t="n"/>
      <c r="Q383" s="31" t="n"/>
      <c r="R383" s="31" t="n"/>
      <c r="S383" s="32">
        <f>IF($F383="","",IF(IFERROR(VLOOKUP($F383,'维度字典'!$M$2:$N$50,2,0),"求和")="手工录入","",IF(IFERROR(VLOOKUP($F383,'维度字典'!$M$2:$N$50,2,0),"求和")="最新值",IFERROR(LOOKUP(9.99E+307,G383:R383),""),SUM(G383:R383))))</f>
        <v/>
      </c>
      <c r="T383" s="33" t="n"/>
    </row>
    <row r="384">
      <c r="A384" s="26">
        <f>IF($B384="","",ROW()-3)</f>
        <v/>
      </c>
      <c r="B384" s="27" t="n"/>
      <c r="C384" s="27" t="n"/>
      <c r="D384" s="28" t="n"/>
      <c r="E384" s="29" t="n"/>
      <c r="F384" s="30" t="n"/>
      <c r="G384" s="31" t="n"/>
      <c r="H384" s="31" t="n"/>
      <c r="I384" s="31" t="n"/>
      <c r="J384" s="31" t="n"/>
      <c r="K384" s="31" t="n"/>
      <c r="L384" s="31" t="n"/>
      <c r="M384" s="31" t="n"/>
      <c r="N384" s="31" t="n"/>
      <c r="O384" s="31" t="n"/>
      <c r="P384" s="31" t="n"/>
      <c r="Q384" s="31" t="n"/>
      <c r="R384" s="31" t="n"/>
      <c r="S384" s="32">
        <f>IF($F384="","",IF(IFERROR(VLOOKUP($F384,'维度字典'!$M$2:$N$50,2,0),"求和")="手工录入","",IF(IFERROR(VLOOKUP($F384,'维度字典'!$M$2:$N$50,2,0),"求和")="最新值",IFERROR(LOOKUP(9.99E+307,G384:R384),""),SUM(G384:R384))))</f>
        <v/>
      </c>
      <c r="T384" s="33" t="n"/>
    </row>
    <row r="385">
      <c r="A385" s="26">
        <f>IF($B385="","",ROW()-3)</f>
        <v/>
      </c>
      <c r="B385" s="27" t="n"/>
      <c r="C385" s="27" t="n"/>
      <c r="D385" s="28" t="n"/>
      <c r="E385" s="29" t="n"/>
      <c r="F385" s="30" t="n"/>
      <c r="G385" s="31" t="n"/>
      <c r="H385" s="31" t="n"/>
      <c r="I385" s="31" t="n"/>
      <c r="J385" s="31" t="n"/>
      <c r="K385" s="31" t="n"/>
      <c r="L385" s="31" t="n"/>
      <c r="M385" s="31" t="n"/>
      <c r="N385" s="31" t="n"/>
      <c r="O385" s="31" t="n"/>
      <c r="P385" s="31" t="n"/>
      <c r="Q385" s="31" t="n"/>
      <c r="R385" s="31" t="n"/>
      <c r="S385" s="32">
        <f>IF($F385="","",IF(IFERROR(VLOOKUP($F385,'维度字典'!$M$2:$N$50,2,0),"求和")="手工录入","",IF(IFERROR(VLOOKUP($F385,'维度字典'!$M$2:$N$50,2,0),"求和")="最新值",IFERROR(LOOKUP(9.99E+307,G385:R385),""),SUM(G385:R385))))</f>
        <v/>
      </c>
      <c r="T385" s="33" t="n"/>
    </row>
    <row r="386">
      <c r="A386" s="26">
        <f>IF($B386="","",ROW()-3)</f>
        <v/>
      </c>
      <c r="B386" s="27" t="n"/>
      <c r="C386" s="27" t="n"/>
      <c r="D386" s="28" t="n"/>
      <c r="E386" s="29" t="n"/>
      <c r="F386" s="30" t="n"/>
      <c r="G386" s="31" t="n"/>
      <c r="H386" s="31" t="n"/>
      <c r="I386" s="31" t="n"/>
      <c r="J386" s="31" t="n"/>
      <c r="K386" s="31" t="n"/>
      <c r="L386" s="31" t="n"/>
      <c r="M386" s="31" t="n"/>
      <c r="N386" s="31" t="n"/>
      <c r="O386" s="31" t="n"/>
      <c r="P386" s="31" t="n"/>
      <c r="Q386" s="31" t="n"/>
      <c r="R386" s="31" t="n"/>
      <c r="S386" s="32">
        <f>IF($F386="","",IF(IFERROR(VLOOKUP($F386,'维度字典'!$M$2:$N$50,2,0),"求和")="手工录入","",IF(IFERROR(VLOOKUP($F386,'维度字典'!$M$2:$N$50,2,0),"求和")="最新值",IFERROR(LOOKUP(9.99E+307,G386:R386),""),SUM(G386:R386))))</f>
        <v/>
      </c>
      <c r="T386" s="33" t="n"/>
    </row>
    <row r="387">
      <c r="A387" s="26">
        <f>IF($B387="","",ROW()-3)</f>
        <v/>
      </c>
      <c r="B387" s="27" t="n"/>
      <c r="C387" s="27" t="n"/>
      <c r="D387" s="28" t="n"/>
      <c r="E387" s="29" t="n"/>
      <c r="F387" s="30" t="n"/>
      <c r="G387" s="31" t="n"/>
      <c r="H387" s="31" t="n"/>
      <c r="I387" s="31" t="n"/>
      <c r="J387" s="31" t="n"/>
      <c r="K387" s="31" t="n"/>
      <c r="L387" s="31" t="n"/>
      <c r="M387" s="31" t="n"/>
      <c r="N387" s="31" t="n"/>
      <c r="O387" s="31" t="n"/>
      <c r="P387" s="31" t="n"/>
      <c r="Q387" s="31" t="n"/>
      <c r="R387" s="31" t="n"/>
      <c r="S387" s="32">
        <f>IF($F387="","",IF(IFERROR(VLOOKUP($F387,'维度字典'!$M$2:$N$50,2,0),"求和")="手工录入","",IF(IFERROR(VLOOKUP($F387,'维度字典'!$M$2:$N$50,2,0),"求和")="最新值",IFERROR(LOOKUP(9.99E+307,G387:R387),""),SUM(G387:R387))))</f>
        <v/>
      </c>
      <c r="T387" s="33" t="n"/>
    </row>
    <row r="388">
      <c r="A388" s="26">
        <f>IF($B388="","",ROW()-3)</f>
        <v/>
      </c>
      <c r="B388" s="27" t="n"/>
      <c r="C388" s="27" t="n"/>
      <c r="D388" s="28" t="n"/>
      <c r="E388" s="29" t="n"/>
      <c r="F388" s="30" t="n"/>
      <c r="G388" s="31" t="n"/>
      <c r="H388" s="31" t="n"/>
      <c r="I388" s="31" t="n"/>
      <c r="J388" s="31" t="n"/>
      <c r="K388" s="31" t="n"/>
      <c r="L388" s="31" t="n"/>
      <c r="M388" s="31" t="n"/>
      <c r="N388" s="31" t="n"/>
      <c r="O388" s="31" t="n"/>
      <c r="P388" s="31" t="n"/>
      <c r="Q388" s="31" t="n"/>
      <c r="R388" s="31" t="n"/>
      <c r="S388" s="32">
        <f>IF($F388="","",IF(IFERROR(VLOOKUP($F388,'维度字典'!$M$2:$N$50,2,0),"求和")="手工录入","",IF(IFERROR(VLOOKUP($F388,'维度字典'!$M$2:$N$50,2,0),"求和")="最新值",IFERROR(LOOKUP(9.99E+307,G388:R388),""),SUM(G388:R388))))</f>
        <v/>
      </c>
      <c r="T388" s="33" t="n"/>
    </row>
    <row r="389">
      <c r="A389" s="26">
        <f>IF($B389="","",ROW()-3)</f>
        <v/>
      </c>
      <c r="B389" s="27" t="n"/>
      <c r="C389" s="27" t="n"/>
      <c r="D389" s="28" t="n"/>
      <c r="E389" s="29" t="n"/>
      <c r="F389" s="30" t="n"/>
      <c r="G389" s="31" t="n"/>
      <c r="H389" s="31" t="n"/>
      <c r="I389" s="31" t="n"/>
      <c r="J389" s="31" t="n"/>
      <c r="K389" s="31" t="n"/>
      <c r="L389" s="31" t="n"/>
      <c r="M389" s="31" t="n"/>
      <c r="N389" s="31" t="n"/>
      <c r="O389" s="31" t="n"/>
      <c r="P389" s="31" t="n"/>
      <c r="Q389" s="31" t="n"/>
      <c r="R389" s="31" t="n"/>
      <c r="S389" s="32">
        <f>IF($F389="","",IF(IFERROR(VLOOKUP($F389,'维度字典'!$M$2:$N$50,2,0),"求和")="手工录入","",IF(IFERROR(VLOOKUP($F389,'维度字典'!$M$2:$N$50,2,0),"求和")="最新值",IFERROR(LOOKUP(9.99E+307,G389:R389),""),SUM(G389:R389))))</f>
        <v/>
      </c>
      <c r="T389" s="33" t="n"/>
    </row>
    <row r="390">
      <c r="A390" s="26">
        <f>IF($B390="","",ROW()-3)</f>
        <v/>
      </c>
      <c r="B390" s="27" t="n"/>
      <c r="C390" s="27" t="n"/>
      <c r="D390" s="28" t="n"/>
      <c r="E390" s="29" t="n"/>
      <c r="F390" s="30" t="n"/>
      <c r="G390" s="31" t="n"/>
      <c r="H390" s="31" t="n"/>
      <c r="I390" s="31" t="n"/>
      <c r="J390" s="31" t="n"/>
      <c r="K390" s="31" t="n"/>
      <c r="L390" s="31" t="n"/>
      <c r="M390" s="31" t="n"/>
      <c r="N390" s="31" t="n"/>
      <c r="O390" s="31" t="n"/>
      <c r="P390" s="31" t="n"/>
      <c r="Q390" s="31" t="n"/>
      <c r="R390" s="31" t="n"/>
      <c r="S390" s="32">
        <f>IF($F390="","",IF(IFERROR(VLOOKUP($F390,'维度字典'!$M$2:$N$50,2,0),"求和")="手工录入","",IF(IFERROR(VLOOKUP($F390,'维度字典'!$M$2:$N$50,2,0),"求和")="最新值",IFERROR(LOOKUP(9.99E+307,G390:R390),""),SUM(G390:R390))))</f>
        <v/>
      </c>
      <c r="T390" s="33" t="n"/>
    </row>
    <row r="391">
      <c r="A391" s="26">
        <f>IF($B391="","",ROW()-3)</f>
        <v/>
      </c>
      <c r="B391" s="27" t="n"/>
      <c r="C391" s="27" t="n"/>
      <c r="D391" s="28" t="n"/>
      <c r="E391" s="29" t="n"/>
      <c r="F391" s="30" t="n"/>
      <c r="G391" s="31" t="n"/>
      <c r="H391" s="31" t="n"/>
      <c r="I391" s="31" t="n"/>
      <c r="J391" s="31" t="n"/>
      <c r="K391" s="31" t="n"/>
      <c r="L391" s="31" t="n"/>
      <c r="M391" s="31" t="n"/>
      <c r="N391" s="31" t="n"/>
      <c r="O391" s="31" t="n"/>
      <c r="P391" s="31" t="n"/>
      <c r="Q391" s="31" t="n"/>
      <c r="R391" s="31" t="n"/>
      <c r="S391" s="32">
        <f>IF($F391="","",IF(IFERROR(VLOOKUP($F391,'维度字典'!$M$2:$N$50,2,0),"求和")="手工录入","",IF(IFERROR(VLOOKUP($F391,'维度字典'!$M$2:$N$50,2,0),"求和")="最新值",IFERROR(LOOKUP(9.99E+307,G391:R391),""),SUM(G391:R391))))</f>
        <v/>
      </c>
      <c r="T391" s="33" t="n"/>
    </row>
    <row r="392">
      <c r="A392" s="26">
        <f>IF($B392="","",ROW()-3)</f>
        <v/>
      </c>
      <c r="B392" s="27" t="n"/>
      <c r="C392" s="27" t="n"/>
      <c r="D392" s="28" t="n"/>
      <c r="E392" s="29" t="n"/>
      <c r="F392" s="30" t="n"/>
      <c r="G392" s="31" t="n"/>
      <c r="H392" s="31" t="n"/>
      <c r="I392" s="31" t="n"/>
      <c r="J392" s="31" t="n"/>
      <c r="K392" s="31" t="n"/>
      <c r="L392" s="31" t="n"/>
      <c r="M392" s="31" t="n"/>
      <c r="N392" s="31" t="n"/>
      <c r="O392" s="31" t="n"/>
      <c r="P392" s="31" t="n"/>
      <c r="Q392" s="31" t="n"/>
      <c r="R392" s="31" t="n"/>
      <c r="S392" s="32">
        <f>IF($F392="","",IF(IFERROR(VLOOKUP($F392,'维度字典'!$M$2:$N$50,2,0),"求和")="手工录入","",IF(IFERROR(VLOOKUP($F392,'维度字典'!$M$2:$N$50,2,0),"求和")="最新值",IFERROR(LOOKUP(9.99E+307,G392:R392),""),SUM(G392:R392))))</f>
        <v/>
      </c>
      <c r="T392" s="33" t="n"/>
    </row>
    <row r="393">
      <c r="A393" s="26">
        <f>IF($B393="","",ROW()-3)</f>
        <v/>
      </c>
      <c r="B393" s="27" t="n"/>
      <c r="C393" s="27" t="n"/>
      <c r="D393" s="28" t="n"/>
      <c r="E393" s="29" t="n"/>
      <c r="F393" s="30" t="n"/>
      <c r="G393" s="31" t="n"/>
      <c r="H393" s="31" t="n"/>
      <c r="I393" s="31" t="n"/>
      <c r="J393" s="31" t="n"/>
      <c r="K393" s="31" t="n"/>
      <c r="L393" s="31" t="n"/>
      <c r="M393" s="31" t="n"/>
      <c r="N393" s="31" t="n"/>
      <c r="O393" s="31" t="n"/>
      <c r="P393" s="31" t="n"/>
      <c r="Q393" s="31" t="n"/>
      <c r="R393" s="31" t="n"/>
      <c r="S393" s="32">
        <f>IF($F393="","",IF(IFERROR(VLOOKUP($F393,'维度字典'!$M$2:$N$50,2,0),"求和")="手工录入","",IF(IFERROR(VLOOKUP($F393,'维度字典'!$M$2:$N$50,2,0),"求和")="最新值",IFERROR(LOOKUP(9.99E+307,G393:R393),""),SUM(G393:R393))))</f>
        <v/>
      </c>
      <c r="T393" s="33" t="n"/>
    </row>
    <row r="394">
      <c r="A394" s="26">
        <f>IF($B394="","",ROW()-3)</f>
        <v/>
      </c>
      <c r="B394" s="27" t="n"/>
      <c r="C394" s="27" t="n"/>
      <c r="D394" s="28" t="n"/>
      <c r="E394" s="29" t="n"/>
      <c r="F394" s="30" t="n"/>
      <c r="G394" s="31" t="n"/>
      <c r="H394" s="31" t="n"/>
      <c r="I394" s="31" t="n"/>
      <c r="J394" s="31" t="n"/>
      <c r="K394" s="31" t="n"/>
      <c r="L394" s="31" t="n"/>
      <c r="M394" s="31" t="n"/>
      <c r="N394" s="31" t="n"/>
      <c r="O394" s="31" t="n"/>
      <c r="P394" s="31" t="n"/>
      <c r="Q394" s="31" t="n"/>
      <c r="R394" s="31" t="n"/>
      <c r="S394" s="32">
        <f>IF($F394="","",IF(IFERROR(VLOOKUP($F394,'维度字典'!$M$2:$N$50,2,0),"求和")="手工录入","",IF(IFERROR(VLOOKUP($F394,'维度字典'!$M$2:$N$50,2,0),"求和")="最新值",IFERROR(LOOKUP(9.99E+307,G394:R394),""),SUM(G394:R394))))</f>
        <v/>
      </c>
      <c r="T394" s="33" t="n"/>
    </row>
    <row r="395">
      <c r="A395" s="26">
        <f>IF($B395="","",ROW()-3)</f>
        <v/>
      </c>
      <c r="B395" s="27" t="n"/>
      <c r="C395" s="27" t="n"/>
      <c r="D395" s="28" t="n"/>
      <c r="E395" s="29" t="n"/>
      <c r="F395" s="30" t="n"/>
      <c r="G395" s="31" t="n"/>
      <c r="H395" s="31" t="n"/>
      <c r="I395" s="31" t="n"/>
      <c r="J395" s="31" t="n"/>
      <c r="K395" s="31" t="n"/>
      <c r="L395" s="31" t="n"/>
      <c r="M395" s="31" t="n"/>
      <c r="N395" s="31" t="n"/>
      <c r="O395" s="31" t="n"/>
      <c r="P395" s="31" t="n"/>
      <c r="Q395" s="31" t="n"/>
      <c r="R395" s="31" t="n"/>
      <c r="S395" s="32">
        <f>IF($F395="","",IF(IFERROR(VLOOKUP($F395,'维度字典'!$M$2:$N$50,2,0),"求和")="手工录入","",IF(IFERROR(VLOOKUP($F395,'维度字典'!$M$2:$N$50,2,0),"求和")="最新值",IFERROR(LOOKUP(9.99E+307,G395:R395),""),SUM(G395:R395))))</f>
        <v/>
      </c>
      <c r="T395" s="33" t="n"/>
    </row>
    <row r="396">
      <c r="A396" s="26">
        <f>IF($B396="","",ROW()-3)</f>
        <v/>
      </c>
      <c r="B396" s="27" t="n"/>
      <c r="C396" s="27" t="n"/>
      <c r="D396" s="28" t="n"/>
      <c r="E396" s="29" t="n"/>
      <c r="F396" s="30" t="n"/>
      <c r="G396" s="31" t="n"/>
      <c r="H396" s="31" t="n"/>
      <c r="I396" s="31" t="n"/>
      <c r="J396" s="31" t="n"/>
      <c r="K396" s="31" t="n"/>
      <c r="L396" s="31" t="n"/>
      <c r="M396" s="31" t="n"/>
      <c r="N396" s="31" t="n"/>
      <c r="O396" s="31" t="n"/>
      <c r="P396" s="31" t="n"/>
      <c r="Q396" s="31" t="n"/>
      <c r="R396" s="31" t="n"/>
      <c r="S396" s="32">
        <f>IF($F396="","",IF(IFERROR(VLOOKUP($F396,'维度字典'!$M$2:$N$50,2,0),"求和")="手工录入","",IF(IFERROR(VLOOKUP($F396,'维度字典'!$M$2:$N$50,2,0),"求和")="最新值",IFERROR(LOOKUP(9.99E+307,G396:R396),""),SUM(G396:R396))))</f>
        <v/>
      </c>
      <c r="T396" s="33" t="n"/>
    </row>
    <row r="397">
      <c r="A397" s="26">
        <f>IF($B397="","",ROW()-3)</f>
        <v/>
      </c>
      <c r="B397" s="27" t="n"/>
      <c r="C397" s="27" t="n"/>
      <c r="D397" s="28" t="n"/>
      <c r="E397" s="29" t="n"/>
      <c r="F397" s="30" t="n"/>
      <c r="G397" s="31" t="n"/>
      <c r="H397" s="31" t="n"/>
      <c r="I397" s="31" t="n"/>
      <c r="J397" s="31" t="n"/>
      <c r="K397" s="31" t="n"/>
      <c r="L397" s="31" t="n"/>
      <c r="M397" s="31" t="n"/>
      <c r="N397" s="31" t="n"/>
      <c r="O397" s="31" t="n"/>
      <c r="P397" s="31" t="n"/>
      <c r="Q397" s="31" t="n"/>
      <c r="R397" s="31" t="n"/>
      <c r="S397" s="32">
        <f>IF($F397="","",IF(IFERROR(VLOOKUP($F397,'维度字典'!$M$2:$N$50,2,0),"求和")="手工录入","",IF(IFERROR(VLOOKUP($F397,'维度字典'!$M$2:$N$50,2,0),"求和")="最新值",IFERROR(LOOKUP(9.99E+307,G397:R397),""),SUM(G397:R397))))</f>
        <v/>
      </c>
      <c r="T397" s="33" t="n"/>
    </row>
    <row r="398">
      <c r="A398" s="26">
        <f>IF($B398="","",ROW()-3)</f>
        <v/>
      </c>
      <c r="B398" s="27" t="n"/>
      <c r="C398" s="27" t="n"/>
      <c r="D398" s="28" t="n"/>
      <c r="E398" s="29" t="n"/>
      <c r="F398" s="30" t="n"/>
      <c r="G398" s="31" t="n"/>
      <c r="H398" s="31" t="n"/>
      <c r="I398" s="31" t="n"/>
      <c r="J398" s="31" t="n"/>
      <c r="K398" s="31" t="n"/>
      <c r="L398" s="31" t="n"/>
      <c r="M398" s="31" t="n"/>
      <c r="N398" s="31" t="n"/>
      <c r="O398" s="31" t="n"/>
      <c r="P398" s="31" t="n"/>
      <c r="Q398" s="31" t="n"/>
      <c r="R398" s="31" t="n"/>
      <c r="S398" s="32">
        <f>IF($F398="","",IF(IFERROR(VLOOKUP($F398,'维度字典'!$M$2:$N$50,2,0),"求和")="手工录入","",IF(IFERROR(VLOOKUP($F398,'维度字典'!$M$2:$N$50,2,0),"求和")="最新值",IFERROR(LOOKUP(9.99E+307,G398:R398),""),SUM(G398:R398))))</f>
        <v/>
      </c>
      <c r="T398" s="33" t="n"/>
    </row>
    <row r="399">
      <c r="A399" s="26">
        <f>IF($B399="","",ROW()-3)</f>
        <v/>
      </c>
      <c r="B399" s="27" t="n"/>
      <c r="C399" s="27" t="n"/>
      <c r="D399" s="28" t="n"/>
      <c r="E399" s="29" t="n"/>
      <c r="F399" s="30" t="n"/>
      <c r="G399" s="31" t="n"/>
      <c r="H399" s="31" t="n"/>
      <c r="I399" s="31" t="n"/>
      <c r="J399" s="31" t="n"/>
      <c r="K399" s="31" t="n"/>
      <c r="L399" s="31" t="n"/>
      <c r="M399" s="31" t="n"/>
      <c r="N399" s="31" t="n"/>
      <c r="O399" s="31" t="n"/>
      <c r="P399" s="31" t="n"/>
      <c r="Q399" s="31" t="n"/>
      <c r="R399" s="31" t="n"/>
      <c r="S399" s="32">
        <f>IF($F399="","",IF(IFERROR(VLOOKUP($F399,'维度字典'!$M$2:$N$50,2,0),"求和")="手工录入","",IF(IFERROR(VLOOKUP($F399,'维度字典'!$M$2:$N$50,2,0),"求和")="最新值",IFERROR(LOOKUP(9.99E+307,G399:R399),""),SUM(G399:R399))))</f>
        <v/>
      </c>
      <c r="T399" s="33" t="n"/>
    </row>
    <row r="400">
      <c r="A400" s="26">
        <f>IF($B400="","",ROW()-3)</f>
        <v/>
      </c>
      <c r="B400" s="27" t="n"/>
      <c r="C400" s="27" t="n"/>
      <c r="D400" s="28" t="n"/>
      <c r="E400" s="29" t="n"/>
      <c r="F400" s="30" t="n"/>
      <c r="G400" s="31" t="n"/>
      <c r="H400" s="31" t="n"/>
      <c r="I400" s="31" t="n"/>
      <c r="J400" s="31" t="n"/>
      <c r="K400" s="31" t="n"/>
      <c r="L400" s="31" t="n"/>
      <c r="M400" s="31" t="n"/>
      <c r="N400" s="31" t="n"/>
      <c r="O400" s="31" t="n"/>
      <c r="P400" s="31" t="n"/>
      <c r="Q400" s="31" t="n"/>
      <c r="R400" s="31" t="n"/>
      <c r="S400" s="32">
        <f>IF($F400="","",IF(IFERROR(VLOOKUP($F400,'维度字典'!$M$2:$N$50,2,0),"求和")="手工录入","",IF(IFERROR(VLOOKUP($F400,'维度字典'!$M$2:$N$50,2,0),"求和")="最新值",IFERROR(LOOKUP(9.99E+307,G400:R400),""),SUM(G400:R400))))</f>
        <v/>
      </c>
      <c r="T400" s="33" t="n"/>
    </row>
    <row r="401">
      <c r="A401" s="26">
        <f>IF($B401="","",ROW()-3)</f>
        <v/>
      </c>
      <c r="B401" s="27" t="n"/>
      <c r="C401" s="27" t="n"/>
      <c r="D401" s="28" t="n"/>
      <c r="E401" s="29" t="n"/>
      <c r="F401" s="30" t="n"/>
      <c r="G401" s="31" t="n"/>
      <c r="H401" s="31" t="n"/>
      <c r="I401" s="31" t="n"/>
      <c r="J401" s="31" t="n"/>
      <c r="K401" s="31" t="n"/>
      <c r="L401" s="31" t="n"/>
      <c r="M401" s="31" t="n"/>
      <c r="N401" s="31" t="n"/>
      <c r="O401" s="31" t="n"/>
      <c r="P401" s="31" t="n"/>
      <c r="Q401" s="31" t="n"/>
      <c r="R401" s="31" t="n"/>
      <c r="S401" s="32">
        <f>IF($F401="","",IF(IFERROR(VLOOKUP($F401,'维度字典'!$M$2:$N$50,2,0),"求和")="手工录入","",IF(IFERROR(VLOOKUP($F401,'维度字典'!$M$2:$N$50,2,0),"求和")="最新值",IFERROR(LOOKUP(9.99E+307,G401:R401),""),SUM(G401:R401))))</f>
        <v/>
      </c>
      <c r="T401" s="33" t="n"/>
    </row>
    <row r="402">
      <c r="A402" s="26">
        <f>IF($B402="","",ROW()-3)</f>
        <v/>
      </c>
      <c r="B402" s="27" t="n"/>
      <c r="C402" s="27" t="n"/>
      <c r="D402" s="28" t="n"/>
      <c r="E402" s="29" t="n"/>
      <c r="F402" s="30" t="n"/>
      <c r="G402" s="31" t="n"/>
      <c r="H402" s="31" t="n"/>
      <c r="I402" s="31" t="n"/>
      <c r="J402" s="31" t="n"/>
      <c r="K402" s="31" t="n"/>
      <c r="L402" s="31" t="n"/>
      <c r="M402" s="31" t="n"/>
      <c r="N402" s="31" t="n"/>
      <c r="O402" s="31" t="n"/>
      <c r="P402" s="31" t="n"/>
      <c r="Q402" s="31" t="n"/>
      <c r="R402" s="31" t="n"/>
      <c r="S402" s="32">
        <f>IF($F402="","",IF(IFERROR(VLOOKUP($F402,'维度字典'!$M$2:$N$50,2,0),"求和")="手工录入","",IF(IFERROR(VLOOKUP($F402,'维度字典'!$M$2:$N$50,2,0),"求和")="最新值",IFERROR(LOOKUP(9.99E+307,G402:R402),""),SUM(G402:R402))))</f>
        <v/>
      </c>
      <c r="T402" s="33" t="n"/>
    </row>
    <row r="403">
      <c r="A403" s="26">
        <f>IF($B403="","",ROW()-3)</f>
        <v/>
      </c>
      <c r="B403" s="27" t="n"/>
      <c r="C403" s="27" t="n"/>
      <c r="D403" s="28" t="n"/>
      <c r="E403" s="29" t="n"/>
      <c r="F403" s="30" t="n"/>
      <c r="G403" s="31" t="n"/>
      <c r="H403" s="31" t="n"/>
      <c r="I403" s="31" t="n"/>
      <c r="J403" s="31" t="n"/>
      <c r="K403" s="31" t="n"/>
      <c r="L403" s="31" t="n"/>
      <c r="M403" s="31" t="n"/>
      <c r="N403" s="31" t="n"/>
      <c r="O403" s="31" t="n"/>
      <c r="P403" s="31" t="n"/>
      <c r="Q403" s="31" t="n"/>
      <c r="R403" s="31" t="n"/>
      <c r="S403" s="32">
        <f>IF($F403="","",IF(IFERROR(VLOOKUP($F403,'维度字典'!$M$2:$N$50,2,0),"求和")="手工录入","",IF(IFERROR(VLOOKUP($F403,'维度字典'!$M$2:$N$50,2,0),"求和")="最新值",IFERROR(LOOKUP(9.99E+307,G403:R403),""),SUM(G403:R403))))</f>
        <v/>
      </c>
      <c r="T403" s="33" t="n"/>
    </row>
    <row r="404">
      <c r="A404" s="26">
        <f>IF($B404="","",ROW()-3)</f>
        <v/>
      </c>
      <c r="B404" s="27" t="n"/>
      <c r="C404" s="27" t="n"/>
      <c r="D404" s="28" t="n"/>
      <c r="E404" s="29" t="n"/>
      <c r="F404" s="30" t="n"/>
      <c r="G404" s="31" t="n"/>
      <c r="H404" s="31" t="n"/>
      <c r="I404" s="31" t="n"/>
      <c r="J404" s="31" t="n"/>
      <c r="K404" s="31" t="n"/>
      <c r="L404" s="31" t="n"/>
      <c r="M404" s="31" t="n"/>
      <c r="N404" s="31" t="n"/>
      <c r="O404" s="31" t="n"/>
      <c r="P404" s="31" t="n"/>
      <c r="Q404" s="31" t="n"/>
      <c r="R404" s="31" t="n"/>
      <c r="S404" s="32">
        <f>IF($F404="","",IF(IFERROR(VLOOKUP($F404,'维度字典'!$M$2:$N$50,2,0),"求和")="手工录入","",IF(IFERROR(VLOOKUP($F404,'维度字典'!$M$2:$N$50,2,0),"求和")="最新值",IFERROR(LOOKUP(9.99E+307,G404:R404),""),SUM(G404:R404))))</f>
        <v/>
      </c>
      <c r="T404" s="33" t="n"/>
    </row>
    <row r="405">
      <c r="A405" s="26">
        <f>IF($B405="","",ROW()-3)</f>
        <v/>
      </c>
      <c r="B405" s="27" t="n"/>
      <c r="C405" s="27" t="n"/>
      <c r="D405" s="28" t="n"/>
      <c r="E405" s="29" t="n"/>
      <c r="F405" s="30" t="n"/>
      <c r="G405" s="31" t="n"/>
      <c r="H405" s="31" t="n"/>
      <c r="I405" s="31" t="n"/>
      <c r="J405" s="31" t="n"/>
      <c r="K405" s="31" t="n"/>
      <c r="L405" s="31" t="n"/>
      <c r="M405" s="31" t="n"/>
      <c r="N405" s="31" t="n"/>
      <c r="O405" s="31" t="n"/>
      <c r="P405" s="31" t="n"/>
      <c r="Q405" s="31" t="n"/>
      <c r="R405" s="31" t="n"/>
      <c r="S405" s="32">
        <f>IF($F405="","",IF(IFERROR(VLOOKUP($F405,'维度字典'!$M$2:$N$50,2,0),"求和")="手工录入","",IF(IFERROR(VLOOKUP($F405,'维度字典'!$M$2:$N$50,2,0),"求和")="最新值",IFERROR(LOOKUP(9.99E+307,G405:R405),""),SUM(G405:R405))))</f>
        <v/>
      </c>
      <c r="T405" s="33" t="n"/>
    </row>
    <row r="406">
      <c r="A406" s="26">
        <f>IF($B406="","",ROW()-3)</f>
        <v/>
      </c>
      <c r="B406" s="27" t="n"/>
      <c r="C406" s="27" t="n"/>
      <c r="D406" s="28" t="n"/>
      <c r="E406" s="29" t="n"/>
      <c r="F406" s="30" t="n"/>
      <c r="G406" s="31" t="n"/>
      <c r="H406" s="31" t="n"/>
      <c r="I406" s="31" t="n"/>
      <c r="J406" s="31" t="n"/>
      <c r="K406" s="31" t="n"/>
      <c r="L406" s="31" t="n"/>
      <c r="M406" s="31" t="n"/>
      <c r="N406" s="31" t="n"/>
      <c r="O406" s="31" t="n"/>
      <c r="P406" s="31" t="n"/>
      <c r="Q406" s="31" t="n"/>
      <c r="R406" s="31" t="n"/>
      <c r="S406" s="32">
        <f>IF($F406="","",IF(IFERROR(VLOOKUP($F406,'维度字典'!$M$2:$N$50,2,0),"求和")="手工录入","",IF(IFERROR(VLOOKUP($F406,'维度字典'!$M$2:$N$50,2,0),"求和")="最新值",IFERROR(LOOKUP(9.99E+307,G406:R406),""),SUM(G406:R406))))</f>
        <v/>
      </c>
      <c r="T406" s="33" t="n"/>
    </row>
    <row r="407">
      <c r="A407" s="26">
        <f>IF($B407="","",ROW()-3)</f>
        <v/>
      </c>
      <c r="B407" s="27" t="n"/>
      <c r="C407" s="27" t="n"/>
      <c r="D407" s="28" t="n"/>
      <c r="E407" s="29" t="n"/>
      <c r="F407" s="30" t="n"/>
      <c r="G407" s="31" t="n"/>
      <c r="H407" s="31" t="n"/>
      <c r="I407" s="31" t="n"/>
      <c r="J407" s="31" t="n"/>
      <c r="K407" s="31" t="n"/>
      <c r="L407" s="31" t="n"/>
      <c r="M407" s="31" t="n"/>
      <c r="N407" s="31" t="n"/>
      <c r="O407" s="31" t="n"/>
      <c r="P407" s="31" t="n"/>
      <c r="Q407" s="31" t="n"/>
      <c r="R407" s="31" t="n"/>
      <c r="S407" s="32">
        <f>IF($F407="","",IF(IFERROR(VLOOKUP($F407,'维度字典'!$M$2:$N$50,2,0),"求和")="手工录入","",IF(IFERROR(VLOOKUP($F407,'维度字典'!$M$2:$N$50,2,0),"求和")="最新值",IFERROR(LOOKUP(9.99E+307,G407:R407),""),SUM(G407:R407))))</f>
        <v/>
      </c>
      <c r="T407" s="33" t="n"/>
    </row>
    <row r="408">
      <c r="A408" s="26">
        <f>IF($B408="","",ROW()-3)</f>
        <v/>
      </c>
      <c r="B408" s="27" t="n"/>
      <c r="C408" s="27" t="n"/>
      <c r="D408" s="28" t="n"/>
      <c r="E408" s="29" t="n"/>
      <c r="F408" s="30" t="n"/>
      <c r="G408" s="31" t="n"/>
      <c r="H408" s="31" t="n"/>
      <c r="I408" s="31" t="n"/>
      <c r="J408" s="31" t="n"/>
      <c r="K408" s="31" t="n"/>
      <c r="L408" s="31" t="n"/>
      <c r="M408" s="31" t="n"/>
      <c r="N408" s="31" t="n"/>
      <c r="O408" s="31" t="n"/>
      <c r="P408" s="31" t="n"/>
      <c r="Q408" s="31" t="n"/>
      <c r="R408" s="31" t="n"/>
      <c r="S408" s="32">
        <f>IF($F408="","",IF(IFERROR(VLOOKUP($F408,'维度字典'!$M$2:$N$50,2,0),"求和")="手工录入","",IF(IFERROR(VLOOKUP($F408,'维度字典'!$M$2:$N$50,2,0),"求和")="最新值",IFERROR(LOOKUP(9.99E+307,G408:R408),""),SUM(G408:R408))))</f>
        <v/>
      </c>
      <c r="T408" s="33" t="n"/>
    </row>
    <row r="409">
      <c r="A409" s="26">
        <f>IF($B409="","",ROW()-3)</f>
        <v/>
      </c>
      <c r="B409" s="27" t="n"/>
      <c r="C409" s="27" t="n"/>
      <c r="D409" s="28" t="n"/>
      <c r="E409" s="29" t="n"/>
      <c r="F409" s="30" t="n"/>
      <c r="G409" s="31" t="n"/>
      <c r="H409" s="31" t="n"/>
      <c r="I409" s="31" t="n"/>
      <c r="J409" s="31" t="n"/>
      <c r="K409" s="31" t="n"/>
      <c r="L409" s="31" t="n"/>
      <c r="M409" s="31" t="n"/>
      <c r="N409" s="31" t="n"/>
      <c r="O409" s="31" t="n"/>
      <c r="P409" s="31" t="n"/>
      <c r="Q409" s="31" t="n"/>
      <c r="R409" s="31" t="n"/>
      <c r="S409" s="32">
        <f>IF($F409="","",IF(IFERROR(VLOOKUP($F409,'维度字典'!$M$2:$N$50,2,0),"求和")="手工录入","",IF(IFERROR(VLOOKUP($F409,'维度字典'!$M$2:$N$50,2,0),"求和")="最新值",IFERROR(LOOKUP(9.99E+307,G409:R409),""),SUM(G409:R409))))</f>
        <v/>
      </c>
      <c r="T409" s="33" t="n"/>
    </row>
    <row r="410">
      <c r="A410" s="26">
        <f>IF($B410="","",ROW()-3)</f>
        <v/>
      </c>
      <c r="B410" s="27" t="n"/>
      <c r="C410" s="27" t="n"/>
      <c r="D410" s="28" t="n"/>
      <c r="E410" s="29" t="n"/>
      <c r="F410" s="30" t="n"/>
      <c r="G410" s="31" t="n"/>
      <c r="H410" s="31" t="n"/>
      <c r="I410" s="31" t="n"/>
      <c r="J410" s="31" t="n"/>
      <c r="K410" s="31" t="n"/>
      <c r="L410" s="31" t="n"/>
      <c r="M410" s="31" t="n"/>
      <c r="N410" s="31" t="n"/>
      <c r="O410" s="31" t="n"/>
      <c r="P410" s="31" t="n"/>
      <c r="Q410" s="31" t="n"/>
      <c r="R410" s="31" t="n"/>
      <c r="S410" s="32">
        <f>IF($F410="","",IF(IFERROR(VLOOKUP($F410,'维度字典'!$M$2:$N$50,2,0),"求和")="手工录入","",IF(IFERROR(VLOOKUP($F410,'维度字典'!$M$2:$N$50,2,0),"求和")="最新值",IFERROR(LOOKUP(9.99E+307,G410:R410),""),SUM(G410:R410))))</f>
        <v/>
      </c>
      <c r="T410" s="33" t="n"/>
    </row>
    <row r="411">
      <c r="A411" s="26">
        <f>IF($B411="","",ROW()-3)</f>
        <v/>
      </c>
      <c r="B411" s="27" t="n"/>
      <c r="C411" s="27" t="n"/>
      <c r="D411" s="28" t="n"/>
      <c r="E411" s="29" t="n"/>
      <c r="F411" s="30" t="n"/>
      <c r="G411" s="31" t="n"/>
      <c r="H411" s="31" t="n"/>
      <c r="I411" s="31" t="n"/>
      <c r="J411" s="31" t="n"/>
      <c r="K411" s="31" t="n"/>
      <c r="L411" s="31" t="n"/>
      <c r="M411" s="31" t="n"/>
      <c r="N411" s="31" t="n"/>
      <c r="O411" s="31" t="n"/>
      <c r="P411" s="31" t="n"/>
      <c r="Q411" s="31" t="n"/>
      <c r="R411" s="31" t="n"/>
      <c r="S411" s="32">
        <f>IF($F411="","",IF(IFERROR(VLOOKUP($F411,'维度字典'!$M$2:$N$50,2,0),"求和")="手工录入","",IF(IFERROR(VLOOKUP($F411,'维度字典'!$M$2:$N$50,2,0),"求和")="最新值",IFERROR(LOOKUP(9.99E+307,G411:R411),""),SUM(G411:R411))))</f>
        <v/>
      </c>
      <c r="T411" s="33" t="n"/>
    </row>
    <row r="412">
      <c r="A412" s="26">
        <f>IF($B412="","",ROW()-3)</f>
        <v/>
      </c>
      <c r="B412" s="27" t="n"/>
      <c r="C412" s="27" t="n"/>
      <c r="D412" s="28" t="n"/>
      <c r="E412" s="29" t="n"/>
      <c r="F412" s="30" t="n"/>
      <c r="G412" s="31" t="n"/>
      <c r="H412" s="31" t="n"/>
      <c r="I412" s="31" t="n"/>
      <c r="J412" s="31" t="n"/>
      <c r="K412" s="31" t="n"/>
      <c r="L412" s="31" t="n"/>
      <c r="M412" s="31" t="n"/>
      <c r="N412" s="31" t="n"/>
      <c r="O412" s="31" t="n"/>
      <c r="P412" s="31" t="n"/>
      <c r="Q412" s="31" t="n"/>
      <c r="R412" s="31" t="n"/>
      <c r="S412" s="32">
        <f>IF($F412="","",IF(IFERROR(VLOOKUP($F412,'维度字典'!$M$2:$N$50,2,0),"求和")="手工录入","",IF(IFERROR(VLOOKUP($F412,'维度字典'!$M$2:$N$50,2,0),"求和")="最新值",IFERROR(LOOKUP(9.99E+307,G412:R412),""),SUM(G412:R412))))</f>
        <v/>
      </c>
      <c r="T412" s="33" t="n"/>
    </row>
    <row r="413">
      <c r="A413" s="26">
        <f>IF($B413="","",ROW()-3)</f>
        <v/>
      </c>
      <c r="B413" s="27" t="n"/>
      <c r="C413" s="27" t="n"/>
      <c r="D413" s="28" t="n"/>
      <c r="E413" s="29" t="n"/>
      <c r="F413" s="30" t="n"/>
      <c r="G413" s="31" t="n"/>
      <c r="H413" s="31" t="n"/>
      <c r="I413" s="31" t="n"/>
      <c r="J413" s="31" t="n"/>
      <c r="K413" s="31" t="n"/>
      <c r="L413" s="31" t="n"/>
      <c r="M413" s="31" t="n"/>
      <c r="N413" s="31" t="n"/>
      <c r="O413" s="31" t="n"/>
      <c r="P413" s="31" t="n"/>
      <c r="Q413" s="31" t="n"/>
      <c r="R413" s="31" t="n"/>
      <c r="S413" s="32">
        <f>IF($F413="","",IF(IFERROR(VLOOKUP($F413,'维度字典'!$M$2:$N$50,2,0),"求和")="手工录入","",IF(IFERROR(VLOOKUP($F413,'维度字典'!$M$2:$N$50,2,0),"求和")="最新值",IFERROR(LOOKUP(9.99E+307,G413:R413),""),SUM(G413:R413))))</f>
        <v/>
      </c>
      <c r="T413" s="33" t="n"/>
    </row>
    <row r="414">
      <c r="A414" s="26">
        <f>IF($B414="","",ROW()-3)</f>
        <v/>
      </c>
      <c r="B414" s="27" t="n"/>
      <c r="C414" s="27" t="n"/>
      <c r="D414" s="28" t="n"/>
      <c r="E414" s="29" t="n"/>
      <c r="F414" s="30" t="n"/>
      <c r="G414" s="31" t="n"/>
      <c r="H414" s="31" t="n"/>
      <c r="I414" s="31" t="n"/>
      <c r="J414" s="31" t="n"/>
      <c r="K414" s="31" t="n"/>
      <c r="L414" s="31" t="n"/>
      <c r="M414" s="31" t="n"/>
      <c r="N414" s="31" t="n"/>
      <c r="O414" s="31" t="n"/>
      <c r="P414" s="31" t="n"/>
      <c r="Q414" s="31" t="n"/>
      <c r="R414" s="31" t="n"/>
      <c r="S414" s="32">
        <f>IF($F414="","",IF(IFERROR(VLOOKUP($F414,'维度字典'!$M$2:$N$50,2,0),"求和")="手工录入","",IF(IFERROR(VLOOKUP($F414,'维度字典'!$M$2:$N$50,2,0),"求和")="最新值",IFERROR(LOOKUP(9.99E+307,G414:R414),""),SUM(G414:R414))))</f>
        <v/>
      </c>
      <c r="T414" s="33" t="n"/>
    </row>
    <row r="415">
      <c r="A415" s="26">
        <f>IF($B415="","",ROW()-3)</f>
        <v/>
      </c>
      <c r="B415" s="27" t="n"/>
      <c r="C415" s="27" t="n"/>
      <c r="D415" s="28" t="n"/>
      <c r="E415" s="29" t="n"/>
      <c r="F415" s="30" t="n"/>
      <c r="G415" s="31" t="n"/>
      <c r="H415" s="31" t="n"/>
      <c r="I415" s="31" t="n"/>
      <c r="J415" s="31" t="n"/>
      <c r="K415" s="31" t="n"/>
      <c r="L415" s="31" t="n"/>
      <c r="M415" s="31" t="n"/>
      <c r="N415" s="31" t="n"/>
      <c r="O415" s="31" t="n"/>
      <c r="P415" s="31" t="n"/>
      <c r="Q415" s="31" t="n"/>
      <c r="R415" s="31" t="n"/>
      <c r="S415" s="32">
        <f>IF($F415="","",IF(IFERROR(VLOOKUP($F415,'维度字典'!$M$2:$N$50,2,0),"求和")="手工录入","",IF(IFERROR(VLOOKUP($F415,'维度字典'!$M$2:$N$50,2,0),"求和")="最新值",IFERROR(LOOKUP(9.99E+307,G415:R415),""),SUM(G415:R415))))</f>
        <v/>
      </c>
      <c r="T415" s="33" t="n"/>
    </row>
    <row r="416">
      <c r="A416" s="26">
        <f>IF($B416="","",ROW()-3)</f>
        <v/>
      </c>
      <c r="B416" s="27" t="n"/>
      <c r="C416" s="27" t="n"/>
      <c r="D416" s="28" t="n"/>
      <c r="E416" s="29" t="n"/>
      <c r="F416" s="30" t="n"/>
      <c r="G416" s="31" t="n"/>
      <c r="H416" s="31" t="n"/>
      <c r="I416" s="31" t="n"/>
      <c r="J416" s="31" t="n"/>
      <c r="K416" s="31" t="n"/>
      <c r="L416" s="31" t="n"/>
      <c r="M416" s="31" t="n"/>
      <c r="N416" s="31" t="n"/>
      <c r="O416" s="31" t="n"/>
      <c r="P416" s="31" t="n"/>
      <c r="Q416" s="31" t="n"/>
      <c r="R416" s="31" t="n"/>
      <c r="S416" s="32">
        <f>IF($F416="","",IF(IFERROR(VLOOKUP($F416,'维度字典'!$M$2:$N$50,2,0),"求和")="手工录入","",IF(IFERROR(VLOOKUP($F416,'维度字典'!$M$2:$N$50,2,0),"求和")="最新值",IFERROR(LOOKUP(9.99E+307,G416:R416),""),SUM(G416:R416))))</f>
        <v/>
      </c>
      <c r="T416" s="33" t="n"/>
    </row>
    <row r="417">
      <c r="A417" s="26">
        <f>IF($B417="","",ROW()-3)</f>
        <v/>
      </c>
      <c r="B417" s="27" t="n"/>
      <c r="C417" s="27" t="n"/>
      <c r="D417" s="28" t="n"/>
      <c r="E417" s="29" t="n"/>
      <c r="F417" s="30" t="n"/>
      <c r="G417" s="31" t="n"/>
      <c r="H417" s="31" t="n"/>
      <c r="I417" s="31" t="n"/>
      <c r="J417" s="31" t="n"/>
      <c r="K417" s="31" t="n"/>
      <c r="L417" s="31" t="n"/>
      <c r="M417" s="31" t="n"/>
      <c r="N417" s="31" t="n"/>
      <c r="O417" s="31" t="n"/>
      <c r="P417" s="31" t="n"/>
      <c r="Q417" s="31" t="n"/>
      <c r="R417" s="31" t="n"/>
      <c r="S417" s="32">
        <f>IF($F417="","",IF(IFERROR(VLOOKUP($F417,'维度字典'!$M$2:$N$50,2,0),"求和")="手工录入","",IF(IFERROR(VLOOKUP($F417,'维度字典'!$M$2:$N$50,2,0),"求和")="最新值",IFERROR(LOOKUP(9.99E+307,G417:R417),""),SUM(G417:R417))))</f>
        <v/>
      </c>
      <c r="T417" s="33" t="n"/>
    </row>
    <row r="418">
      <c r="A418" s="26">
        <f>IF($B418="","",ROW()-3)</f>
        <v/>
      </c>
      <c r="B418" s="27" t="n"/>
      <c r="C418" s="27" t="n"/>
      <c r="D418" s="28" t="n"/>
      <c r="E418" s="29" t="n"/>
      <c r="F418" s="30" t="n"/>
      <c r="G418" s="31" t="n"/>
      <c r="H418" s="31" t="n"/>
      <c r="I418" s="31" t="n"/>
      <c r="J418" s="31" t="n"/>
      <c r="K418" s="31" t="n"/>
      <c r="L418" s="31" t="n"/>
      <c r="M418" s="31" t="n"/>
      <c r="N418" s="31" t="n"/>
      <c r="O418" s="31" t="n"/>
      <c r="P418" s="31" t="n"/>
      <c r="Q418" s="31" t="n"/>
      <c r="R418" s="31" t="n"/>
      <c r="S418" s="32">
        <f>IF($F418="","",IF(IFERROR(VLOOKUP($F418,'维度字典'!$M$2:$N$50,2,0),"求和")="手工录入","",IF(IFERROR(VLOOKUP($F418,'维度字典'!$M$2:$N$50,2,0),"求和")="最新值",IFERROR(LOOKUP(9.99E+307,G418:R418),""),SUM(G418:R418))))</f>
        <v/>
      </c>
      <c r="T418" s="33" t="n"/>
    </row>
    <row r="419">
      <c r="A419" s="26">
        <f>IF($B419="","",ROW()-3)</f>
        <v/>
      </c>
      <c r="B419" s="27" t="n"/>
      <c r="C419" s="27" t="n"/>
      <c r="D419" s="28" t="n"/>
      <c r="E419" s="29" t="n"/>
      <c r="F419" s="30" t="n"/>
      <c r="G419" s="31" t="n"/>
      <c r="H419" s="31" t="n"/>
      <c r="I419" s="31" t="n"/>
      <c r="J419" s="31" t="n"/>
      <c r="K419" s="31" t="n"/>
      <c r="L419" s="31" t="n"/>
      <c r="M419" s="31" t="n"/>
      <c r="N419" s="31" t="n"/>
      <c r="O419" s="31" t="n"/>
      <c r="P419" s="31" t="n"/>
      <c r="Q419" s="31" t="n"/>
      <c r="R419" s="31" t="n"/>
      <c r="S419" s="32">
        <f>IF($F419="","",IF(IFERROR(VLOOKUP($F419,'维度字典'!$M$2:$N$50,2,0),"求和")="手工录入","",IF(IFERROR(VLOOKUP($F419,'维度字典'!$M$2:$N$50,2,0),"求和")="最新值",IFERROR(LOOKUP(9.99E+307,G419:R419),""),SUM(G419:R419))))</f>
        <v/>
      </c>
      <c r="T419" s="33" t="n"/>
    </row>
    <row r="420">
      <c r="A420" s="26">
        <f>IF($B420="","",ROW()-3)</f>
        <v/>
      </c>
      <c r="B420" s="27" t="n"/>
      <c r="C420" s="27" t="n"/>
      <c r="D420" s="28" t="n"/>
      <c r="E420" s="29" t="n"/>
      <c r="F420" s="30" t="n"/>
      <c r="G420" s="31" t="n"/>
      <c r="H420" s="31" t="n"/>
      <c r="I420" s="31" t="n"/>
      <c r="J420" s="31" t="n"/>
      <c r="K420" s="31" t="n"/>
      <c r="L420" s="31" t="n"/>
      <c r="M420" s="31" t="n"/>
      <c r="N420" s="31" t="n"/>
      <c r="O420" s="31" t="n"/>
      <c r="P420" s="31" t="n"/>
      <c r="Q420" s="31" t="n"/>
      <c r="R420" s="31" t="n"/>
      <c r="S420" s="32">
        <f>IF($F420="","",IF(IFERROR(VLOOKUP($F420,'维度字典'!$M$2:$N$50,2,0),"求和")="手工录入","",IF(IFERROR(VLOOKUP($F420,'维度字典'!$M$2:$N$50,2,0),"求和")="最新值",IFERROR(LOOKUP(9.99E+307,G420:R420),""),SUM(G420:R420))))</f>
        <v/>
      </c>
      <c r="T420" s="33" t="n"/>
    </row>
    <row r="421">
      <c r="A421" s="26">
        <f>IF($B421="","",ROW()-3)</f>
        <v/>
      </c>
      <c r="B421" s="27" t="n"/>
      <c r="C421" s="27" t="n"/>
      <c r="D421" s="28" t="n"/>
      <c r="E421" s="29" t="n"/>
      <c r="F421" s="30" t="n"/>
      <c r="G421" s="31" t="n"/>
      <c r="H421" s="31" t="n"/>
      <c r="I421" s="31" t="n"/>
      <c r="J421" s="31" t="n"/>
      <c r="K421" s="31" t="n"/>
      <c r="L421" s="31" t="n"/>
      <c r="M421" s="31" t="n"/>
      <c r="N421" s="31" t="n"/>
      <c r="O421" s="31" t="n"/>
      <c r="P421" s="31" t="n"/>
      <c r="Q421" s="31" t="n"/>
      <c r="R421" s="31" t="n"/>
      <c r="S421" s="32">
        <f>IF($F421="","",IF(IFERROR(VLOOKUP($F421,'维度字典'!$M$2:$N$50,2,0),"求和")="手工录入","",IF(IFERROR(VLOOKUP($F421,'维度字典'!$M$2:$N$50,2,0),"求和")="最新值",IFERROR(LOOKUP(9.99E+307,G421:R421),""),SUM(G421:R421))))</f>
        <v/>
      </c>
      <c r="T421" s="33" t="n"/>
    </row>
    <row r="422">
      <c r="A422" s="26">
        <f>IF($B422="","",ROW()-3)</f>
        <v/>
      </c>
      <c r="B422" s="27" t="n"/>
      <c r="C422" s="27" t="n"/>
      <c r="D422" s="28" t="n"/>
      <c r="E422" s="29" t="n"/>
      <c r="F422" s="30" t="n"/>
      <c r="G422" s="31" t="n"/>
      <c r="H422" s="31" t="n"/>
      <c r="I422" s="31" t="n"/>
      <c r="J422" s="31" t="n"/>
      <c r="K422" s="31" t="n"/>
      <c r="L422" s="31" t="n"/>
      <c r="M422" s="31" t="n"/>
      <c r="N422" s="31" t="n"/>
      <c r="O422" s="31" t="n"/>
      <c r="P422" s="31" t="n"/>
      <c r="Q422" s="31" t="n"/>
      <c r="R422" s="31" t="n"/>
      <c r="S422" s="32">
        <f>IF($F422="","",IF(IFERROR(VLOOKUP($F422,'维度字典'!$M$2:$N$50,2,0),"求和")="手工录入","",IF(IFERROR(VLOOKUP($F422,'维度字典'!$M$2:$N$50,2,0),"求和")="最新值",IFERROR(LOOKUP(9.99E+307,G422:R422),""),SUM(G422:R422))))</f>
        <v/>
      </c>
      <c r="T422" s="33" t="n"/>
    </row>
    <row r="423">
      <c r="A423" s="26">
        <f>IF($B423="","",ROW()-3)</f>
        <v/>
      </c>
      <c r="B423" s="27" t="n"/>
      <c r="C423" s="27" t="n"/>
      <c r="D423" s="28" t="n"/>
      <c r="E423" s="29" t="n"/>
      <c r="F423" s="30" t="n"/>
      <c r="G423" s="31" t="n"/>
      <c r="H423" s="31" t="n"/>
      <c r="I423" s="31" t="n"/>
      <c r="J423" s="31" t="n"/>
      <c r="K423" s="31" t="n"/>
      <c r="L423" s="31" t="n"/>
      <c r="M423" s="31" t="n"/>
      <c r="N423" s="31" t="n"/>
      <c r="O423" s="31" t="n"/>
      <c r="P423" s="31" t="n"/>
      <c r="Q423" s="31" t="n"/>
      <c r="R423" s="31" t="n"/>
      <c r="S423" s="32">
        <f>IF($F423="","",IF(IFERROR(VLOOKUP($F423,'维度字典'!$M$2:$N$50,2,0),"求和")="手工录入","",IF(IFERROR(VLOOKUP($F423,'维度字典'!$M$2:$N$50,2,0),"求和")="最新值",IFERROR(LOOKUP(9.99E+307,G423:R423),""),SUM(G423:R423))))</f>
        <v/>
      </c>
      <c r="T423" s="33" t="n"/>
    </row>
    <row r="424">
      <c r="A424" s="26">
        <f>IF($B424="","",ROW()-3)</f>
        <v/>
      </c>
      <c r="B424" s="27" t="n"/>
      <c r="C424" s="27" t="n"/>
      <c r="D424" s="28" t="n"/>
      <c r="E424" s="29" t="n"/>
      <c r="F424" s="30" t="n"/>
      <c r="G424" s="31" t="n"/>
      <c r="H424" s="31" t="n"/>
      <c r="I424" s="31" t="n"/>
      <c r="J424" s="31" t="n"/>
      <c r="K424" s="31" t="n"/>
      <c r="L424" s="31" t="n"/>
      <c r="M424" s="31" t="n"/>
      <c r="N424" s="31" t="n"/>
      <c r="O424" s="31" t="n"/>
      <c r="P424" s="31" t="n"/>
      <c r="Q424" s="31" t="n"/>
      <c r="R424" s="31" t="n"/>
      <c r="S424" s="32">
        <f>IF($F424="","",IF(IFERROR(VLOOKUP($F424,'维度字典'!$M$2:$N$50,2,0),"求和")="手工录入","",IF(IFERROR(VLOOKUP($F424,'维度字典'!$M$2:$N$50,2,0),"求和")="最新值",IFERROR(LOOKUP(9.99E+307,G424:R424),""),SUM(G424:R424))))</f>
        <v/>
      </c>
      <c r="T424" s="33" t="n"/>
    </row>
    <row r="425">
      <c r="A425" s="26">
        <f>IF($B425="","",ROW()-3)</f>
        <v/>
      </c>
      <c r="B425" s="27" t="n"/>
      <c r="C425" s="27" t="n"/>
      <c r="D425" s="28" t="n"/>
      <c r="E425" s="29" t="n"/>
      <c r="F425" s="30" t="n"/>
      <c r="G425" s="31" t="n"/>
      <c r="H425" s="31" t="n"/>
      <c r="I425" s="31" t="n"/>
      <c r="J425" s="31" t="n"/>
      <c r="K425" s="31" t="n"/>
      <c r="L425" s="31" t="n"/>
      <c r="M425" s="31" t="n"/>
      <c r="N425" s="31" t="n"/>
      <c r="O425" s="31" t="n"/>
      <c r="P425" s="31" t="n"/>
      <c r="Q425" s="31" t="n"/>
      <c r="R425" s="31" t="n"/>
      <c r="S425" s="32">
        <f>IF($F425="","",IF(IFERROR(VLOOKUP($F425,'维度字典'!$M$2:$N$50,2,0),"求和")="手工录入","",IF(IFERROR(VLOOKUP($F425,'维度字典'!$M$2:$N$50,2,0),"求和")="最新值",IFERROR(LOOKUP(9.99E+307,G425:R425),""),SUM(G425:R425))))</f>
        <v/>
      </c>
      <c r="T425" s="33" t="n"/>
    </row>
    <row r="426">
      <c r="A426" s="26">
        <f>IF($B426="","",ROW()-3)</f>
        <v/>
      </c>
      <c r="B426" s="27" t="n"/>
      <c r="C426" s="27" t="n"/>
      <c r="D426" s="28" t="n"/>
      <c r="E426" s="29" t="n"/>
      <c r="F426" s="30" t="n"/>
      <c r="G426" s="31" t="n"/>
      <c r="H426" s="31" t="n"/>
      <c r="I426" s="31" t="n"/>
      <c r="J426" s="31" t="n"/>
      <c r="K426" s="31" t="n"/>
      <c r="L426" s="31" t="n"/>
      <c r="M426" s="31" t="n"/>
      <c r="N426" s="31" t="n"/>
      <c r="O426" s="31" t="n"/>
      <c r="P426" s="31" t="n"/>
      <c r="Q426" s="31" t="n"/>
      <c r="R426" s="31" t="n"/>
      <c r="S426" s="32">
        <f>IF($F426="","",IF(IFERROR(VLOOKUP($F426,'维度字典'!$M$2:$N$50,2,0),"求和")="手工录入","",IF(IFERROR(VLOOKUP($F426,'维度字典'!$M$2:$N$50,2,0),"求和")="最新值",IFERROR(LOOKUP(9.99E+307,G426:R426),""),SUM(G426:R426))))</f>
        <v/>
      </c>
      <c r="T426" s="33" t="n"/>
    </row>
    <row r="427">
      <c r="A427" s="26">
        <f>IF($B427="","",ROW()-3)</f>
        <v/>
      </c>
      <c r="B427" s="27" t="n"/>
      <c r="C427" s="27" t="n"/>
      <c r="D427" s="28" t="n"/>
      <c r="E427" s="29" t="n"/>
      <c r="F427" s="30" t="n"/>
      <c r="G427" s="31" t="n"/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n"/>
      <c r="R427" s="31" t="n"/>
      <c r="S427" s="32">
        <f>IF($F427="","",IF(IFERROR(VLOOKUP($F427,'维度字典'!$M$2:$N$50,2,0),"求和")="手工录入","",IF(IFERROR(VLOOKUP($F427,'维度字典'!$M$2:$N$50,2,0),"求和")="最新值",IFERROR(LOOKUP(9.99E+307,G427:R427),""),SUM(G427:R427))))</f>
        <v/>
      </c>
      <c r="T427" s="33" t="n"/>
    </row>
    <row r="428">
      <c r="A428" s="26">
        <f>IF($B428="","",ROW()-3)</f>
        <v/>
      </c>
      <c r="B428" s="27" t="n"/>
      <c r="C428" s="27" t="n"/>
      <c r="D428" s="28" t="n"/>
      <c r="E428" s="29" t="n"/>
      <c r="F428" s="30" t="n"/>
      <c r="G428" s="31" t="n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n"/>
      <c r="R428" s="31" t="n"/>
      <c r="S428" s="32">
        <f>IF($F428="","",IF(IFERROR(VLOOKUP($F428,'维度字典'!$M$2:$N$50,2,0),"求和")="手工录入","",IF(IFERROR(VLOOKUP($F428,'维度字典'!$M$2:$N$50,2,0),"求和")="最新值",IFERROR(LOOKUP(9.99E+307,G428:R428),""),SUM(G428:R428))))</f>
        <v/>
      </c>
      <c r="T428" s="33" t="n"/>
    </row>
    <row r="429">
      <c r="A429" s="26">
        <f>IF($B429="","",ROW()-3)</f>
        <v/>
      </c>
      <c r="B429" s="27" t="n"/>
      <c r="C429" s="27" t="n"/>
      <c r="D429" s="28" t="n"/>
      <c r="E429" s="29" t="n"/>
      <c r="F429" s="30" t="n"/>
      <c r="G429" s="31" t="n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n"/>
      <c r="R429" s="31" t="n"/>
      <c r="S429" s="32">
        <f>IF($F429="","",IF(IFERROR(VLOOKUP($F429,'维度字典'!$M$2:$N$50,2,0),"求和")="手工录入","",IF(IFERROR(VLOOKUP($F429,'维度字典'!$M$2:$N$50,2,0),"求和")="最新值",IFERROR(LOOKUP(9.99E+307,G429:R429),""),SUM(G429:R429))))</f>
        <v/>
      </c>
      <c r="T429" s="33" t="n"/>
    </row>
    <row r="430">
      <c r="A430" s="26">
        <f>IF($B430="","",ROW()-3)</f>
        <v/>
      </c>
      <c r="B430" s="27" t="n"/>
      <c r="C430" s="27" t="n"/>
      <c r="D430" s="28" t="n"/>
      <c r="E430" s="29" t="n"/>
      <c r="F430" s="30" t="n"/>
      <c r="G430" s="31" t="n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n"/>
      <c r="R430" s="31" t="n"/>
      <c r="S430" s="32">
        <f>IF($F430="","",IF(IFERROR(VLOOKUP($F430,'维度字典'!$M$2:$N$50,2,0),"求和")="手工录入","",IF(IFERROR(VLOOKUP($F430,'维度字典'!$M$2:$N$50,2,0),"求和")="最新值",IFERROR(LOOKUP(9.99E+307,G430:R430),""),SUM(G430:R430))))</f>
        <v/>
      </c>
      <c r="T430" s="33" t="n"/>
    </row>
    <row r="431">
      <c r="A431" s="26">
        <f>IF($B431="","",ROW()-3)</f>
        <v/>
      </c>
      <c r="B431" s="27" t="n"/>
      <c r="C431" s="27" t="n"/>
      <c r="D431" s="28" t="n"/>
      <c r="E431" s="29" t="n"/>
      <c r="F431" s="30" t="n"/>
      <c r="G431" s="31" t="n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n"/>
      <c r="R431" s="31" t="n"/>
      <c r="S431" s="32">
        <f>IF($F431="","",IF(IFERROR(VLOOKUP($F431,'维度字典'!$M$2:$N$50,2,0),"求和")="手工录入","",IF(IFERROR(VLOOKUP($F431,'维度字典'!$M$2:$N$50,2,0),"求和")="最新值",IFERROR(LOOKUP(9.99E+307,G431:R431),""),SUM(G431:R431))))</f>
        <v/>
      </c>
      <c r="T431" s="33" t="n"/>
    </row>
    <row r="432">
      <c r="A432" s="26">
        <f>IF($B432="","",ROW()-3)</f>
        <v/>
      </c>
      <c r="B432" s="27" t="n"/>
      <c r="C432" s="27" t="n"/>
      <c r="D432" s="28" t="n"/>
      <c r="E432" s="29" t="n"/>
      <c r="F432" s="30" t="n"/>
      <c r="G432" s="31" t="n"/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n"/>
      <c r="R432" s="31" t="n"/>
      <c r="S432" s="32">
        <f>IF($F432="","",IF(IFERROR(VLOOKUP($F432,'维度字典'!$M$2:$N$50,2,0),"求和")="手工录入","",IF(IFERROR(VLOOKUP($F432,'维度字典'!$M$2:$N$50,2,0),"求和")="最新值",IFERROR(LOOKUP(9.99E+307,G432:R432),""),SUM(G432:R432))))</f>
        <v/>
      </c>
      <c r="T432" s="33" t="n"/>
    </row>
    <row r="433">
      <c r="A433" s="26">
        <f>IF($B433="","",ROW()-3)</f>
        <v/>
      </c>
      <c r="B433" s="27" t="n"/>
      <c r="C433" s="27" t="n"/>
      <c r="D433" s="28" t="n"/>
      <c r="E433" s="29" t="n"/>
      <c r="F433" s="30" t="n"/>
      <c r="G433" s="31" t="n"/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n"/>
      <c r="R433" s="31" t="n"/>
      <c r="S433" s="32">
        <f>IF($F433="","",IF(IFERROR(VLOOKUP($F433,'维度字典'!$M$2:$N$50,2,0),"求和")="手工录入","",IF(IFERROR(VLOOKUP($F433,'维度字典'!$M$2:$N$50,2,0),"求和")="最新值",IFERROR(LOOKUP(9.99E+307,G433:R433),""),SUM(G433:R433))))</f>
        <v/>
      </c>
      <c r="T433" s="33" t="n"/>
    </row>
    <row r="434">
      <c r="A434" s="26">
        <f>IF($B434="","",ROW()-3)</f>
        <v/>
      </c>
      <c r="B434" s="27" t="n"/>
      <c r="C434" s="27" t="n"/>
      <c r="D434" s="28" t="n"/>
      <c r="E434" s="29" t="n"/>
      <c r="F434" s="30" t="n"/>
      <c r="G434" s="31" t="n"/>
      <c r="H434" s="31" t="n"/>
      <c r="I434" s="31" t="n"/>
      <c r="J434" s="31" t="n"/>
      <c r="K434" s="31" t="n"/>
      <c r="L434" s="31" t="n"/>
      <c r="M434" s="31" t="n"/>
      <c r="N434" s="31" t="n"/>
      <c r="O434" s="31" t="n"/>
      <c r="P434" s="31" t="n"/>
      <c r="Q434" s="31" t="n"/>
      <c r="R434" s="31" t="n"/>
      <c r="S434" s="32">
        <f>IF($F434="","",IF(IFERROR(VLOOKUP($F434,'维度字典'!$M$2:$N$50,2,0),"求和")="手工录入","",IF(IFERROR(VLOOKUP($F434,'维度字典'!$M$2:$N$50,2,0),"求和")="最新值",IFERROR(LOOKUP(9.99E+307,G434:R434),""),SUM(G434:R434))))</f>
        <v/>
      </c>
      <c r="T434" s="33" t="n"/>
    </row>
    <row r="435">
      <c r="A435" s="26">
        <f>IF($B435="","",ROW()-3)</f>
        <v/>
      </c>
      <c r="B435" s="27" t="n"/>
      <c r="C435" s="27" t="n"/>
      <c r="D435" s="28" t="n"/>
      <c r="E435" s="29" t="n"/>
      <c r="F435" s="30" t="n"/>
      <c r="G435" s="31" t="n"/>
      <c r="H435" s="31" t="n"/>
      <c r="I435" s="31" t="n"/>
      <c r="J435" s="31" t="n"/>
      <c r="K435" s="31" t="n"/>
      <c r="L435" s="31" t="n"/>
      <c r="M435" s="31" t="n"/>
      <c r="N435" s="31" t="n"/>
      <c r="O435" s="31" t="n"/>
      <c r="P435" s="31" t="n"/>
      <c r="Q435" s="31" t="n"/>
      <c r="R435" s="31" t="n"/>
      <c r="S435" s="32">
        <f>IF($F435="","",IF(IFERROR(VLOOKUP($F435,'维度字典'!$M$2:$N$50,2,0),"求和")="手工录入","",IF(IFERROR(VLOOKUP($F435,'维度字典'!$M$2:$N$50,2,0),"求和")="最新值",IFERROR(LOOKUP(9.99E+307,G435:R435),""),SUM(G435:R435))))</f>
        <v/>
      </c>
      <c r="T435" s="33" t="n"/>
    </row>
    <row r="436">
      <c r="A436" s="26">
        <f>IF($B436="","",ROW()-3)</f>
        <v/>
      </c>
      <c r="B436" s="27" t="n"/>
      <c r="C436" s="27" t="n"/>
      <c r="D436" s="28" t="n"/>
      <c r="E436" s="29" t="n"/>
      <c r="F436" s="30" t="n"/>
      <c r="G436" s="31" t="n"/>
      <c r="H436" s="31" t="n"/>
      <c r="I436" s="31" t="n"/>
      <c r="J436" s="31" t="n"/>
      <c r="K436" s="31" t="n"/>
      <c r="L436" s="31" t="n"/>
      <c r="M436" s="31" t="n"/>
      <c r="N436" s="31" t="n"/>
      <c r="O436" s="31" t="n"/>
      <c r="P436" s="31" t="n"/>
      <c r="Q436" s="31" t="n"/>
      <c r="R436" s="31" t="n"/>
      <c r="S436" s="32">
        <f>IF($F436="","",IF(IFERROR(VLOOKUP($F436,'维度字典'!$M$2:$N$50,2,0),"求和")="手工录入","",IF(IFERROR(VLOOKUP($F436,'维度字典'!$M$2:$N$50,2,0),"求和")="最新值",IFERROR(LOOKUP(9.99E+307,G436:R436),""),SUM(G436:R436))))</f>
        <v/>
      </c>
      <c r="T436" s="33" t="n"/>
    </row>
    <row r="437">
      <c r="A437" s="26">
        <f>IF($B437="","",ROW()-3)</f>
        <v/>
      </c>
      <c r="B437" s="27" t="n"/>
      <c r="C437" s="27" t="n"/>
      <c r="D437" s="28" t="n"/>
      <c r="E437" s="29" t="n"/>
      <c r="F437" s="30" t="n"/>
      <c r="G437" s="31" t="n"/>
      <c r="H437" s="31" t="n"/>
      <c r="I437" s="31" t="n"/>
      <c r="J437" s="31" t="n"/>
      <c r="K437" s="31" t="n"/>
      <c r="L437" s="31" t="n"/>
      <c r="M437" s="31" t="n"/>
      <c r="N437" s="31" t="n"/>
      <c r="O437" s="31" t="n"/>
      <c r="P437" s="31" t="n"/>
      <c r="Q437" s="31" t="n"/>
      <c r="R437" s="31" t="n"/>
      <c r="S437" s="32">
        <f>IF($F437="","",IF(IFERROR(VLOOKUP($F437,'维度字典'!$M$2:$N$50,2,0),"求和")="手工录入","",IF(IFERROR(VLOOKUP($F437,'维度字典'!$M$2:$N$50,2,0),"求和")="最新值",IFERROR(LOOKUP(9.99E+307,G437:R437),""),SUM(G437:R437))))</f>
        <v/>
      </c>
      <c r="T437" s="33" t="n"/>
    </row>
    <row r="438">
      <c r="A438" s="26">
        <f>IF($B438="","",ROW()-3)</f>
        <v/>
      </c>
      <c r="B438" s="27" t="n"/>
      <c r="C438" s="27" t="n"/>
      <c r="D438" s="28" t="n"/>
      <c r="E438" s="29" t="n"/>
      <c r="F438" s="30" t="n"/>
      <c r="G438" s="31" t="n"/>
      <c r="H438" s="31" t="n"/>
      <c r="I438" s="31" t="n"/>
      <c r="J438" s="31" t="n"/>
      <c r="K438" s="31" t="n"/>
      <c r="L438" s="31" t="n"/>
      <c r="M438" s="31" t="n"/>
      <c r="N438" s="31" t="n"/>
      <c r="O438" s="31" t="n"/>
      <c r="P438" s="31" t="n"/>
      <c r="Q438" s="31" t="n"/>
      <c r="R438" s="31" t="n"/>
      <c r="S438" s="32">
        <f>IF($F438="","",IF(IFERROR(VLOOKUP($F438,'维度字典'!$M$2:$N$50,2,0),"求和")="手工录入","",IF(IFERROR(VLOOKUP($F438,'维度字典'!$M$2:$N$50,2,0),"求和")="最新值",IFERROR(LOOKUP(9.99E+307,G438:R438),""),SUM(G438:R438))))</f>
        <v/>
      </c>
      <c r="T438" s="33" t="n"/>
    </row>
    <row r="439">
      <c r="A439" s="26">
        <f>IF($B439="","",ROW()-3)</f>
        <v/>
      </c>
      <c r="B439" s="27" t="n"/>
      <c r="C439" s="27" t="n"/>
      <c r="D439" s="28" t="n"/>
      <c r="E439" s="29" t="n"/>
      <c r="F439" s="30" t="n"/>
      <c r="G439" s="31" t="n"/>
      <c r="H439" s="31" t="n"/>
      <c r="I439" s="31" t="n"/>
      <c r="J439" s="31" t="n"/>
      <c r="K439" s="31" t="n"/>
      <c r="L439" s="31" t="n"/>
      <c r="M439" s="31" t="n"/>
      <c r="N439" s="31" t="n"/>
      <c r="O439" s="31" t="n"/>
      <c r="P439" s="31" t="n"/>
      <c r="Q439" s="31" t="n"/>
      <c r="R439" s="31" t="n"/>
      <c r="S439" s="32">
        <f>IF($F439="","",IF(IFERROR(VLOOKUP($F439,'维度字典'!$M$2:$N$50,2,0),"求和")="手工录入","",IF(IFERROR(VLOOKUP($F439,'维度字典'!$M$2:$N$50,2,0),"求和")="最新值",IFERROR(LOOKUP(9.99E+307,G439:R439),""),SUM(G439:R439))))</f>
        <v/>
      </c>
      <c r="T439" s="33" t="n"/>
    </row>
    <row r="440">
      <c r="A440" s="26">
        <f>IF($B440="","",ROW()-3)</f>
        <v/>
      </c>
      <c r="B440" s="27" t="n"/>
      <c r="C440" s="27" t="n"/>
      <c r="D440" s="28" t="n"/>
      <c r="E440" s="29" t="n"/>
      <c r="F440" s="30" t="n"/>
      <c r="G440" s="31" t="n"/>
      <c r="H440" s="31" t="n"/>
      <c r="I440" s="31" t="n"/>
      <c r="J440" s="31" t="n"/>
      <c r="K440" s="31" t="n"/>
      <c r="L440" s="31" t="n"/>
      <c r="M440" s="31" t="n"/>
      <c r="N440" s="31" t="n"/>
      <c r="O440" s="31" t="n"/>
      <c r="P440" s="31" t="n"/>
      <c r="Q440" s="31" t="n"/>
      <c r="R440" s="31" t="n"/>
      <c r="S440" s="32">
        <f>IF($F440="","",IF(IFERROR(VLOOKUP($F440,'维度字典'!$M$2:$N$50,2,0),"求和")="手工录入","",IF(IFERROR(VLOOKUP($F440,'维度字典'!$M$2:$N$50,2,0),"求和")="最新值",IFERROR(LOOKUP(9.99E+307,G440:R440),""),SUM(G440:R440))))</f>
        <v/>
      </c>
      <c r="T440" s="33" t="n"/>
    </row>
    <row r="441">
      <c r="A441" s="26">
        <f>IF($B441="","",ROW()-3)</f>
        <v/>
      </c>
      <c r="B441" s="27" t="n"/>
      <c r="C441" s="27" t="n"/>
      <c r="D441" s="28" t="n"/>
      <c r="E441" s="29" t="n"/>
      <c r="F441" s="30" t="n"/>
      <c r="G441" s="31" t="n"/>
      <c r="H441" s="31" t="n"/>
      <c r="I441" s="31" t="n"/>
      <c r="J441" s="31" t="n"/>
      <c r="K441" s="31" t="n"/>
      <c r="L441" s="31" t="n"/>
      <c r="M441" s="31" t="n"/>
      <c r="N441" s="31" t="n"/>
      <c r="O441" s="31" t="n"/>
      <c r="P441" s="31" t="n"/>
      <c r="Q441" s="31" t="n"/>
      <c r="R441" s="31" t="n"/>
      <c r="S441" s="32">
        <f>IF($F441="","",IF(IFERROR(VLOOKUP($F441,'维度字典'!$M$2:$N$50,2,0),"求和")="手工录入","",IF(IFERROR(VLOOKUP($F441,'维度字典'!$M$2:$N$50,2,0),"求和")="最新值",IFERROR(LOOKUP(9.99E+307,G441:R441),""),SUM(G441:R441))))</f>
        <v/>
      </c>
      <c r="T441" s="33" t="n"/>
    </row>
    <row r="442">
      <c r="A442" s="26">
        <f>IF($B442="","",ROW()-3)</f>
        <v/>
      </c>
      <c r="B442" s="27" t="n"/>
      <c r="C442" s="27" t="n"/>
      <c r="D442" s="28" t="n"/>
      <c r="E442" s="29" t="n"/>
      <c r="F442" s="30" t="n"/>
      <c r="G442" s="31" t="n"/>
      <c r="H442" s="31" t="n"/>
      <c r="I442" s="31" t="n"/>
      <c r="J442" s="31" t="n"/>
      <c r="K442" s="31" t="n"/>
      <c r="L442" s="31" t="n"/>
      <c r="M442" s="31" t="n"/>
      <c r="N442" s="31" t="n"/>
      <c r="O442" s="31" t="n"/>
      <c r="P442" s="31" t="n"/>
      <c r="Q442" s="31" t="n"/>
      <c r="R442" s="31" t="n"/>
      <c r="S442" s="32">
        <f>IF($F442="","",IF(IFERROR(VLOOKUP($F442,'维度字典'!$M$2:$N$50,2,0),"求和")="手工录入","",IF(IFERROR(VLOOKUP($F442,'维度字典'!$M$2:$N$50,2,0),"求和")="最新值",IFERROR(LOOKUP(9.99E+307,G442:R442),""),SUM(G442:R442))))</f>
        <v/>
      </c>
      <c r="T442" s="33" t="n"/>
    </row>
    <row r="443">
      <c r="A443" s="26">
        <f>IF($B443="","",ROW()-3)</f>
        <v/>
      </c>
      <c r="B443" s="27" t="n"/>
      <c r="C443" s="27" t="n"/>
      <c r="D443" s="28" t="n"/>
      <c r="E443" s="29" t="n"/>
      <c r="F443" s="30" t="n"/>
      <c r="G443" s="31" t="n"/>
      <c r="H443" s="31" t="n"/>
      <c r="I443" s="31" t="n"/>
      <c r="J443" s="31" t="n"/>
      <c r="K443" s="31" t="n"/>
      <c r="L443" s="31" t="n"/>
      <c r="M443" s="31" t="n"/>
      <c r="N443" s="31" t="n"/>
      <c r="O443" s="31" t="n"/>
      <c r="P443" s="31" t="n"/>
      <c r="Q443" s="31" t="n"/>
      <c r="R443" s="31" t="n"/>
      <c r="S443" s="32">
        <f>IF($F443="","",IF(IFERROR(VLOOKUP($F443,'维度字典'!$M$2:$N$50,2,0),"求和")="手工录入","",IF(IFERROR(VLOOKUP($F443,'维度字典'!$M$2:$N$50,2,0),"求和")="最新值",IFERROR(LOOKUP(9.99E+307,G443:R443),""),SUM(G443:R443))))</f>
        <v/>
      </c>
      <c r="T443" s="33" t="n"/>
    </row>
    <row r="444">
      <c r="A444" s="26">
        <f>IF($B444="","",ROW()-3)</f>
        <v/>
      </c>
      <c r="B444" s="27" t="n"/>
      <c r="C444" s="27" t="n"/>
      <c r="D444" s="28" t="n"/>
      <c r="E444" s="29" t="n"/>
      <c r="F444" s="30" t="n"/>
      <c r="G444" s="31" t="n"/>
      <c r="H444" s="31" t="n"/>
      <c r="I444" s="31" t="n"/>
      <c r="J444" s="31" t="n"/>
      <c r="K444" s="31" t="n"/>
      <c r="L444" s="31" t="n"/>
      <c r="M444" s="31" t="n"/>
      <c r="N444" s="31" t="n"/>
      <c r="O444" s="31" t="n"/>
      <c r="P444" s="31" t="n"/>
      <c r="Q444" s="31" t="n"/>
      <c r="R444" s="31" t="n"/>
      <c r="S444" s="32">
        <f>IF($F444="","",IF(IFERROR(VLOOKUP($F444,'维度字典'!$M$2:$N$50,2,0),"求和")="手工录入","",IF(IFERROR(VLOOKUP($F444,'维度字典'!$M$2:$N$50,2,0),"求和")="最新值",IFERROR(LOOKUP(9.99E+307,G444:R444),""),SUM(G444:R444))))</f>
        <v/>
      </c>
      <c r="T444" s="33" t="n"/>
    </row>
    <row r="445">
      <c r="A445" s="26">
        <f>IF($B445="","",ROW()-3)</f>
        <v/>
      </c>
      <c r="B445" s="27" t="n"/>
      <c r="C445" s="27" t="n"/>
      <c r="D445" s="28" t="n"/>
      <c r="E445" s="29" t="n"/>
      <c r="F445" s="30" t="n"/>
      <c r="G445" s="31" t="n"/>
      <c r="H445" s="31" t="n"/>
      <c r="I445" s="31" t="n"/>
      <c r="J445" s="31" t="n"/>
      <c r="K445" s="31" t="n"/>
      <c r="L445" s="31" t="n"/>
      <c r="M445" s="31" t="n"/>
      <c r="N445" s="31" t="n"/>
      <c r="O445" s="31" t="n"/>
      <c r="P445" s="31" t="n"/>
      <c r="Q445" s="31" t="n"/>
      <c r="R445" s="31" t="n"/>
      <c r="S445" s="32">
        <f>IF($F445="","",IF(IFERROR(VLOOKUP($F445,'维度字典'!$M$2:$N$50,2,0),"求和")="手工录入","",IF(IFERROR(VLOOKUP($F445,'维度字典'!$M$2:$N$50,2,0),"求和")="最新值",IFERROR(LOOKUP(9.99E+307,G445:R445),""),SUM(G445:R445))))</f>
        <v/>
      </c>
      <c r="T445" s="33" t="n"/>
    </row>
    <row r="446">
      <c r="A446" s="26">
        <f>IF($B446="","",ROW()-3)</f>
        <v/>
      </c>
      <c r="B446" s="27" t="n"/>
      <c r="C446" s="27" t="n"/>
      <c r="D446" s="28" t="n"/>
      <c r="E446" s="29" t="n"/>
      <c r="F446" s="30" t="n"/>
      <c r="G446" s="31" t="n"/>
      <c r="H446" s="31" t="n"/>
      <c r="I446" s="31" t="n"/>
      <c r="J446" s="31" t="n"/>
      <c r="K446" s="31" t="n"/>
      <c r="L446" s="31" t="n"/>
      <c r="M446" s="31" t="n"/>
      <c r="N446" s="31" t="n"/>
      <c r="O446" s="31" t="n"/>
      <c r="P446" s="31" t="n"/>
      <c r="Q446" s="31" t="n"/>
      <c r="R446" s="31" t="n"/>
      <c r="S446" s="32">
        <f>IF($F446="","",IF(IFERROR(VLOOKUP($F446,'维度字典'!$M$2:$N$50,2,0),"求和")="手工录入","",IF(IFERROR(VLOOKUP($F446,'维度字典'!$M$2:$N$50,2,0),"求和")="最新值",IFERROR(LOOKUP(9.99E+307,G446:R446),""),SUM(G446:R446))))</f>
        <v/>
      </c>
      <c r="T446" s="33" t="n"/>
    </row>
    <row r="447">
      <c r="A447" s="26">
        <f>IF($B447="","",ROW()-3)</f>
        <v/>
      </c>
      <c r="B447" s="27" t="n"/>
      <c r="C447" s="27" t="n"/>
      <c r="D447" s="28" t="n"/>
      <c r="E447" s="29" t="n"/>
      <c r="F447" s="30" t="n"/>
      <c r="G447" s="31" t="n"/>
      <c r="H447" s="31" t="n"/>
      <c r="I447" s="31" t="n"/>
      <c r="J447" s="31" t="n"/>
      <c r="K447" s="31" t="n"/>
      <c r="L447" s="31" t="n"/>
      <c r="M447" s="31" t="n"/>
      <c r="N447" s="31" t="n"/>
      <c r="O447" s="31" t="n"/>
      <c r="P447" s="31" t="n"/>
      <c r="Q447" s="31" t="n"/>
      <c r="R447" s="31" t="n"/>
      <c r="S447" s="32">
        <f>IF($F447="","",IF(IFERROR(VLOOKUP($F447,'维度字典'!$M$2:$N$50,2,0),"求和")="手工录入","",IF(IFERROR(VLOOKUP($F447,'维度字典'!$M$2:$N$50,2,0),"求和")="最新值",IFERROR(LOOKUP(9.99E+307,G447:R447),""),SUM(G447:R447))))</f>
        <v/>
      </c>
      <c r="T447" s="33" t="n"/>
    </row>
    <row r="448">
      <c r="A448" s="26">
        <f>IF($B448="","",ROW()-3)</f>
        <v/>
      </c>
      <c r="B448" s="27" t="n"/>
      <c r="C448" s="27" t="n"/>
      <c r="D448" s="28" t="n"/>
      <c r="E448" s="29" t="n"/>
      <c r="F448" s="30" t="n"/>
      <c r="G448" s="31" t="n"/>
      <c r="H448" s="31" t="n"/>
      <c r="I448" s="31" t="n"/>
      <c r="J448" s="31" t="n"/>
      <c r="K448" s="31" t="n"/>
      <c r="L448" s="31" t="n"/>
      <c r="M448" s="31" t="n"/>
      <c r="N448" s="31" t="n"/>
      <c r="O448" s="31" t="n"/>
      <c r="P448" s="31" t="n"/>
      <c r="Q448" s="31" t="n"/>
      <c r="R448" s="31" t="n"/>
      <c r="S448" s="32">
        <f>IF($F448="","",IF(IFERROR(VLOOKUP($F448,'维度字典'!$M$2:$N$50,2,0),"求和")="手工录入","",IF(IFERROR(VLOOKUP($F448,'维度字典'!$M$2:$N$50,2,0),"求和")="最新值",IFERROR(LOOKUP(9.99E+307,G448:R448),""),SUM(G448:R448))))</f>
        <v/>
      </c>
      <c r="T448" s="33" t="n"/>
    </row>
    <row r="449">
      <c r="A449" s="26">
        <f>IF($B449="","",ROW()-3)</f>
        <v/>
      </c>
      <c r="B449" s="27" t="n"/>
      <c r="C449" s="27" t="n"/>
      <c r="D449" s="28" t="n"/>
      <c r="E449" s="29" t="n"/>
      <c r="F449" s="30" t="n"/>
      <c r="G449" s="31" t="n"/>
      <c r="H449" s="31" t="n"/>
      <c r="I449" s="31" t="n"/>
      <c r="J449" s="31" t="n"/>
      <c r="K449" s="31" t="n"/>
      <c r="L449" s="31" t="n"/>
      <c r="M449" s="31" t="n"/>
      <c r="N449" s="31" t="n"/>
      <c r="O449" s="31" t="n"/>
      <c r="P449" s="31" t="n"/>
      <c r="Q449" s="31" t="n"/>
      <c r="R449" s="31" t="n"/>
      <c r="S449" s="32">
        <f>IF($F449="","",IF(IFERROR(VLOOKUP($F449,'维度字典'!$M$2:$N$50,2,0),"求和")="手工录入","",IF(IFERROR(VLOOKUP($F449,'维度字典'!$M$2:$N$50,2,0),"求和")="最新值",IFERROR(LOOKUP(9.99E+307,G449:R449),""),SUM(G449:R449))))</f>
        <v/>
      </c>
      <c r="T449" s="33" t="n"/>
    </row>
    <row r="450">
      <c r="A450" s="26">
        <f>IF($B450="","",ROW()-3)</f>
        <v/>
      </c>
      <c r="B450" s="27" t="n"/>
      <c r="C450" s="27" t="n"/>
      <c r="D450" s="28" t="n"/>
      <c r="E450" s="29" t="n"/>
      <c r="F450" s="30" t="n"/>
      <c r="G450" s="31" t="n"/>
      <c r="H450" s="31" t="n"/>
      <c r="I450" s="31" t="n"/>
      <c r="J450" s="31" t="n"/>
      <c r="K450" s="31" t="n"/>
      <c r="L450" s="31" t="n"/>
      <c r="M450" s="31" t="n"/>
      <c r="N450" s="31" t="n"/>
      <c r="O450" s="31" t="n"/>
      <c r="P450" s="31" t="n"/>
      <c r="Q450" s="31" t="n"/>
      <c r="R450" s="31" t="n"/>
      <c r="S450" s="32">
        <f>IF($F450="","",IF(IFERROR(VLOOKUP($F450,'维度字典'!$M$2:$N$50,2,0),"求和")="手工录入","",IF(IFERROR(VLOOKUP($F450,'维度字典'!$M$2:$N$50,2,0),"求和")="最新值",IFERROR(LOOKUP(9.99E+307,G450:R450),""),SUM(G450:R450))))</f>
        <v/>
      </c>
      <c r="T450" s="33" t="n"/>
    </row>
    <row r="451">
      <c r="A451" s="26">
        <f>IF($B451="","",ROW()-3)</f>
        <v/>
      </c>
      <c r="B451" s="27" t="n"/>
      <c r="C451" s="27" t="n"/>
      <c r="D451" s="28" t="n"/>
      <c r="E451" s="29" t="n"/>
      <c r="F451" s="30" t="n"/>
      <c r="G451" s="31" t="n"/>
      <c r="H451" s="31" t="n"/>
      <c r="I451" s="31" t="n"/>
      <c r="J451" s="31" t="n"/>
      <c r="K451" s="31" t="n"/>
      <c r="L451" s="31" t="n"/>
      <c r="M451" s="31" t="n"/>
      <c r="N451" s="31" t="n"/>
      <c r="O451" s="31" t="n"/>
      <c r="P451" s="31" t="n"/>
      <c r="Q451" s="31" t="n"/>
      <c r="R451" s="31" t="n"/>
      <c r="S451" s="32">
        <f>IF($F451="","",IF(IFERROR(VLOOKUP($F451,'维度字典'!$M$2:$N$50,2,0),"求和")="手工录入","",IF(IFERROR(VLOOKUP($F451,'维度字典'!$M$2:$N$50,2,0),"求和")="最新值",IFERROR(LOOKUP(9.99E+307,G451:R451),""),SUM(G451:R451))))</f>
        <v/>
      </c>
      <c r="T451" s="33" t="n"/>
    </row>
    <row r="452">
      <c r="A452" s="26">
        <f>IF($B452="","",ROW()-3)</f>
        <v/>
      </c>
      <c r="B452" s="27" t="n"/>
      <c r="C452" s="27" t="n"/>
      <c r="D452" s="28" t="n"/>
      <c r="E452" s="29" t="n"/>
      <c r="F452" s="30" t="n"/>
      <c r="G452" s="31" t="n"/>
      <c r="H452" s="31" t="n"/>
      <c r="I452" s="31" t="n"/>
      <c r="J452" s="31" t="n"/>
      <c r="K452" s="31" t="n"/>
      <c r="L452" s="31" t="n"/>
      <c r="M452" s="31" t="n"/>
      <c r="N452" s="31" t="n"/>
      <c r="O452" s="31" t="n"/>
      <c r="P452" s="31" t="n"/>
      <c r="Q452" s="31" t="n"/>
      <c r="R452" s="31" t="n"/>
      <c r="S452" s="32">
        <f>IF($F452="","",IF(IFERROR(VLOOKUP($F452,'维度字典'!$M$2:$N$50,2,0),"求和")="手工录入","",IF(IFERROR(VLOOKUP($F452,'维度字典'!$M$2:$N$50,2,0),"求和")="最新值",IFERROR(LOOKUP(9.99E+307,G452:R452),""),SUM(G452:R452))))</f>
        <v/>
      </c>
      <c r="T452" s="33" t="n"/>
    </row>
    <row r="453">
      <c r="A453" s="26">
        <f>IF($B453="","",ROW()-3)</f>
        <v/>
      </c>
      <c r="B453" s="27" t="n"/>
      <c r="C453" s="27" t="n"/>
      <c r="D453" s="28" t="n"/>
      <c r="E453" s="29" t="n"/>
      <c r="F453" s="30" t="n"/>
      <c r="G453" s="31" t="n"/>
      <c r="H453" s="31" t="n"/>
      <c r="I453" s="31" t="n"/>
      <c r="J453" s="31" t="n"/>
      <c r="K453" s="31" t="n"/>
      <c r="L453" s="31" t="n"/>
      <c r="M453" s="31" t="n"/>
      <c r="N453" s="31" t="n"/>
      <c r="O453" s="31" t="n"/>
      <c r="P453" s="31" t="n"/>
      <c r="Q453" s="31" t="n"/>
      <c r="R453" s="31" t="n"/>
      <c r="S453" s="32">
        <f>IF($F453="","",IF(IFERROR(VLOOKUP($F453,'维度字典'!$M$2:$N$50,2,0),"求和")="手工录入","",IF(IFERROR(VLOOKUP($F453,'维度字典'!$M$2:$N$50,2,0),"求和")="最新值",IFERROR(LOOKUP(9.99E+307,G453:R453),""),SUM(G453:R453))))</f>
        <v/>
      </c>
      <c r="T453" s="33" t="n"/>
    </row>
    <row r="454">
      <c r="A454" s="26">
        <f>IF($B454="","",ROW()-3)</f>
        <v/>
      </c>
      <c r="B454" s="27" t="n"/>
      <c r="C454" s="27" t="n"/>
      <c r="D454" s="28" t="n"/>
      <c r="E454" s="29" t="n"/>
      <c r="F454" s="30" t="n"/>
      <c r="G454" s="31" t="n"/>
      <c r="H454" s="31" t="n"/>
      <c r="I454" s="31" t="n"/>
      <c r="J454" s="31" t="n"/>
      <c r="K454" s="31" t="n"/>
      <c r="L454" s="31" t="n"/>
      <c r="M454" s="31" t="n"/>
      <c r="N454" s="31" t="n"/>
      <c r="O454" s="31" t="n"/>
      <c r="P454" s="31" t="n"/>
      <c r="Q454" s="31" t="n"/>
      <c r="R454" s="31" t="n"/>
      <c r="S454" s="32">
        <f>IF($F454="","",IF(IFERROR(VLOOKUP($F454,'维度字典'!$M$2:$N$50,2,0),"求和")="手工录入","",IF(IFERROR(VLOOKUP($F454,'维度字典'!$M$2:$N$50,2,0),"求和")="最新值",IFERROR(LOOKUP(9.99E+307,G454:R454),""),SUM(G454:R454))))</f>
        <v/>
      </c>
      <c r="T454" s="33" t="n"/>
    </row>
    <row r="455">
      <c r="A455" s="26">
        <f>IF($B455="","",ROW()-3)</f>
        <v/>
      </c>
      <c r="B455" s="27" t="n"/>
      <c r="C455" s="27" t="n"/>
      <c r="D455" s="28" t="n"/>
      <c r="E455" s="29" t="n"/>
      <c r="F455" s="30" t="n"/>
      <c r="G455" s="31" t="n"/>
      <c r="H455" s="31" t="n"/>
      <c r="I455" s="31" t="n"/>
      <c r="J455" s="31" t="n"/>
      <c r="K455" s="31" t="n"/>
      <c r="L455" s="31" t="n"/>
      <c r="M455" s="31" t="n"/>
      <c r="N455" s="31" t="n"/>
      <c r="O455" s="31" t="n"/>
      <c r="P455" s="31" t="n"/>
      <c r="Q455" s="31" t="n"/>
      <c r="R455" s="31" t="n"/>
      <c r="S455" s="32">
        <f>IF($F455="","",IF(IFERROR(VLOOKUP($F455,'维度字典'!$M$2:$N$50,2,0),"求和")="手工录入","",IF(IFERROR(VLOOKUP($F455,'维度字典'!$M$2:$N$50,2,0),"求和")="最新值",IFERROR(LOOKUP(9.99E+307,G455:R455),""),SUM(G455:R455))))</f>
        <v/>
      </c>
      <c r="T455" s="33" t="n"/>
    </row>
    <row r="456">
      <c r="A456" s="26">
        <f>IF($B456="","",ROW()-3)</f>
        <v/>
      </c>
      <c r="B456" s="27" t="n"/>
      <c r="C456" s="27" t="n"/>
      <c r="D456" s="28" t="n"/>
      <c r="E456" s="29" t="n"/>
      <c r="F456" s="30" t="n"/>
      <c r="G456" s="31" t="n"/>
      <c r="H456" s="31" t="n"/>
      <c r="I456" s="31" t="n"/>
      <c r="J456" s="31" t="n"/>
      <c r="K456" s="31" t="n"/>
      <c r="L456" s="31" t="n"/>
      <c r="M456" s="31" t="n"/>
      <c r="N456" s="31" t="n"/>
      <c r="O456" s="31" t="n"/>
      <c r="P456" s="31" t="n"/>
      <c r="Q456" s="31" t="n"/>
      <c r="R456" s="31" t="n"/>
      <c r="S456" s="32">
        <f>IF($F456="","",IF(IFERROR(VLOOKUP($F456,'维度字典'!$M$2:$N$50,2,0),"求和")="手工录入","",IF(IFERROR(VLOOKUP($F456,'维度字典'!$M$2:$N$50,2,0),"求和")="最新值",IFERROR(LOOKUP(9.99E+307,G456:R456),""),SUM(G456:R456))))</f>
        <v/>
      </c>
      <c r="T456" s="33" t="n"/>
    </row>
    <row r="457">
      <c r="A457" s="26">
        <f>IF($B457="","",ROW()-3)</f>
        <v/>
      </c>
      <c r="B457" s="27" t="n"/>
      <c r="C457" s="27" t="n"/>
      <c r="D457" s="28" t="n"/>
      <c r="E457" s="29" t="n"/>
      <c r="F457" s="30" t="n"/>
      <c r="G457" s="31" t="n"/>
      <c r="H457" s="31" t="n"/>
      <c r="I457" s="31" t="n"/>
      <c r="J457" s="31" t="n"/>
      <c r="K457" s="31" t="n"/>
      <c r="L457" s="31" t="n"/>
      <c r="M457" s="31" t="n"/>
      <c r="N457" s="31" t="n"/>
      <c r="O457" s="31" t="n"/>
      <c r="P457" s="31" t="n"/>
      <c r="Q457" s="31" t="n"/>
      <c r="R457" s="31" t="n"/>
      <c r="S457" s="32">
        <f>IF($F457="","",IF(IFERROR(VLOOKUP($F457,'维度字典'!$M$2:$N$50,2,0),"求和")="手工录入","",IF(IFERROR(VLOOKUP($F457,'维度字典'!$M$2:$N$50,2,0),"求和")="最新值",IFERROR(LOOKUP(9.99E+307,G457:R457),""),SUM(G457:R457))))</f>
        <v/>
      </c>
      <c r="T457" s="33" t="n"/>
    </row>
    <row r="458">
      <c r="A458" s="26">
        <f>IF($B458="","",ROW()-3)</f>
        <v/>
      </c>
      <c r="B458" s="27" t="n"/>
      <c r="C458" s="27" t="n"/>
      <c r="D458" s="28" t="n"/>
      <c r="E458" s="29" t="n"/>
      <c r="F458" s="30" t="n"/>
      <c r="G458" s="31" t="n"/>
      <c r="H458" s="31" t="n"/>
      <c r="I458" s="31" t="n"/>
      <c r="J458" s="31" t="n"/>
      <c r="K458" s="31" t="n"/>
      <c r="L458" s="31" t="n"/>
      <c r="M458" s="31" t="n"/>
      <c r="N458" s="31" t="n"/>
      <c r="O458" s="31" t="n"/>
      <c r="P458" s="31" t="n"/>
      <c r="Q458" s="31" t="n"/>
      <c r="R458" s="31" t="n"/>
      <c r="S458" s="32">
        <f>IF($F458="","",IF(IFERROR(VLOOKUP($F458,'维度字典'!$M$2:$N$50,2,0),"求和")="手工录入","",IF(IFERROR(VLOOKUP($F458,'维度字典'!$M$2:$N$50,2,0),"求和")="最新值",IFERROR(LOOKUP(9.99E+307,G458:R458),""),SUM(G458:R458))))</f>
        <v/>
      </c>
      <c r="T458" s="33" t="n"/>
    </row>
    <row r="459">
      <c r="A459" s="26">
        <f>IF($B459="","",ROW()-3)</f>
        <v/>
      </c>
      <c r="B459" s="27" t="n"/>
      <c r="C459" s="27" t="n"/>
      <c r="D459" s="28" t="n"/>
      <c r="E459" s="29" t="n"/>
      <c r="F459" s="30" t="n"/>
      <c r="G459" s="31" t="n"/>
      <c r="H459" s="31" t="n"/>
      <c r="I459" s="31" t="n"/>
      <c r="J459" s="31" t="n"/>
      <c r="K459" s="31" t="n"/>
      <c r="L459" s="31" t="n"/>
      <c r="M459" s="31" t="n"/>
      <c r="N459" s="31" t="n"/>
      <c r="O459" s="31" t="n"/>
      <c r="P459" s="31" t="n"/>
      <c r="Q459" s="31" t="n"/>
      <c r="R459" s="31" t="n"/>
      <c r="S459" s="32">
        <f>IF($F459="","",IF(IFERROR(VLOOKUP($F459,'维度字典'!$M$2:$N$50,2,0),"求和")="手工录入","",IF(IFERROR(VLOOKUP($F459,'维度字典'!$M$2:$N$50,2,0),"求和")="最新值",IFERROR(LOOKUP(9.99E+307,G459:R459),""),SUM(G459:R459))))</f>
        <v/>
      </c>
      <c r="T459" s="33" t="n"/>
    </row>
    <row r="460">
      <c r="A460" s="26">
        <f>IF($B460="","",ROW()-3)</f>
        <v/>
      </c>
      <c r="B460" s="27" t="n"/>
      <c r="C460" s="27" t="n"/>
      <c r="D460" s="28" t="n"/>
      <c r="E460" s="29" t="n"/>
      <c r="F460" s="30" t="n"/>
      <c r="G460" s="31" t="n"/>
      <c r="H460" s="31" t="n"/>
      <c r="I460" s="31" t="n"/>
      <c r="J460" s="31" t="n"/>
      <c r="K460" s="31" t="n"/>
      <c r="L460" s="31" t="n"/>
      <c r="M460" s="31" t="n"/>
      <c r="N460" s="31" t="n"/>
      <c r="O460" s="31" t="n"/>
      <c r="P460" s="31" t="n"/>
      <c r="Q460" s="31" t="n"/>
      <c r="R460" s="31" t="n"/>
      <c r="S460" s="32">
        <f>IF($F460="","",IF(IFERROR(VLOOKUP($F460,'维度字典'!$M$2:$N$50,2,0),"求和")="手工录入","",IF(IFERROR(VLOOKUP($F460,'维度字典'!$M$2:$N$50,2,0),"求和")="最新值",IFERROR(LOOKUP(9.99E+307,G460:R460),""),SUM(G460:R460))))</f>
        <v/>
      </c>
      <c r="T460" s="33" t="n"/>
    </row>
    <row r="461">
      <c r="A461" s="26">
        <f>IF($B461="","",ROW()-3)</f>
        <v/>
      </c>
      <c r="B461" s="27" t="n"/>
      <c r="C461" s="27" t="n"/>
      <c r="D461" s="28" t="n"/>
      <c r="E461" s="29" t="n"/>
      <c r="F461" s="30" t="n"/>
      <c r="G461" s="31" t="n"/>
      <c r="H461" s="31" t="n"/>
      <c r="I461" s="31" t="n"/>
      <c r="J461" s="31" t="n"/>
      <c r="K461" s="31" t="n"/>
      <c r="L461" s="31" t="n"/>
      <c r="M461" s="31" t="n"/>
      <c r="N461" s="31" t="n"/>
      <c r="O461" s="31" t="n"/>
      <c r="P461" s="31" t="n"/>
      <c r="Q461" s="31" t="n"/>
      <c r="R461" s="31" t="n"/>
      <c r="S461" s="32">
        <f>IF($F461="","",IF(IFERROR(VLOOKUP($F461,'维度字典'!$M$2:$N$50,2,0),"求和")="手工录入","",IF(IFERROR(VLOOKUP($F461,'维度字典'!$M$2:$N$50,2,0),"求和")="最新值",IFERROR(LOOKUP(9.99E+307,G461:R461),""),SUM(G461:R461))))</f>
        <v/>
      </c>
      <c r="T461" s="33" t="n"/>
    </row>
    <row r="462">
      <c r="A462" s="26">
        <f>IF($B462="","",ROW()-3)</f>
        <v/>
      </c>
      <c r="B462" s="27" t="n"/>
      <c r="C462" s="27" t="n"/>
      <c r="D462" s="28" t="n"/>
      <c r="E462" s="29" t="n"/>
      <c r="F462" s="30" t="n"/>
      <c r="G462" s="31" t="n"/>
      <c r="H462" s="31" t="n"/>
      <c r="I462" s="31" t="n"/>
      <c r="J462" s="31" t="n"/>
      <c r="K462" s="31" t="n"/>
      <c r="L462" s="31" t="n"/>
      <c r="M462" s="31" t="n"/>
      <c r="N462" s="31" t="n"/>
      <c r="O462" s="31" t="n"/>
      <c r="P462" s="31" t="n"/>
      <c r="Q462" s="31" t="n"/>
      <c r="R462" s="31" t="n"/>
      <c r="S462" s="32">
        <f>IF($F462="","",IF(IFERROR(VLOOKUP($F462,'维度字典'!$M$2:$N$50,2,0),"求和")="手工录入","",IF(IFERROR(VLOOKUP($F462,'维度字典'!$M$2:$N$50,2,0),"求和")="最新值",IFERROR(LOOKUP(9.99E+307,G462:R462),""),SUM(G462:R462))))</f>
        <v/>
      </c>
      <c r="T462" s="33" t="n"/>
    </row>
    <row r="463">
      <c r="A463" s="26">
        <f>IF($B463="","",ROW()-3)</f>
        <v/>
      </c>
      <c r="B463" s="27" t="n"/>
      <c r="C463" s="27" t="n"/>
      <c r="D463" s="28" t="n"/>
      <c r="E463" s="29" t="n"/>
      <c r="F463" s="30" t="n"/>
      <c r="G463" s="31" t="n"/>
      <c r="H463" s="31" t="n"/>
      <c r="I463" s="31" t="n"/>
      <c r="J463" s="31" t="n"/>
      <c r="K463" s="31" t="n"/>
      <c r="L463" s="31" t="n"/>
      <c r="M463" s="31" t="n"/>
      <c r="N463" s="31" t="n"/>
      <c r="O463" s="31" t="n"/>
      <c r="P463" s="31" t="n"/>
      <c r="Q463" s="31" t="n"/>
      <c r="R463" s="31" t="n"/>
      <c r="S463" s="32">
        <f>IF($F463="","",IF(IFERROR(VLOOKUP($F463,'维度字典'!$M$2:$N$50,2,0),"求和")="手工录入","",IF(IFERROR(VLOOKUP($F463,'维度字典'!$M$2:$N$50,2,0),"求和")="最新值",IFERROR(LOOKUP(9.99E+307,G463:R463),""),SUM(G463:R463))))</f>
        <v/>
      </c>
      <c r="T463" s="33" t="n"/>
    </row>
    <row r="464">
      <c r="A464" s="26">
        <f>IF($B464="","",ROW()-3)</f>
        <v/>
      </c>
      <c r="B464" s="27" t="n"/>
      <c r="C464" s="27" t="n"/>
      <c r="D464" s="28" t="n"/>
      <c r="E464" s="29" t="n"/>
      <c r="F464" s="30" t="n"/>
      <c r="G464" s="31" t="n"/>
      <c r="H464" s="31" t="n"/>
      <c r="I464" s="31" t="n"/>
      <c r="J464" s="31" t="n"/>
      <c r="K464" s="31" t="n"/>
      <c r="L464" s="31" t="n"/>
      <c r="M464" s="31" t="n"/>
      <c r="N464" s="31" t="n"/>
      <c r="O464" s="31" t="n"/>
      <c r="P464" s="31" t="n"/>
      <c r="Q464" s="31" t="n"/>
      <c r="R464" s="31" t="n"/>
      <c r="S464" s="32">
        <f>IF($F464="","",IF(IFERROR(VLOOKUP($F464,'维度字典'!$M$2:$N$50,2,0),"求和")="手工录入","",IF(IFERROR(VLOOKUP($F464,'维度字典'!$M$2:$N$50,2,0),"求和")="最新值",IFERROR(LOOKUP(9.99E+307,G464:R464),""),SUM(G464:R464))))</f>
        <v/>
      </c>
      <c r="T464" s="33" t="n"/>
    </row>
    <row r="465">
      <c r="A465" s="26">
        <f>IF($B465="","",ROW()-3)</f>
        <v/>
      </c>
      <c r="B465" s="27" t="n"/>
      <c r="C465" s="27" t="n"/>
      <c r="D465" s="28" t="n"/>
      <c r="E465" s="29" t="n"/>
      <c r="F465" s="30" t="n"/>
      <c r="G465" s="31" t="n"/>
      <c r="H465" s="31" t="n"/>
      <c r="I465" s="31" t="n"/>
      <c r="J465" s="31" t="n"/>
      <c r="K465" s="31" t="n"/>
      <c r="L465" s="31" t="n"/>
      <c r="M465" s="31" t="n"/>
      <c r="N465" s="31" t="n"/>
      <c r="O465" s="31" t="n"/>
      <c r="P465" s="31" t="n"/>
      <c r="Q465" s="31" t="n"/>
      <c r="R465" s="31" t="n"/>
      <c r="S465" s="32">
        <f>IF($F465="","",IF(IFERROR(VLOOKUP($F465,'维度字典'!$M$2:$N$50,2,0),"求和")="手工录入","",IF(IFERROR(VLOOKUP($F465,'维度字典'!$M$2:$N$50,2,0),"求和")="最新值",IFERROR(LOOKUP(9.99E+307,G465:R465),""),SUM(G465:R465))))</f>
        <v/>
      </c>
      <c r="T465" s="33" t="n"/>
    </row>
    <row r="466">
      <c r="A466" s="26">
        <f>IF($B466="","",ROW()-3)</f>
        <v/>
      </c>
      <c r="B466" s="27" t="n"/>
      <c r="C466" s="27" t="n"/>
      <c r="D466" s="28" t="n"/>
      <c r="E466" s="29" t="n"/>
      <c r="F466" s="30" t="n"/>
      <c r="G466" s="31" t="n"/>
      <c r="H466" s="31" t="n"/>
      <c r="I466" s="31" t="n"/>
      <c r="J466" s="31" t="n"/>
      <c r="K466" s="31" t="n"/>
      <c r="L466" s="31" t="n"/>
      <c r="M466" s="31" t="n"/>
      <c r="N466" s="31" t="n"/>
      <c r="O466" s="31" t="n"/>
      <c r="P466" s="31" t="n"/>
      <c r="Q466" s="31" t="n"/>
      <c r="R466" s="31" t="n"/>
      <c r="S466" s="32">
        <f>IF($F466="","",IF(IFERROR(VLOOKUP($F466,'维度字典'!$M$2:$N$50,2,0),"求和")="手工录入","",IF(IFERROR(VLOOKUP($F466,'维度字典'!$M$2:$N$50,2,0),"求和")="最新值",IFERROR(LOOKUP(9.99E+307,G466:R466),""),SUM(G466:R466))))</f>
        <v/>
      </c>
      <c r="T466" s="33" t="n"/>
    </row>
    <row r="467">
      <c r="A467" s="26">
        <f>IF($B467="","",ROW()-3)</f>
        <v/>
      </c>
      <c r="B467" s="27" t="n"/>
      <c r="C467" s="27" t="n"/>
      <c r="D467" s="28" t="n"/>
      <c r="E467" s="29" t="n"/>
      <c r="F467" s="30" t="n"/>
      <c r="G467" s="31" t="n"/>
      <c r="H467" s="31" t="n"/>
      <c r="I467" s="31" t="n"/>
      <c r="J467" s="31" t="n"/>
      <c r="K467" s="31" t="n"/>
      <c r="L467" s="31" t="n"/>
      <c r="M467" s="31" t="n"/>
      <c r="N467" s="31" t="n"/>
      <c r="O467" s="31" t="n"/>
      <c r="P467" s="31" t="n"/>
      <c r="Q467" s="31" t="n"/>
      <c r="R467" s="31" t="n"/>
      <c r="S467" s="32">
        <f>IF($F467="","",IF(IFERROR(VLOOKUP($F467,'维度字典'!$M$2:$N$50,2,0),"求和")="手工录入","",IF(IFERROR(VLOOKUP($F467,'维度字典'!$M$2:$N$50,2,0),"求和")="最新值",IFERROR(LOOKUP(9.99E+307,G467:R467),""),SUM(G467:R467))))</f>
        <v/>
      </c>
      <c r="T467" s="33" t="n"/>
    </row>
    <row r="468">
      <c r="A468" s="26">
        <f>IF($B468="","",ROW()-3)</f>
        <v/>
      </c>
      <c r="B468" s="27" t="n"/>
      <c r="C468" s="27" t="n"/>
      <c r="D468" s="28" t="n"/>
      <c r="E468" s="29" t="n"/>
      <c r="F468" s="30" t="n"/>
      <c r="G468" s="31" t="n"/>
      <c r="H468" s="31" t="n"/>
      <c r="I468" s="31" t="n"/>
      <c r="J468" s="31" t="n"/>
      <c r="K468" s="31" t="n"/>
      <c r="L468" s="31" t="n"/>
      <c r="M468" s="31" t="n"/>
      <c r="N468" s="31" t="n"/>
      <c r="O468" s="31" t="n"/>
      <c r="P468" s="31" t="n"/>
      <c r="Q468" s="31" t="n"/>
      <c r="R468" s="31" t="n"/>
      <c r="S468" s="32">
        <f>IF($F468="","",IF(IFERROR(VLOOKUP($F468,'维度字典'!$M$2:$N$50,2,0),"求和")="手工录入","",IF(IFERROR(VLOOKUP($F468,'维度字典'!$M$2:$N$50,2,0),"求和")="最新值",IFERROR(LOOKUP(9.99E+307,G468:R468),""),SUM(G468:R468))))</f>
        <v/>
      </c>
      <c r="T468" s="33" t="n"/>
    </row>
    <row r="469">
      <c r="A469" s="26">
        <f>IF($B469="","",ROW()-3)</f>
        <v/>
      </c>
      <c r="B469" s="27" t="n"/>
      <c r="C469" s="27" t="n"/>
      <c r="D469" s="28" t="n"/>
      <c r="E469" s="29" t="n"/>
      <c r="F469" s="30" t="n"/>
      <c r="G469" s="31" t="n"/>
      <c r="H469" s="31" t="n"/>
      <c r="I469" s="31" t="n"/>
      <c r="J469" s="31" t="n"/>
      <c r="K469" s="31" t="n"/>
      <c r="L469" s="31" t="n"/>
      <c r="M469" s="31" t="n"/>
      <c r="N469" s="31" t="n"/>
      <c r="O469" s="31" t="n"/>
      <c r="P469" s="31" t="n"/>
      <c r="Q469" s="31" t="n"/>
      <c r="R469" s="31" t="n"/>
      <c r="S469" s="32">
        <f>IF($F469="","",IF(IFERROR(VLOOKUP($F469,'维度字典'!$M$2:$N$50,2,0),"求和")="手工录入","",IF(IFERROR(VLOOKUP($F469,'维度字典'!$M$2:$N$50,2,0),"求和")="最新值",IFERROR(LOOKUP(9.99E+307,G469:R469),""),SUM(G469:R469))))</f>
        <v/>
      </c>
      <c r="T469" s="33" t="n"/>
    </row>
    <row r="470">
      <c r="A470" s="26">
        <f>IF($B470="","",ROW()-3)</f>
        <v/>
      </c>
      <c r="B470" s="27" t="n"/>
      <c r="C470" s="27" t="n"/>
      <c r="D470" s="28" t="n"/>
      <c r="E470" s="29" t="n"/>
      <c r="F470" s="30" t="n"/>
      <c r="G470" s="31" t="n"/>
      <c r="H470" s="31" t="n"/>
      <c r="I470" s="31" t="n"/>
      <c r="J470" s="31" t="n"/>
      <c r="K470" s="31" t="n"/>
      <c r="L470" s="31" t="n"/>
      <c r="M470" s="31" t="n"/>
      <c r="N470" s="31" t="n"/>
      <c r="O470" s="31" t="n"/>
      <c r="P470" s="31" t="n"/>
      <c r="Q470" s="31" t="n"/>
      <c r="R470" s="31" t="n"/>
      <c r="S470" s="32">
        <f>IF($F470="","",IF(IFERROR(VLOOKUP($F470,'维度字典'!$M$2:$N$50,2,0),"求和")="手工录入","",IF(IFERROR(VLOOKUP($F470,'维度字典'!$M$2:$N$50,2,0),"求和")="最新值",IFERROR(LOOKUP(9.99E+307,G470:R470),""),SUM(G470:R470))))</f>
        <v/>
      </c>
      <c r="T470" s="33" t="n"/>
    </row>
    <row r="471">
      <c r="A471" s="26">
        <f>IF($B471="","",ROW()-3)</f>
        <v/>
      </c>
      <c r="B471" s="27" t="n"/>
      <c r="C471" s="27" t="n"/>
      <c r="D471" s="28" t="n"/>
      <c r="E471" s="29" t="n"/>
      <c r="F471" s="30" t="n"/>
      <c r="G471" s="31" t="n"/>
      <c r="H471" s="31" t="n"/>
      <c r="I471" s="31" t="n"/>
      <c r="J471" s="31" t="n"/>
      <c r="K471" s="31" t="n"/>
      <c r="L471" s="31" t="n"/>
      <c r="M471" s="31" t="n"/>
      <c r="N471" s="31" t="n"/>
      <c r="O471" s="31" t="n"/>
      <c r="P471" s="31" t="n"/>
      <c r="Q471" s="31" t="n"/>
      <c r="R471" s="31" t="n"/>
      <c r="S471" s="32">
        <f>IF($F471="","",IF(IFERROR(VLOOKUP($F471,'维度字典'!$M$2:$N$50,2,0),"求和")="手工录入","",IF(IFERROR(VLOOKUP($F471,'维度字典'!$M$2:$N$50,2,0),"求和")="最新值",IFERROR(LOOKUP(9.99E+307,G471:R471),""),SUM(G471:R471))))</f>
        <v/>
      </c>
      <c r="T471" s="33" t="n"/>
    </row>
    <row r="472">
      <c r="A472" s="26">
        <f>IF($B472="","",ROW()-3)</f>
        <v/>
      </c>
      <c r="B472" s="27" t="n"/>
      <c r="C472" s="27" t="n"/>
      <c r="D472" s="28" t="n"/>
      <c r="E472" s="29" t="n"/>
      <c r="F472" s="30" t="n"/>
      <c r="G472" s="31" t="n"/>
      <c r="H472" s="31" t="n"/>
      <c r="I472" s="31" t="n"/>
      <c r="J472" s="31" t="n"/>
      <c r="K472" s="31" t="n"/>
      <c r="L472" s="31" t="n"/>
      <c r="M472" s="31" t="n"/>
      <c r="N472" s="31" t="n"/>
      <c r="O472" s="31" t="n"/>
      <c r="P472" s="31" t="n"/>
      <c r="Q472" s="31" t="n"/>
      <c r="R472" s="31" t="n"/>
      <c r="S472" s="32">
        <f>IF($F472="","",IF(IFERROR(VLOOKUP($F472,'维度字典'!$M$2:$N$50,2,0),"求和")="手工录入","",IF(IFERROR(VLOOKUP($F472,'维度字典'!$M$2:$N$50,2,0),"求和")="最新值",IFERROR(LOOKUP(9.99E+307,G472:R472),""),SUM(G472:R472))))</f>
        <v/>
      </c>
      <c r="T472" s="33" t="n"/>
    </row>
    <row r="473">
      <c r="A473" s="26">
        <f>IF($B473="","",ROW()-3)</f>
        <v/>
      </c>
      <c r="B473" s="27" t="n"/>
      <c r="C473" s="27" t="n"/>
      <c r="D473" s="28" t="n"/>
      <c r="E473" s="29" t="n"/>
      <c r="F473" s="30" t="n"/>
      <c r="G473" s="31" t="n"/>
      <c r="H473" s="31" t="n"/>
      <c r="I473" s="31" t="n"/>
      <c r="J473" s="31" t="n"/>
      <c r="K473" s="31" t="n"/>
      <c r="L473" s="31" t="n"/>
      <c r="M473" s="31" t="n"/>
      <c r="N473" s="31" t="n"/>
      <c r="O473" s="31" t="n"/>
      <c r="P473" s="31" t="n"/>
      <c r="Q473" s="31" t="n"/>
      <c r="R473" s="31" t="n"/>
      <c r="S473" s="32">
        <f>IF($F473="","",IF(IFERROR(VLOOKUP($F473,'维度字典'!$M$2:$N$50,2,0),"求和")="手工录入","",IF(IFERROR(VLOOKUP($F473,'维度字典'!$M$2:$N$50,2,0),"求和")="最新值",IFERROR(LOOKUP(9.99E+307,G473:R473),""),SUM(G473:R473))))</f>
        <v/>
      </c>
      <c r="T473" s="33" t="n"/>
    </row>
    <row r="474">
      <c r="A474" s="26">
        <f>IF($B474="","",ROW()-3)</f>
        <v/>
      </c>
      <c r="B474" s="27" t="n"/>
      <c r="C474" s="27" t="n"/>
      <c r="D474" s="28" t="n"/>
      <c r="E474" s="29" t="n"/>
      <c r="F474" s="30" t="n"/>
      <c r="G474" s="31" t="n"/>
      <c r="H474" s="31" t="n"/>
      <c r="I474" s="31" t="n"/>
      <c r="J474" s="31" t="n"/>
      <c r="K474" s="31" t="n"/>
      <c r="L474" s="31" t="n"/>
      <c r="M474" s="31" t="n"/>
      <c r="N474" s="31" t="n"/>
      <c r="O474" s="31" t="n"/>
      <c r="P474" s="31" t="n"/>
      <c r="Q474" s="31" t="n"/>
      <c r="R474" s="31" t="n"/>
      <c r="S474" s="32">
        <f>IF($F474="","",IF(IFERROR(VLOOKUP($F474,'维度字典'!$M$2:$N$50,2,0),"求和")="手工录入","",IF(IFERROR(VLOOKUP($F474,'维度字典'!$M$2:$N$50,2,0),"求和")="最新值",IFERROR(LOOKUP(9.99E+307,G474:R474),""),SUM(G474:R474))))</f>
        <v/>
      </c>
      <c r="T474" s="33" t="n"/>
    </row>
    <row r="475">
      <c r="A475" s="26">
        <f>IF($B475="","",ROW()-3)</f>
        <v/>
      </c>
      <c r="B475" s="27" t="n"/>
      <c r="C475" s="27" t="n"/>
      <c r="D475" s="28" t="n"/>
      <c r="E475" s="29" t="n"/>
      <c r="F475" s="30" t="n"/>
      <c r="G475" s="31" t="n"/>
      <c r="H475" s="31" t="n"/>
      <c r="I475" s="31" t="n"/>
      <c r="J475" s="31" t="n"/>
      <c r="K475" s="31" t="n"/>
      <c r="L475" s="31" t="n"/>
      <c r="M475" s="31" t="n"/>
      <c r="N475" s="31" t="n"/>
      <c r="O475" s="31" t="n"/>
      <c r="P475" s="31" t="n"/>
      <c r="Q475" s="31" t="n"/>
      <c r="R475" s="31" t="n"/>
      <c r="S475" s="32">
        <f>IF($F475="","",IF(IFERROR(VLOOKUP($F475,'维度字典'!$M$2:$N$50,2,0),"求和")="手工录入","",IF(IFERROR(VLOOKUP($F475,'维度字典'!$M$2:$N$50,2,0),"求和")="最新值",IFERROR(LOOKUP(9.99E+307,G475:R475),""),SUM(G475:R475))))</f>
        <v/>
      </c>
      <c r="T475" s="33" t="n"/>
    </row>
    <row r="476">
      <c r="A476" s="26">
        <f>IF($B476="","",ROW()-3)</f>
        <v/>
      </c>
      <c r="B476" s="27" t="n"/>
      <c r="C476" s="27" t="n"/>
      <c r="D476" s="28" t="n"/>
      <c r="E476" s="29" t="n"/>
      <c r="F476" s="30" t="n"/>
      <c r="G476" s="31" t="n"/>
      <c r="H476" s="31" t="n"/>
      <c r="I476" s="31" t="n"/>
      <c r="J476" s="31" t="n"/>
      <c r="K476" s="31" t="n"/>
      <c r="L476" s="31" t="n"/>
      <c r="M476" s="31" t="n"/>
      <c r="N476" s="31" t="n"/>
      <c r="O476" s="31" t="n"/>
      <c r="P476" s="31" t="n"/>
      <c r="Q476" s="31" t="n"/>
      <c r="R476" s="31" t="n"/>
      <c r="S476" s="32">
        <f>IF($F476="","",IF(IFERROR(VLOOKUP($F476,'维度字典'!$M$2:$N$50,2,0),"求和")="手工录入","",IF(IFERROR(VLOOKUP($F476,'维度字典'!$M$2:$N$50,2,0),"求和")="最新值",IFERROR(LOOKUP(9.99E+307,G476:R476),""),SUM(G476:R476))))</f>
        <v/>
      </c>
      <c r="T476" s="33" t="n"/>
    </row>
    <row r="477">
      <c r="A477" s="26">
        <f>IF($B477="","",ROW()-3)</f>
        <v/>
      </c>
      <c r="B477" s="27" t="n"/>
      <c r="C477" s="27" t="n"/>
      <c r="D477" s="28" t="n"/>
      <c r="E477" s="29" t="n"/>
      <c r="F477" s="30" t="n"/>
      <c r="G477" s="31" t="n"/>
      <c r="H477" s="31" t="n"/>
      <c r="I477" s="31" t="n"/>
      <c r="J477" s="31" t="n"/>
      <c r="K477" s="31" t="n"/>
      <c r="L477" s="31" t="n"/>
      <c r="M477" s="31" t="n"/>
      <c r="N477" s="31" t="n"/>
      <c r="O477" s="31" t="n"/>
      <c r="P477" s="31" t="n"/>
      <c r="Q477" s="31" t="n"/>
      <c r="R477" s="31" t="n"/>
      <c r="S477" s="32">
        <f>IF($F477="","",IF(IFERROR(VLOOKUP($F477,'维度字典'!$M$2:$N$50,2,0),"求和")="手工录入","",IF(IFERROR(VLOOKUP($F477,'维度字典'!$M$2:$N$50,2,0),"求和")="最新值",IFERROR(LOOKUP(9.99E+307,G477:R477),""),SUM(G477:R477))))</f>
        <v/>
      </c>
      <c r="T477" s="33" t="n"/>
    </row>
    <row r="478">
      <c r="A478" s="26">
        <f>IF($B478="","",ROW()-3)</f>
        <v/>
      </c>
      <c r="B478" s="27" t="n"/>
      <c r="C478" s="27" t="n"/>
      <c r="D478" s="28" t="n"/>
      <c r="E478" s="29" t="n"/>
      <c r="F478" s="30" t="n"/>
      <c r="G478" s="31" t="n"/>
      <c r="H478" s="31" t="n"/>
      <c r="I478" s="31" t="n"/>
      <c r="J478" s="31" t="n"/>
      <c r="K478" s="31" t="n"/>
      <c r="L478" s="31" t="n"/>
      <c r="M478" s="31" t="n"/>
      <c r="N478" s="31" t="n"/>
      <c r="O478" s="31" t="n"/>
      <c r="P478" s="31" t="n"/>
      <c r="Q478" s="31" t="n"/>
      <c r="R478" s="31" t="n"/>
      <c r="S478" s="32">
        <f>IF($F478="","",IF(IFERROR(VLOOKUP($F478,'维度字典'!$M$2:$N$50,2,0),"求和")="手工录入","",IF(IFERROR(VLOOKUP($F478,'维度字典'!$M$2:$N$50,2,0),"求和")="最新值",IFERROR(LOOKUP(9.99E+307,G478:R478),""),SUM(G478:R478))))</f>
        <v/>
      </c>
      <c r="T478" s="33" t="n"/>
    </row>
    <row r="479">
      <c r="A479" s="26">
        <f>IF($B479="","",ROW()-3)</f>
        <v/>
      </c>
      <c r="B479" s="27" t="n"/>
      <c r="C479" s="27" t="n"/>
      <c r="D479" s="28" t="n"/>
      <c r="E479" s="29" t="n"/>
      <c r="F479" s="30" t="n"/>
      <c r="G479" s="31" t="n"/>
      <c r="H479" s="31" t="n"/>
      <c r="I479" s="31" t="n"/>
      <c r="J479" s="31" t="n"/>
      <c r="K479" s="31" t="n"/>
      <c r="L479" s="31" t="n"/>
      <c r="M479" s="31" t="n"/>
      <c r="N479" s="31" t="n"/>
      <c r="O479" s="31" t="n"/>
      <c r="P479" s="31" t="n"/>
      <c r="Q479" s="31" t="n"/>
      <c r="R479" s="31" t="n"/>
      <c r="S479" s="32">
        <f>IF($F479="","",IF(IFERROR(VLOOKUP($F479,'维度字典'!$M$2:$N$50,2,0),"求和")="手工录入","",IF(IFERROR(VLOOKUP($F479,'维度字典'!$M$2:$N$50,2,0),"求和")="最新值",IFERROR(LOOKUP(9.99E+307,G479:R479),""),SUM(G479:R479))))</f>
        <v/>
      </c>
      <c r="T479" s="33" t="n"/>
    </row>
    <row r="480">
      <c r="A480" s="26">
        <f>IF($B480="","",ROW()-3)</f>
        <v/>
      </c>
      <c r="B480" s="27" t="n"/>
      <c r="C480" s="27" t="n"/>
      <c r="D480" s="28" t="n"/>
      <c r="E480" s="29" t="n"/>
      <c r="F480" s="30" t="n"/>
      <c r="G480" s="31" t="n"/>
      <c r="H480" s="31" t="n"/>
      <c r="I480" s="31" t="n"/>
      <c r="J480" s="31" t="n"/>
      <c r="K480" s="31" t="n"/>
      <c r="L480" s="31" t="n"/>
      <c r="M480" s="31" t="n"/>
      <c r="N480" s="31" t="n"/>
      <c r="O480" s="31" t="n"/>
      <c r="P480" s="31" t="n"/>
      <c r="Q480" s="31" t="n"/>
      <c r="R480" s="31" t="n"/>
      <c r="S480" s="32">
        <f>IF($F480="","",IF(IFERROR(VLOOKUP($F480,'维度字典'!$M$2:$N$50,2,0),"求和")="手工录入","",IF(IFERROR(VLOOKUP($F480,'维度字典'!$M$2:$N$50,2,0),"求和")="最新值",IFERROR(LOOKUP(9.99E+307,G480:R480),""),SUM(G480:R480))))</f>
        <v/>
      </c>
      <c r="T480" s="33" t="n"/>
    </row>
    <row r="481">
      <c r="A481" s="26">
        <f>IF($B481="","",ROW()-3)</f>
        <v/>
      </c>
      <c r="B481" s="27" t="n"/>
      <c r="C481" s="27" t="n"/>
      <c r="D481" s="28" t="n"/>
      <c r="E481" s="29" t="n"/>
      <c r="F481" s="30" t="n"/>
      <c r="G481" s="31" t="n"/>
      <c r="H481" s="31" t="n"/>
      <c r="I481" s="31" t="n"/>
      <c r="J481" s="31" t="n"/>
      <c r="K481" s="31" t="n"/>
      <c r="L481" s="31" t="n"/>
      <c r="M481" s="31" t="n"/>
      <c r="N481" s="31" t="n"/>
      <c r="O481" s="31" t="n"/>
      <c r="P481" s="31" t="n"/>
      <c r="Q481" s="31" t="n"/>
      <c r="R481" s="31" t="n"/>
      <c r="S481" s="32">
        <f>IF($F481="","",IF(IFERROR(VLOOKUP($F481,'维度字典'!$M$2:$N$50,2,0),"求和")="手工录入","",IF(IFERROR(VLOOKUP($F481,'维度字典'!$M$2:$N$50,2,0),"求和")="最新值",IFERROR(LOOKUP(9.99E+307,G481:R481),""),SUM(G481:R481))))</f>
        <v/>
      </c>
      <c r="T481" s="33" t="n"/>
    </row>
    <row r="482">
      <c r="A482" s="26">
        <f>IF($B482="","",ROW()-3)</f>
        <v/>
      </c>
      <c r="B482" s="27" t="n"/>
      <c r="C482" s="27" t="n"/>
      <c r="D482" s="28" t="n"/>
      <c r="E482" s="29" t="n"/>
      <c r="F482" s="30" t="n"/>
      <c r="G482" s="31" t="n"/>
      <c r="H482" s="31" t="n"/>
      <c r="I482" s="31" t="n"/>
      <c r="J482" s="31" t="n"/>
      <c r="K482" s="31" t="n"/>
      <c r="L482" s="31" t="n"/>
      <c r="M482" s="31" t="n"/>
      <c r="N482" s="31" t="n"/>
      <c r="O482" s="31" t="n"/>
      <c r="P482" s="31" t="n"/>
      <c r="Q482" s="31" t="n"/>
      <c r="R482" s="31" t="n"/>
      <c r="S482" s="32">
        <f>IF($F482="","",IF(IFERROR(VLOOKUP($F482,'维度字典'!$M$2:$N$50,2,0),"求和")="手工录入","",IF(IFERROR(VLOOKUP($F482,'维度字典'!$M$2:$N$50,2,0),"求和")="最新值",IFERROR(LOOKUP(9.99E+307,G482:R482),""),SUM(G482:R482))))</f>
        <v/>
      </c>
      <c r="T482" s="33" t="n"/>
    </row>
    <row r="483">
      <c r="A483" s="26">
        <f>IF($B483="","",ROW()-3)</f>
        <v/>
      </c>
      <c r="B483" s="27" t="n"/>
      <c r="C483" s="27" t="n"/>
      <c r="D483" s="28" t="n"/>
      <c r="E483" s="29" t="n"/>
      <c r="F483" s="30" t="n"/>
      <c r="G483" s="31" t="n"/>
      <c r="H483" s="31" t="n"/>
      <c r="I483" s="31" t="n"/>
      <c r="J483" s="31" t="n"/>
      <c r="K483" s="31" t="n"/>
      <c r="L483" s="31" t="n"/>
      <c r="M483" s="31" t="n"/>
      <c r="N483" s="31" t="n"/>
      <c r="O483" s="31" t="n"/>
      <c r="P483" s="31" t="n"/>
      <c r="Q483" s="31" t="n"/>
      <c r="R483" s="31" t="n"/>
      <c r="S483" s="32">
        <f>IF($F483="","",IF(IFERROR(VLOOKUP($F483,'维度字典'!$M$2:$N$50,2,0),"求和")="手工录入","",IF(IFERROR(VLOOKUP($F483,'维度字典'!$M$2:$N$50,2,0),"求和")="最新值",IFERROR(LOOKUP(9.99E+307,G483:R483),""),SUM(G483:R483))))</f>
        <v/>
      </c>
      <c r="T483" s="33" t="n"/>
    </row>
    <row r="484">
      <c r="A484" s="26">
        <f>IF($B484="","",ROW()-3)</f>
        <v/>
      </c>
      <c r="B484" s="27" t="n"/>
      <c r="C484" s="27" t="n"/>
      <c r="D484" s="28" t="n"/>
      <c r="E484" s="29" t="n"/>
      <c r="F484" s="30" t="n"/>
      <c r="G484" s="31" t="n"/>
      <c r="H484" s="31" t="n"/>
      <c r="I484" s="31" t="n"/>
      <c r="J484" s="31" t="n"/>
      <c r="K484" s="31" t="n"/>
      <c r="L484" s="31" t="n"/>
      <c r="M484" s="31" t="n"/>
      <c r="N484" s="31" t="n"/>
      <c r="O484" s="31" t="n"/>
      <c r="P484" s="31" t="n"/>
      <c r="Q484" s="31" t="n"/>
      <c r="R484" s="31" t="n"/>
      <c r="S484" s="32">
        <f>IF($F484="","",IF(IFERROR(VLOOKUP($F484,'维度字典'!$M$2:$N$50,2,0),"求和")="手工录入","",IF(IFERROR(VLOOKUP($F484,'维度字典'!$M$2:$N$50,2,0),"求和")="最新值",IFERROR(LOOKUP(9.99E+307,G484:R484),""),SUM(G484:R484))))</f>
        <v/>
      </c>
      <c r="T484" s="33" t="n"/>
    </row>
    <row r="485">
      <c r="A485" s="26">
        <f>IF($B485="","",ROW()-3)</f>
        <v/>
      </c>
      <c r="B485" s="27" t="n"/>
      <c r="C485" s="27" t="n"/>
      <c r="D485" s="28" t="n"/>
      <c r="E485" s="29" t="n"/>
      <c r="F485" s="30" t="n"/>
      <c r="G485" s="31" t="n"/>
      <c r="H485" s="31" t="n"/>
      <c r="I485" s="31" t="n"/>
      <c r="J485" s="31" t="n"/>
      <c r="K485" s="31" t="n"/>
      <c r="L485" s="31" t="n"/>
      <c r="M485" s="31" t="n"/>
      <c r="N485" s="31" t="n"/>
      <c r="O485" s="31" t="n"/>
      <c r="P485" s="31" t="n"/>
      <c r="Q485" s="31" t="n"/>
      <c r="R485" s="31" t="n"/>
      <c r="S485" s="32">
        <f>IF($F485="","",IF(IFERROR(VLOOKUP($F485,'维度字典'!$M$2:$N$50,2,0),"求和")="手工录入","",IF(IFERROR(VLOOKUP($F485,'维度字典'!$M$2:$N$50,2,0),"求和")="最新值",IFERROR(LOOKUP(9.99E+307,G485:R485),""),SUM(G485:R485))))</f>
        <v/>
      </c>
      <c r="T485" s="33" t="n"/>
    </row>
    <row r="486">
      <c r="A486" s="26">
        <f>IF($B486="","",ROW()-3)</f>
        <v/>
      </c>
      <c r="B486" s="27" t="n"/>
      <c r="C486" s="27" t="n"/>
      <c r="D486" s="28" t="n"/>
      <c r="E486" s="29" t="n"/>
      <c r="F486" s="30" t="n"/>
      <c r="G486" s="31" t="n"/>
      <c r="H486" s="31" t="n"/>
      <c r="I486" s="31" t="n"/>
      <c r="J486" s="31" t="n"/>
      <c r="K486" s="31" t="n"/>
      <c r="L486" s="31" t="n"/>
      <c r="M486" s="31" t="n"/>
      <c r="N486" s="31" t="n"/>
      <c r="O486" s="31" t="n"/>
      <c r="P486" s="31" t="n"/>
      <c r="Q486" s="31" t="n"/>
      <c r="R486" s="31" t="n"/>
      <c r="S486" s="32">
        <f>IF($F486="","",IF(IFERROR(VLOOKUP($F486,'维度字典'!$M$2:$N$50,2,0),"求和")="手工录入","",IF(IFERROR(VLOOKUP($F486,'维度字典'!$M$2:$N$50,2,0),"求和")="最新值",IFERROR(LOOKUP(9.99E+307,G486:R486),""),SUM(G486:R486))))</f>
        <v/>
      </c>
      <c r="T486" s="33" t="n"/>
    </row>
    <row r="487">
      <c r="A487" s="26">
        <f>IF($B487="","",ROW()-3)</f>
        <v/>
      </c>
      <c r="B487" s="27" t="n"/>
      <c r="C487" s="27" t="n"/>
      <c r="D487" s="28" t="n"/>
      <c r="E487" s="29" t="n"/>
      <c r="F487" s="30" t="n"/>
      <c r="G487" s="31" t="n"/>
      <c r="H487" s="31" t="n"/>
      <c r="I487" s="31" t="n"/>
      <c r="J487" s="31" t="n"/>
      <c r="K487" s="31" t="n"/>
      <c r="L487" s="31" t="n"/>
      <c r="M487" s="31" t="n"/>
      <c r="N487" s="31" t="n"/>
      <c r="O487" s="31" t="n"/>
      <c r="P487" s="31" t="n"/>
      <c r="Q487" s="31" t="n"/>
      <c r="R487" s="31" t="n"/>
      <c r="S487" s="32">
        <f>IF($F487="","",IF(IFERROR(VLOOKUP($F487,'维度字典'!$M$2:$N$50,2,0),"求和")="手工录入","",IF(IFERROR(VLOOKUP($F487,'维度字典'!$M$2:$N$50,2,0),"求和")="最新值",IFERROR(LOOKUP(9.99E+307,G487:R487),""),SUM(G487:R487))))</f>
        <v/>
      </c>
      <c r="T487" s="33" t="n"/>
    </row>
    <row r="488">
      <c r="A488" s="26">
        <f>IF($B488="","",ROW()-3)</f>
        <v/>
      </c>
      <c r="B488" s="27" t="n"/>
      <c r="C488" s="27" t="n"/>
      <c r="D488" s="28" t="n"/>
      <c r="E488" s="29" t="n"/>
      <c r="F488" s="30" t="n"/>
      <c r="G488" s="31" t="n"/>
      <c r="H488" s="31" t="n"/>
      <c r="I488" s="31" t="n"/>
      <c r="J488" s="31" t="n"/>
      <c r="K488" s="31" t="n"/>
      <c r="L488" s="31" t="n"/>
      <c r="M488" s="31" t="n"/>
      <c r="N488" s="31" t="n"/>
      <c r="O488" s="31" t="n"/>
      <c r="P488" s="31" t="n"/>
      <c r="Q488" s="31" t="n"/>
      <c r="R488" s="31" t="n"/>
      <c r="S488" s="32">
        <f>IF($F488="","",IF(IFERROR(VLOOKUP($F488,'维度字典'!$M$2:$N$50,2,0),"求和")="手工录入","",IF(IFERROR(VLOOKUP($F488,'维度字典'!$M$2:$N$50,2,0),"求和")="最新值",IFERROR(LOOKUP(9.99E+307,G488:R488),""),SUM(G488:R488))))</f>
        <v/>
      </c>
      <c r="T488" s="33" t="n"/>
    </row>
    <row r="489">
      <c r="A489" s="26">
        <f>IF($B489="","",ROW()-3)</f>
        <v/>
      </c>
      <c r="B489" s="27" t="n"/>
      <c r="C489" s="27" t="n"/>
      <c r="D489" s="28" t="n"/>
      <c r="E489" s="29" t="n"/>
      <c r="F489" s="30" t="n"/>
      <c r="G489" s="31" t="n"/>
      <c r="H489" s="31" t="n"/>
      <c r="I489" s="31" t="n"/>
      <c r="J489" s="31" t="n"/>
      <c r="K489" s="31" t="n"/>
      <c r="L489" s="31" t="n"/>
      <c r="M489" s="31" t="n"/>
      <c r="N489" s="31" t="n"/>
      <c r="O489" s="31" t="n"/>
      <c r="P489" s="31" t="n"/>
      <c r="Q489" s="31" t="n"/>
      <c r="R489" s="31" t="n"/>
      <c r="S489" s="32">
        <f>IF($F489="","",IF(IFERROR(VLOOKUP($F489,'维度字典'!$M$2:$N$50,2,0),"求和")="手工录入","",IF(IFERROR(VLOOKUP($F489,'维度字典'!$M$2:$N$50,2,0),"求和")="最新值",IFERROR(LOOKUP(9.99E+307,G489:R489),""),SUM(G489:R489))))</f>
        <v/>
      </c>
      <c r="T489" s="33" t="n"/>
    </row>
    <row r="490">
      <c r="A490" s="26">
        <f>IF($B490="","",ROW()-3)</f>
        <v/>
      </c>
      <c r="B490" s="27" t="n"/>
      <c r="C490" s="27" t="n"/>
      <c r="D490" s="28" t="n"/>
      <c r="E490" s="29" t="n"/>
      <c r="F490" s="30" t="n"/>
      <c r="G490" s="31" t="n"/>
      <c r="H490" s="31" t="n"/>
      <c r="I490" s="31" t="n"/>
      <c r="J490" s="31" t="n"/>
      <c r="K490" s="31" t="n"/>
      <c r="L490" s="31" t="n"/>
      <c r="M490" s="31" t="n"/>
      <c r="N490" s="31" t="n"/>
      <c r="O490" s="31" t="n"/>
      <c r="P490" s="31" t="n"/>
      <c r="Q490" s="31" t="n"/>
      <c r="R490" s="31" t="n"/>
      <c r="S490" s="32">
        <f>IF($F490="","",IF(IFERROR(VLOOKUP($F490,'维度字典'!$M$2:$N$50,2,0),"求和")="手工录入","",IF(IFERROR(VLOOKUP($F490,'维度字典'!$M$2:$N$50,2,0),"求和")="最新值",IFERROR(LOOKUP(9.99E+307,G490:R490),""),SUM(G490:R490))))</f>
        <v/>
      </c>
      <c r="T490" s="33" t="n"/>
    </row>
    <row r="491">
      <c r="A491" s="26">
        <f>IF($B491="","",ROW()-3)</f>
        <v/>
      </c>
      <c r="B491" s="27" t="n"/>
      <c r="C491" s="27" t="n"/>
      <c r="D491" s="28" t="n"/>
      <c r="E491" s="29" t="n"/>
      <c r="F491" s="30" t="n"/>
      <c r="G491" s="31" t="n"/>
      <c r="H491" s="31" t="n"/>
      <c r="I491" s="31" t="n"/>
      <c r="J491" s="31" t="n"/>
      <c r="K491" s="31" t="n"/>
      <c r="L491" s="31" t="n"/>
      <c r="M491" s="31" t="n"/>
      <c r="N491" s="31" t="n"/>
      <c r="O491" s="31" t="n"/>
      <c r="P491" s="31" t="n"/>
      <c r="Q491" s="31" t="n"/>
      <c r="R491" s="31" t="n"/>
      <c r="S491" s="32">
        <f>IF($F491="","",IF(IFERROR(VLOOKUP($F491,'维度字典'!$M$2:$N$50,2,0),"求和")="手工录入","",IF(IFERROR(VLOOKUP($F491,'维度字典'!$M$2:$N$50,2,0),"求和")="最新值",IFERROR(LOOKUP(9.99E+307,G491:R491),""),SUM(G491:R491))))</f>
        <v/>
      </c>
      <c r="T491" s="33" t="n"/>
    </row>
    <row r="492">
      <c r="A492" s="26">
        <f>IF($B492="","",ROW()-3)</f>
        <v/>
      </c>
      <c r="B492" s="27" t="n"/>
      <c r="C492" s="27" t="n"/>
      <c r="D492" s="28" t="n"/>
      <c r="E492" s="29" t="n"/>
      <c r="F492" s="30" t="n"/>
      <c r="G492" s="31" t="n"/>
      <c r="H492" s="31" t="n"/>
      <c r="I492" s="31" t="n"/>
      <c r="J492" s="31" t="n"/>
      <c r="K492" s="31" t="n"/>
      <c r="L492" s="31" t="n"/>
      <c r="M492" s="31" t="n"/>
      <c r="N492" s="31" t="n"/>
      <c r="O492" s="31" t="n"/>
      <c r="P492" s="31" t="n"/>
      <c r="Q492" s="31" t="n"/>
      <c r="R492" s="31" t="n"/>
      <c r="S492" s="32">
        <f>IF($F492="","",IF(IFERROR(VLOOKUP($F492,'维度字典'!$M$2:$N$50,2,0),"求和")="手工录入","",IF(IFERROR(VLOOKUP($F492,'维度字典'!$M$2:$N$50,2,0),"求和")="最新值",IFERROR(LOOKUP(9.99E+307,G492:R492),""),SUM(G492:R492))))</f>
        <v/>
      </c>
      <c r="T492" s="33" t="n"/>
    </row>
    <row r="493">
      <c r="A493" s="26">
        <f>IF($B493="","",ROW()-3)</f>
        <v/>
      </c>
      <c r="B493" s="27" t="n"/>
      <c r="C493" s="27" t="n"/>
      <c r="D493" s="28" t="n"/>
      <c r="E493" s="29" t="n"/>
      <c r="F493" s="30" t="n"/>
      <c r="G493" s="31" t="n"/>
      <c r="H493" s="31" t="n"/>
      <c r="I493" s="31" t="n"/>
      <c r="J493" s="31" t="n"/>
      <c r="K493" s="31" t="n"/>
      <c r="L493" s="31" t="n"/>
      <c r="M493" s="31" t="n"/>
      <c r="N493" s="31" t="n"/>
      <c r="O493" s="31" t="n"/>
      <c r="P493" s="31" t="n"/>
      <c r="Q493" s="31" t="n"/>
      <c r="R493" s="31" t="n"/>
      <c r="S493" s="32">
        <f>IF($F493="","",IF(IFERROR(VLOOKUP($F493,'维度字典'!$M$2:$N$50,2,0),"求和")="手工录入","",IF(IFERROR(VLOOKUP($F493,'维度字典'!$M$2:$N$50,2,0),"求和")="最新值",IFERROR(LOOKUP(9.99E+307,G493:R493),""),SUM(G493:R493))))</f>
        <v/>
      </c>
      <c r="T493" s="33" t="n"/>
    </row>
    <row r="494">
      <c r="A494" s="26">
        <f>IF($B494="","",ROW()-3)</f>
        <v/>
      </c>
      <c r="B494" s="27" t="n"/>
      <c r="C494" s="27" t="n"/>
      <c r="D494" s="28" t="n"/>
      <c r="E494" s="29" t="n"/>
      <c r="F494" s="30" t="n"/>
      <c r="G494" s="31" t="n"/>
      <c r="H494" s="31" t="n"/>
      <c r="I494" s="31" t="n"/>
      <c r="J494" s="31" t="n"/>
      <c r="K494" s="31" t="n"/>
      <c r="L494" s="31" t="n"/>
      <c r="M494" s="31" t="n"/>
      <c r="N494" s="31" t="n"/>
      <c r="O494" s="31" t="n"/>
      <c r="P494" s="31" t="n"/>
      <c r="Q494" s="31" t="n"/>
      <c r="R494" s="31" t="n"/>
      <c r="S494" s="32">
        <f>IF($F494="","",IF(IFERROR(VLOOKUP($F494,'维度字典'!$M$2:$N$50,2,0),"求和")="手工录入","",IF(IFERROR(VLOOKUP($F494,'维度字典'!$M$2:$N$50,2,0),"求和")="最新值",IFERROR(LOOKUP(9.99E+307,G494:R494),""),SUM(G494:R494))))</f>
        <v/>
      </c>
      <c r="T494" s="33" t="n"/>
    </row>
    <row r="495">
      <c r="A495" s="26">
        <f>IF($B495="","",ROW()-3)</f>
        <v/>
      </c>
      <c r="B495" s="27" t="n"/>
      <c r="C495" s="27" t="n"/>
      <c r="D495" s="28" t="n"/>
      <c r="E495" s="29" t="n"/>
      <c r="F495" s="30" t="n"/>
      <c r="G495" s="31" t="n"/>
      <c r="H495" s="31" t="n"/>
      <c r="I495" s="31" t="n"/>
      <c r="J495" s="31" t="n"/>
      <c r="K495" s="31" t="n"/>
      <c r="L495" s="31" t="n"/>
      <c r="M495" s="31" t="n"/>
      <c r="N495" s="31" t="n"/>
      <c r="O495" s="31" t="n"/>
      <c r="P495" s="31" t="n"/>
      <c r="Q495" s="31" t="n"/>
      <c r="R495" s="31" t="n"/>
      <c r="S495" s="32">
        <f>IF($F495="","",IF(IFERROR(VLOOKUP($F495,'维度字典'!$M$2:$N$50,2,0),"求和")="手工录入","",IF(IFERROR(VLOOKUP($F495,'维度字典'!$M$2:$N$50,2,0),"求和")="最新值",IFERROR(LOOKUP(9.99E+307,G495:R495),""),SUM(G495:R495))))</f>
        <v/>
      </c>
      <c r="T495" s="33" t="n"/>
    </row>
    <row r="496">
      <c r="A496" s="26">
        <f>IF($B496="","",ROW()-3)</f>
        <v/>
      </c>
      <c r="B496" s="27" t="n"/>
      <c r="C496" s="27" t="n"/>
      <c r="D496" s="28" t="n"/>
      <c r="E496" s="29" t="n"/>
      <c r="F496" s="30" t="n"/>
      <c r="G496" s="31" t="n"/>
      <c r="H496" s="31" t="n"/>
      <c r="I496" s="31" t="n"/>
      <c r="J496" s="31" t="n"/>
      <c r="K496" s="31" t="n"/>
      <c r="L496" s="31" t="n"/>
      <c r="M496" s="31" t="n"/>
      <c r="N496" s="31" t="n"/>
      <c r="O496" s="31" t="n"/>
      <c r="P496" s="31" t="n"/>
      <c r="Q496" s="31" t="n"/>
      <c r="R496" s="31" t="n"/>
      <c r="S496" s="32">
        <f>IF($F496="","",IF(IFERROR(VLOOKUP($F496,'维度字典'!$M$2:$N$50,2,0),"求和")="手工录入","",IF(IFERROR(VLOOKUP($F496,'维度字典'!$M$2:$N$50,2,0),"求和")="最新值",IFERROR(LOOKUP(9.99E+307,G496:R496),""),SUM(G496:R496))))</f>
        <v/>
      </c>
      <c r="T496" s="33" t="n"/>
    </row>
    <row r="497">
      <c r="A497" s="26">
        <f>IF($B497="","",ROW()-3)</f>
        <v/>
      </c>
      <c r="B497" s="27" t="n"/>
      <c r="C497" s="27" t="n"/>
      <c r="D497" s="28" t="n"/>
      <c r="E497" s="29" t="n"/>
      <c r="F497" s="30" t="n"/>
      <c r="G497" s="31" t="n"/>
      <c r="H497" s="31" t="n"/>
      <c r="I497" s="31" t="n"/>
      <c r="J497" s="31" t="n"/>
      <c r="K497" s="31" t="n"/>
      <c r="L497" s="31" t="n"/>
      <c r="M497" s="31" t="n"/>
      <c r="N497" s="31" t="n"/>
      <c r="O497" s="31" t="n"/>
      <c r="P497" s="31" t="n"/>
      <c r="Q497" s="31" t="n"/>
      <c r="R497" s="31" t="n"/>
      <c r="S497" s="32">
        <f>IF($F497="","",IF(IFERROR(VLOOKUP($F497,'维度字典'!$M$2:$N$50,2,0),"求和")="手工录入","",IF(IFERROR(VLOOKUP($F497,'维度字典'!$M$2:$N$50,2,0),"求和")="最新值",IFERROR(LOOKUP(9.99E+307,G497:R497),""),SUM(G497:R497))))</f>
        <v/>
      </c>
      <c r="T497" s="33" t="n"/>
    </row>
    <row r="498">
      <c r="A498" s="26">
        <f>IF($B498="","",ROW()-3)</f>
        <v/>
      </c>
      <c r="B498" s="27" t="n"/>
      <c r="C498" s="27" t="n"/>
      <c r="D498" s="28" t="n"/>
      <c r="E498" s="29" t="n"/>
      <c r="F498" s="30" t="n"/>
      <c r="G498" s="31" t="n"/>
      <c r="H498" s="31" t="n"/>
      <c r="I498" s="31" t="n"/>
      <c r="J498" s="31" t="n"/>
      <c r="K498" s="31" t="n"/>
      <c r="L498" s="31" t="n"/>
      <c r="M498" s="31" t="n"/>
      <c r="N498" s="31" t="n"/>
      <c r="O498" s="31" t="n"/>
      <c r="P498" s="31" t="n"/>
      <c r="Q498" s="31" t="n"/>
      <c r="R498" s="31" t="n"/>
      <c r="S498" s="32">
        <f>IF($F498="","",IF(IFERROR(VLOOKUP($F498,'维度字典'!$M$2:$N$50,2,0),"求和")="手工录入","",IF(IFERROR(VLOOKUP($F498,'维度字典'!$M$2:$N$50,2,0),"求和")="最新值",IFERROR(LOOKUP(9.99E+307,G498:R498),""),SUM(G498:R498))))</f>
        <v/>
      </c>
      <c r="T498" s="33" t="n"/>
    </row>
    <row r="499">
      <c r="A499" s="26">
        <f>IF($B499="","",ROW()-3)</f>
        <v/>
      </c>
      <c r="B499" s="27" t="n"/>
      <c r="C499" s="27" t="n"/>
      <c r="D499" s="28" t="n"/>
      <c r="E499" s="29" t="n"/>
      <c r="F499" s="30" t="n"/>
      <c r="G499" s="31" t="n"/>
      <c r="H499" s="31" t="n"/>
      <c r="I499" s="31" t="n"/>
      <c r="J499" s="31" t="n"/>
      <c r="K499" s="31" t="n"/>
      <c r="L499" s="31" t="n"/>
      <c r="M499" s="31" t="n"/>
      <c r="N499" s="31" t="n"/>
      <c r="O499" s="31" t="n"/>
      <c r="P499" s="31" t="n"/>
      <c r="Q499" s="31" t="n"/>
      <c r="R499" s="31" t="n"/>
      <c r="S499" s="32">
        <f>IF($F499="","",IF(IFERROR(VLOOKUP($F499,'维度字典'!$M$2:$N$50,2,0),"求和")="手工录入","",IF(IFERROR(VLOOKUP($F499,'维度字典'!$M$2:$N$50,2,0),"求和")="最新值",IFERROR(LOOKUP(9.99E+307,G499:R499),""),SUM(G499:R499))))</f>
        <v/>
      </c>
      <c r="T499" s="33" t="n"/>
    </row>
    <row r="500">
      <c r="A500" s="26">
        <f>IF($B500="","",ROW()-3)</f>
        <v/>
      </c>
      <c r="B500" s="27" t="n"/>
      <c r="C500" s="27" t="n"/>
      <c r="D500" s="28" t="n"/>
      <c r="E500" s="29" t="n"/>
      <c r="F500" s="30" t="n"/>
      <c r="G500" s="31" t="n"/>
      <c r="H500" s="31" t="n"/>
      <c r="I500" s="31" t="n"/>
      <c r="J500" s="31" t="n"/>
      <c r="K500" s="31" t="n"/>
      <c r="L500" s="31" t="n"/>
      <c r="M500" s="31" t="n"/>
      <c r="N500" s="31" t="n"/>
      <c r="O500" s="31" t="n"/>
      <c r="P500" s="31" t="n"/>
      <c r="Q500" s="31" t="n"/>
      <c r="R500" s="31" t="n"/>
      <c r="S500" s="32">
        <f>IF($F500="","",IF(IFERROR(VLOOKUP($F500,'维度字典'!$M$2:$N$50,2,0),"求和")="手工录入","",IF(IFERROR(VLOOKUP($F500,'维度字典'!$M$2:$N$50,2,0),"求和")="最新值",IFERROR(LOOKUP(9.99E+307,G500:R500),""),SUM(G500:R500))))</f>
        <v/>
      </c>
      <c r="T500" s="33" t="n"/>
    </row>
    <row r="501">
      <c r="A501" s="26">
        <f>IF($B501="","",ROW()-3)</f>
        <v/>
      </c>
      <c r="B501" s="27" t="n"/>
      <c r="C501" s="27" t="n"/>
      <c r="D501" s="28" t="n"/>
      <c r="E501" s="29" t="n"/>
      <c r="F501" s="30" t="n"/>
      <c r="G501" s="31" t="n"/>
      <c r="H501" s="31" t="n"/>
      <c r="I501" s="31" t="n"/>
      <c r="J501" s="31" t="n"/>
      <c r="K501" s="31" t="n"/>
      <c r="L501" s="31" t="n"/>
      <c r="M501" s="31" t="n"/>
      <c r="N501" s="31" t="n"/>
      <c r="O501" s="31" t="n"/>
      <c r="P501" s="31" t="n"/>
      <c r="Q501" s="31" t="n"/>
      <c r="R501" s="31" t="n"/>
      <c r="S501" s="32">
        <f>IF($F501="","",IF(IFERROR(VLOOKUP($F501,'维度字典'!$M$2:$N$50,2,0),"求和")="手工录入","",IF(IFERROR(VLOOKUP($F501,'维度字典'!$M$2:$N$50,2,0),"求和")="最新值",IFERROR(LOOKUP(9.99E+307,G501:R501),""),SUM(G501:R501))))</f>
        <v/>
      </c>
      <c r="T501" s="33" t="n"/>
    </row>
    <row r="502">
      <c r="A502" s="26">
        <f>IF($B502="","",ROW()-3)</f>
        <v/>
      </c>
      <c r="B502" s="27" t="n"/>
      <c r="C502" s="27" t="n"/>
      <c r="D502" s="28" t="n"/>
      <c r="E502" s="29" t="n"/>
      <c r="F502" s="30" t="n"/>
      <c r="G502" s="31" t="n"/>
      <c r="H502" s="31" t="n"/>
      <c r="I502" s="31" t="n"/>
      <c r="J502" s="31" t="n"/>
      <c r="K502" s="31" t="n"/>
      <c r="L502" s="31" t="n"/>
      <c r="M502" s="31" t="n"/>
      <c r="N502" s="31" t="n"/>
      <c r="O502" s="31" t="n"/>
      <c r="P502" s="31" t="n"/>
      <c r="Q502" s="31" t="n"/>
      <c r="R502" s="31" t="n"/>
      <c r="S502" s="32">
        <f>IF($F502="","",IF(IFERROR(VLOOKUP($F502,'维度字典'!$M$2:$N$50,2,0),"求和")="手工录入","",IF(IFERROR(VLOOKUP($F502,'维度字典'!$M$2:$N$50,2,0),"求和")="最新值",IFERROR(LOOKUP(9.99E+307,G502:R502),""),SUM(G502:R502))))</f>
        <v/>
      </c>
      <c r="T502" s="33" t="n"/>
    </row>
    <row r="503">
      <c r="A503" s="26">
        <f>IF($B503="","",ROW()-3)</f>
        <v/>
      </c>
      <c r="B503" s="27" t="n"/>
      <c r="C503" s="27" t="n"/>
      <c r="D503" s="28" t="n"/>
      <c r="E503" s="29" t="n"/>
      <c r="F503" s="30" t="n"/>
      <c r="G503" s="31" t="n"/>
      <c r="H503" s="31" t="n"/>
      <c r="I503" s="31" t="n"/>
      <c r="J503" s="31" t="n"/>
      <c r="K503" s="31" t="n"/>
      <c r="L503" s="31" t="n"/>
      <c r="M503" s="31" t="n"/>
      <c r="N503" s="31" t="n"/>
      <c r="O503" s="31" t="n"/>
      <c r="P503" s="31" t="n"/>
      <c r="Q503" s="31" t="n"/>
      <c r="R503" s="31" t="n"/>
      <c r="S503" s="32">
        <f>IF($F503="","",IF(IFERROR(VLOOKUP($F503,'维度字典'!$M$2:$N$50,2,0),"求和")="手工录入","",IF(IFERROR(VLOOKUP($F503,'维度字典'!$M$2:$N$50,2,0),"求和")="最新值",IFERROR(LOOKUP(9.99E+307,G503:R503),""),SUM(G503:R503))))</f>
        <v/>
      </c>
      <c r="T503" s="33" t="n"/>
    </row>
    <row r="504">
      <c r="A504" s="26">
        <f>IF($B504="","",ROW()-3)</f>
        <v/>
      </c>
      <c r="B504" s="27" t="n"/>
      <c r="C504" s="27" t="n"/>
      <c r="D504" s="28" t="n"/>
      <c r="E504" s="29" t="n"/>
      <c r="F504" s="30" t="n"/>
      <c r="G504" s="31" t="n"/>
      <c r="H504" s="31" t="n"/>
      <c r="I504" s="31" t="n"/>
      <c r="J504" s="31" t="n"/>
      <c r="K504" s="31" t="n"/>
      <c r="L504" s="31" t="n"/>
      <c r="M504" s="31" t="n"/>
      <c r="N504" s="31" t="n"/>
      <c r="O504" s="31" t="n"/>
      <c r="P504" s="31" t="n"/>
      <c r="Q504" s="31" t="n"/>
      <c r="R504" s="31" t="n"/>
      <c r="S504" s="32">
        <f>IF($F504="","",IF(IFERROR(VLOOKUP($F504,'维度字典'!$M$2:$N$50,2,0),"求和")="手工录入","",IF(IFERROR(VLOOKUP($F504,'维度字典'!$M$2:$N$50,2,0),"求和")="最新值",IFERROR(LOOKUP(9.99E+307,G504:R504),""),SUM(G504:R504))))</f>
        <v/>
      </c>
      <c r="T504" s="33" t="n"/>
    </row>
    <row r="505">
      <c r="A505" s="26">
        <f>IF($B505="","",ROW()-3)</f>
        <v/>
      </c>
      <c r="B505" s="27" t="n"/>
      <c r="C505" s="27" t="n"/>
      <c r="D505" s="28" t="n"/>
      <c r="E505" s="29" t="n"/>
      <c r="F505" s="30" t="n"/>
      <c r="G505" s="31" t="n"/>
      <c r="H505" s="31" t="n"/>
      <c r="I505" s="31" t="n"/>
      <c r="J505" s="31" t="n"/>
      <c r="K505" s="31" t="n"/>
      <c r="L505" s="31" t="n"/>
      <c r="M505" s="31" t="n"/>
      <c r="N505" s="31" t="n"/>
      <c r="O505" s="31" t="n"/>
      <c r="P505" s="31" t="n"/>
      <c r="Q505" s="31" t="n"/>
      <c r="R505" s="31" t="n"/>
      <c r="S505" s="32">
        <f>IF($F505="","",IF(IFERROR(VLOOKUP($F505,'维度字典'!$M$2:$N$50,2,0),"求和")="手工录入","",IF(IFERROR(VLOOKUP($F505,'维度字典'!$M$2:$N$50,2,0),"求和")="最新值",IFERROR(LOOKUP(9.99E+307,G505:R505),""),SUM(G505:R505))))</f>
        <v/>
      </c>
      <c r="T505" s="33" t="n"/>
    </row>
    <row r="506">
      <c r="A506" s="26">
        <f>IF($B506="","",ROW()-3)</f>
        <v/>
      </c>
      <c r="B506" s="27" t="n"/>
      <c r="C506" s="27" t="n"/>
      <c r="D506" s="28" t="n"/>
      <c r="E506" s="29" t="n"/>
      <c r="F506" s="30" t="n"/>
      <c r="G506" s="31" t="n"/>
      <c r="H506" s="31" t="n"/>
      <c r="I506" s="31" t="n"/>
      <c r="J506" s="31" t="n"/>
      <c r="K506" s="31" t="n"/>
      <c r="L506" s="31" t="n"/>
      <c r="M506" s="31" t="n"/>
      <c r="N506" s="31" t="n"/>
      <c r="O506" s="31" t="n"/>
      <c r="P506" s="31" t="n"/>
      <c r="Q506" s="31" t="n"/>
      <c r="R506" s="31" t="n"/>
      <c r="S506" s="32">
        <f>IF($F506="","",IF(IFERROR(VLOOKUP($F506,'维度字典'!$M$2:$N$50,2,0),"求和")="手工录入","",IF(IFERROR(VLOOKUP($F506,'维度字典'!$M$2:$N$50,2,0),"求和")="最新值",IFERROR(LOOKUP(9.99E+307,G506:R506),""),SUM(G506:R506))))</f>
        <v/>
      </c>
      <c r="T506" s="33" t="n"/>
    </row>
    <row r="507">
      <c r="A507" s="26">
        <f>IF($B507="","",ROW()-3)</f>
        <v/>
      </c>
      <c r="B507" s="27" t="n"/>
      <c r="C507" s="27" t="n"/>
      <c r="D507" s="28" t="n"/>
      <c r="E507" s="29" t="n"/>
      <c r="F507" s="30" t="n"/>
      <c r="G507" s="31" t="n"/>
      <c r="H507" s="31" t="n"/>
      <c r="I507" s="31" t="n"/>
      <c r="J507" s="31" t="n"/>
      <c r="K507" s="31" t="n"/>
      <c r="L507" s="31" t="n"/>
      <c r="M507" s="31" t="n"/>
      <c r="N507" s="31" t="n"/>
      <c r="O507" s="31" t="n"/>
      <c r="P507" s="31" t="n"/>
      <c r="Q507" s="31" t="n"/>
      <c r="R507" s="31" t="n"/>
      <c r="S507" s="32">
        <f>IF($F507="","",IF(IFERROR(VLOOKUP($F507,'维度字典'!$M$2:$N$50,2,0),"求和")="手工录入","",IF(IFERROR(VLOOKUP($F507,'维度字典'!$M$2:$N$50,2,0),"求和")="最新值",IFERROR(LOOKUP(9.99E+307,G507:R507),""),SUM(G507:R507))))</f>
        <v/>
      </c>
      <c r="T507" s="33" t="n"/>
    </row>
    <row r="508">
      <c r="A508" s="26">
        <f>IF($B508="","",ROW()-3)</f>
        <v/>
      </c>
      <c r="B508" s="27" t="n"/>
      <c r="C508" s="27" t="n"/>
      <c r="D508" s="28" t="n"/>
      <c r="E508" s="29" t="n"/>
      <c r="F508" s="30" t="n"/>
      <c r="G508" s="31" t="n"/>
      <c r="H508" s="31" t="n"/>
      <c r="I508" s="31" t="n"/>
      <c r="J508" s="31" t="n"/>
      <c r="K508" s="31" t="n"/>
      <c r="L508" s="31" t="n"/>
      <c r="M508" s="31" t="n"/>
      <c r="N508" s="31" t="n"/>
      <c r="O508" s="31" t="n"/>
      <c r="P508" s="31" t="n"/>
      <c r="Q508" s="31" t="n"/>
      <c r="R508" s="31" t="n"/>
      <c r="S508" s="32">
        <f>IF($F508="","",IF(IFERROR(VLOOKUP($F508,'维度字典'!$M$2:$N$50,2,0),"求和")="手工录入","",IF(IFERROR(VLOOKUP($F508,'维度字典'!$M$2:$N$50,2,0),"求和")="最新值",IFERROR(LOOKUP(9.99E+307,G508:R508),""),SUM(G508:R508))))</f>
        <v/>
      </c>
      <c r="T508" s="33" t="n"/>
    </row>
    <row r="509">
      <c r="A509" s="26">
        <f>IF($B509="","",ROW()-3)</f>
        <v/>
      </c>
      <c r="B509" s="27" t="n"/>
      <c r="C509" s="27" t="n"/>
      <c r="D509" s="28" t="n"/>
      <c r="E509" s="29" t="n"/>
      <c r="F509" s="30" t="n"/>
      <c r="G509" s="31" t="n"/>
      <c r="H509" s="31" t="n"/>
      <c r="I509" s="31" t="n"/>
      <c r="J509" s="31" t="n"/>
      <c r="K509" s="31" t="n"/>
      <c r="L509" s="31" t="n"/>
      <c r="M509" s="31" t="n"/>
      <c r="N509" s="31" t="n"/>
      <c r="O509" s="31" t="n"/>
      <c r="P509" s="31" t="n"/>
      <c r="Q509" s="31" t="n"/>
      <c r="R509" s="31" t="n"/>
      <c r="S509" s="32">
        <f>IF($F509="","",IF(IFERROR(VLOOKUP($F509,'维度字典'!$M$2:$N$50,2,0),"求和")="手工录入","",IF(IFERROR(VLOOKUP($F509,'维度字典'!$M$2:$N$50,2,0),"求和")="最新值",IFERROR(LOOKUP(9.99E+307,G509:R509),""),SUM(G509:R509))))</f>
        <v/>
      </c>
      <c r="T509" s="33" t="n"/>
    </row>
    <row r="510">
      <c r="A510" s="26">
        <f>IF($B510="","",ROW()-3)</f>
        <v/>
      </c>
      <c r="B510" s="27" t="n"/>
      <c r="C510" s="27" t="n"/>
      <c r="D510" s="28" t="n"/>
      <c r="E510" s="29" t="n"/>
      <c r="F510" s="30" t="n"/>
      <c r="G510" s="31" t="n"/>
      <c r="H510" s="31" t="n"/>
      <c r="I510" s="31" t="n"/>
      <c r="J510" s="31" t="n"/>
      <c r="K510" s="31" t="n"/>
      <c r="L510" s="31" t="n"/>
      <c r="M510" s="31" t="n"/>
      <c r="N510" s="31" t="n"/>
      <c r="O510" s="31" t="n"/>
      <c r="P510" s="31" t="n"/>
      <c r="Q510" s="31" t="n"/>
      <c r="R510" s="31" t="n"/>
      <c r="S510" s="32">
        <f>IF($F510="","",IF(IFERROR(VLOOKUP($F510,'维度字典'!$M$2:$N$50,2,0),"求和")="手工录入","",IF(IFERROR(VLOOKUP($F510,'维度字典'!$M$2:$N$50,2,0),"求和")="最新值",IFERROR(LOOKUP(9.99E+307,G510:R510),""),SUM(G510:R510))))</f>
        <v/>
      </c>
      <c r="T510" s="33" t="n"/>
    </row>
    <row r="511">
      <c r="A511" s="26">
        <f>IF($B511="","",ROW()-3)</f>
        <v/>
      </c>
      <c r="B511" s="27" t="n"/>
      <c r="C511" s="27" t="n"/>
      <c r="D511" s="28" t="n"/>
      <c r="E511" s="29" t="n"/>
      <c r="F511" s="30" t="n"/>
      <c r="G511" s="31" t="n"/>
      <c r="H511" s="31" t="n"/>
      <c r="I511" s="31" t="n"/>
      <c r="J511" s="31" t="n"/>
      <c r="K511" s="31" t="n"/>
      <c r="L511" s="31" t="n"/>
      <c r="M511" s="31" t="n"/>
      <c r="N511" s="31" t="n"/>
      <c r="O511" s="31" t="n"/>
      <c r="P511" s="31" t="n"/>
      <c r="Q511" s="31" t="n"/>
      <c r="R511" s="31" t="n"/>
      <c r="S511" s="32">
        <f>IF($F511="","",IF(IFERROR(VLOOKUP($F511,'维度字典'!$M$2:$N$50,2,0),"求和")="手工录入","",IF(IFERROR(VLOOKUP($F511,'维度字典'!$M$2:$N$50,2,0),"求和")="最新值",IFERROR(LOOKUP(9.99E+307,G511:R511),""),SUM(G511:R511))))</f>
        <v/>
      </c>
      <c r="T511" s="33" t="n"/>
    </row>
    <row r="512">
      <c r="A512" s="26">
        <f>IF($B512="","",ROW()-3)</f>
        <v/>
      </c>
      <c r="B512" s="27" t="n"/>
      <c r="C512" s="27" t="n"/>
      <c r="D512" s="28" t="n"/>
      <c r="E512" s="29" t="n"/>
      <c r="F512" s="30" t="n"/>
      <c r="G512" s="31" t="n"/>
      <c r="H512" s="31" t="n"/>
      <c r="I512" s="31" t="n"/>
      <c r="J512" s="31" t="n"/>
      <c r="K512" s="31" t="n"/>
      <c r="L512" s="31" t="n"/>
      <c r="M512" s="31" t="n"/>
      <c r="N512" s="31" t="n"/>
      <c r="O512" s="31" t="n"/>
      <c r="P512" s="31" t="n"/>
      <c r="Q512" s="31" t="n"/>
      <c r="R512" s="31" t="n"/>
      <c r="S512" s="32">
        <f>IF($F512="","",IF(IFERROR(VLOOKUP($F512,'维度字典'!$M$2:$N$50,2,0),"求和")="手工录入","",IF(IFERROR(VLOOKUP($F512,'维度字典'!$M$2:$N$50,2,0),"求和")="最新值",IFERROR(LOOKUP(9.99E+307,G512:R512),""),SUM(G512:R512))))</f>
        <v/>
      </c>
      <c r="T512" s="33" t="n"/>
    </row>
    <row r="513">
      <c r="A513" s="26">
        <f>IF($B513="","",ROW()-3)</f>
        <v/>
      </c>
      <c r="B513" s="27" t="n"/>
      <c r="C513" s="27" t="n"/>
      <c r="D513" s="28" t="n"/>
      <c r="E513" s="29" t="n"/>
      <c r="F513" s="30" t="n"/>
      <c r="G513" s="31" t="n"/>
      <c r="H513" s="31" t="n"/>
      <c r="I513" s="31" t="n"/>
      <c r="J513" s="31" t="n"/>
      <c r="K513" s="31" t="n"/>
      <c r="L513" s="31" t="n"/>
      <c r="M513" s="31" t="n"/>
      <c r="N513" s="31" t="n"/>
      <c r="O513" s="31" t="n"/>
      <c r="P513" s="31" t="n"/>
      <c r="Q513" s="31" t="n"/>
      <c r="R513" s="31" t="n"/>
      <c r="S513" s="32">
        <f>IF($F513="","",IF(IFERROR(VLOOKUP($F513,'维度字典'!$M$2:$N$50,2,0),"求和")="手工录入","",IF(IFERROR(VLOOKUP($F513,'维度字典'!$M$2:$N$50,2,0),"求和")="最新值",IFERROR(LOOKUP(9.99E+307,G513:R513),""),SUM(G513:R513))))</f>
        <v/>
      </c>
      <c r="T513" s="33" t="n"/>
    </row>
    <row r="514">
      <c r="A514" s="26">
        <f>IF($B514="","",ROW()-3)</f>
        <v/>
      </c>
      <c r="B514" s="27" t="n"/>
      <c r="C514" s="27" t="n"/>
      <c r="D514" s="28" t="n"/>
      <c r="E514" s="29" t="n"/>
      <c r="F514" s="30" t="n"/>
      <c r="G514" s="31" t="n"/>
      <c r="H514" s="31" t="n"/>
      <c r="I514" s="31" t="n"/>
      <c r="J514" s="31" t="n"/>
      <c r="K514" s="31" t="n"/>
      <c r="L514" s="31" t="n"/>
      <c r="M514" s="31" t="n"/>
      <c r="N514" s="31" t="n"/>
      <c r="O514" s="31" t="n"/>
      <c r="P514" s="31" t="n"/>
      <c r="Q514" s="31" t="n"/>
      <c r="R514" s="31" t="n"/>
      <c r="S514" s="32">
        <f>IF($F514="","",IF(IFERROR(VLOOKUP($F514,'维度字典'!$M$2:$N$50,2,0),"求和")="手工录入","",IF(IFERROR(VLOOKUP($F514,'维度字典'!$M$2:$N$50,2,0),"求和")="最新值",IFERROR(LOOKUP(9.99E+307,G514:R514),""),SUM(G514:R514))))</f>
        <v/>
      </c>
      <c r="T514" s="33" t="n"/>
    </row>
    <row r="515">
      <c r="A515" s="26">
        <f>IF($B515="","",ROW()-3)</f>
        <v/>
      </c>
      <c r="B515" s="27" t="n"/>
      <c r="C515" s="27" t="n"/>
      <c r="D515" s="28" t="n"/>
      <c r="E515" s="29" t="n"/>
      <c r="F515" s="30" t="n"/>
      <c r="G515" s="31" t="n"/>
      <c r="H515" s="31" t="n"/>
      <c r="I515" s="31" t="n"/>
      <c r="J515" s="31" t="n"/>
      <c r="K515" s="31" t="n"/>
      <c r="L515" s="31" t="n"/>
      <c r="M515" s="31" t="n"/>
      <c r="N515" s="31" t="n"/>
      <c r="O515" s="31" t="n"/>
      <c r="P515" s="31" t="n"/>
      <c r="Q515" s="31" t="n"/>
      <c r="R515" s="31" t="n"/>
      <c r="S515" s="32">
        <f>IF($F515="","",IF(IFERROR(VLOOKUP($F515,'维度字典'!$M$2:$N$50,2,0),"求和")="手工录入","",IF(IFERROR(VLOOKUP($F515,'维度字典'!$M$2:$N$50,2,0),"求和")="最新值",IFERROR(LOOKUP(9.99E+307,G515:R515),""),SUM(G515:R515))))</f>
        <v/>
      </c>
      <c r="T515" s="33" t="n"/>
    </row>
    <row r="516">
      <c r="A516" s="26">
        <f>IF($B516="","",ROW()-3)</f>
        <v/>
      </c>
      <c r="B516" s="27" t="n"/>
      <c r="C516" s="27" t="n"/>
      <c r="D516" s="28" t="n"/>
      <c r="E516" s="29" t="n"/>
      <c r="F516" s="30" t="n"/>
      <c r="G516" s="31" t="n"/>
      <c r="H516" s="31" t="n"/>
      <c r="I516" s="31" t="n"/>
      <c r="J516" s="31" t="n"/>
      <c r="K516" s="31" t="n"/>
      <c r="L516" s="31" t="n"/>
      <c r="M516" s="31" t="n"/>
      <c r="N516" s="31" t="n"/>
      <c r="O516" s="31" t="n"/>
      <c r="P516" s="31" t="n"/>
      <c r="Q516" s="31" t="n"/>
      <c r="R516" s="31" t="n"/>
      <c r="S516" s="32">
        <f>IF($F516="","",IF(IFERROR(VLOOKUP($F516,'维度字典'!$M$2:$N$50,2,0),"求和")="手工录入","",IF(IFERROR(VLOOKUP($F516,'维度字典'!$M$2:$N$50,2,0),"求和")="最新值",IFERROR(LOOKUP(9.99E+307,G516:R516),""),SUM(G516:R516))))</f>
        <v/>
      </c>
      <c r="T516" s="33" t="n"/>
    </row>
    <row r="517">
      <c r="A517" s="26">
        <f>IF($B517="","",ROW()-3)</f>
        <v/>
      </c>
      <c r="B517" s="27" t="n"/>
      <c r="C517" s="27" t="n"/>
      <c r="D517" s="28" t="n"/>
      <c r="E517" s="29" t="n"/>
      <c r="F517" s="30" t="n"/>
      <c r="G517" s="31" t="n"/>
      <c r="H517" s="31" t="n"/>
      <c r="I517" s="31" t="n"/>
      <c r="J517" s="31" t="n"/>
      <c r="K517" s="31" t="n"/>
      <c r="L517" s="31" t="n"/>
      <c r="M517" s="31" t="n"/>
      <c r="N517" s="31" t="n"/>
      <c r="O517" s="31" t="n"/>
      <c r="P517" s="31" t="n"/>
      <c r="Q517" s="31" t="n"/>
      <c r="R517" s="31" t="n"/>
      <c r="S517" s="32">
        <f>IF($F517="","",IF(IFERROR(VLOOKUP($F517,'维度字典'!$M$2:$N$50,2,0),"求和")="手工录入","",IF(IFERROR(VLOOKUP($F517,'维度字典'!$M$2:$N$50,2,0),"求和")="最新值",IFERROR(LOOKUP(9.99E+307,G517:R517),""),SUM(G517:R517))))</f>
        <v/>
      </c>
      <c r="T517" s="33" t="n"/>
    </row>
    <row r="518">
      <c r="A518" s="26">
        <f>IF($B518="","",ROW()-3)</f>
        <v/>
      </c>
      <c r="B518" s="27" t="n"/>
      <c r="C518" s="27" t="n"/>
      <c r="D518" s="28" t="n"/>
      <c r="E518" s="29" t="n"/>
      <c r="F518" s="30" t="n"/>
      <c r="G518" s="31" t="n"/>
      <c r="H518" s="31" t="n"/>
      <c r="I518" s="31" t="n"/>
      <c r="J518" s="31" t="n"/>
      <c r="K518" s="31" t="n"/>
      <c r="L518" s="31" t="n"/>
      <c r="M518" s="31" t="n"/>
      <c r="N518" s="31" t="n"/>
      <c r="O518" s="31" t="n"/>
      <c r="P518" s="31" t="n"/>
      <c r="Q518" s="31" t="n"/>
      <c r="R518" s="31" t="n"/>
      <c r="S518" s="32">
        <f>IF($F518="","",IF(IFERROR(VLOOKUP($F518,'维度字典'!$M$2:$N$50,2,0),"求和")="手工录入","",IF(IFERROR(VLOOKUP($F518,'维度字典'!$M$2:$N$50,2,0),"求和")="最新值",IFERROR(LOOKUP(9.99E+307,G518:R518),""),SUM(G518:R518))))</f>
        <v/>
      </c>
      <c r="T518" s="33" t="n"/>
    </row>
    <row r="519">
      <c r="A519" s="26">
        <f>IF($B519="","",ROW()-3)</f>
        <v/>
      </c>
      <c r="B519" s="27" t="n"/>
      <c r="C519" s="27" t="n"/>
      <c r="D519" s="28" t="n"/>
      <c r="E519" s="29" t="n"/>
      <c r="F519" s="30" t="n"/>
      <c r="G519" s="31" t="n"/>
      <c r="H519" s="31" t="n"/>
      <c r="I519" s="31" t="n"/>
      <c r="J519" s="31" t="n"/>
      <c r="K519" s="31" t="n"/>
      <c r="L519" s="31" t="n"/>
      <c r="M519" s="31" t="n"/>
      <c r="N519" s="31" t="n"/>
      <c r="O519" s="31" t="n"/>
      <c r="P519" s="31" t="n"/>
      <c r="Q519" s="31" t="n"/>
      <c r="R519" s="31" t="n"/>
      <c r="S519" s="32">
        <f>IF($F519="","",IF(IFERROR(VLOOKUP($F519,'维度字典'!$M$2:$N$50,2,0),"求和")="手工录入","",IF(IFERROR(VLOOKUP($F519,'维度字典'!$M$2:$N$50,2,0),"求和")="最新值",IFERROR(LOOKUP(9.99E+307,G519:R519),""),SUM(G519:R519))))</f>
        <v/>
      </c>
      <c r="T519" s="33" t="n"/>
    </row>
    <row r="520">
      <c r="A520" s="26">
        <f>IF($B520="","",ROW()-3)</f>
        <v/>
      </c>
      <c r="B520" s="27" t="n"/>
      <c r="C520" s="27" t="n"/>
      <c r="D520" s="28" t="n"/>
      <c r="E520" s="29" t="n"/>
      <c r="F520" s="30" t="n"/>
      <c r="G520" s="31" t="n"/>
      <c r="H520" s="31" t="n"/>
      <c r="I520" s="31" t="n"/>
      <c r="J520" s="31" t="n"/>
      <c r="K520" s="31" t="n"/>
      <c r="L520" s="31" t="n"/>
      <c r="M520" s="31" t="n"/>
      <c r="N520" s="31" t="n"/>
      <c r="O520" s="31" t="n"/>
      <c r="P520" s="31" t="n"/>
      <c r="Q520" s="31" t="n"/>
      <c r="R520" s="31" t="n"/>
      <c r="S520" s="32">
        <f>IF($F520="","",IF(IFERROR(VLOOKUP($F520,'维度字典'!$M$2:$N$50,2,0),"求和")="手工录入","",IF(IFERROR(VLOOKUP($F520,'维度字典'!$M$2:$N$50,2,0),"求和")="最新值",IFERROR(LOOKUP(9.99E+307,G520:R520),""),SUM(G520:R520))))</f>
        <v/>
      </c>
      <c r="T520" s="33" t="n"/>
    </row>
    <row r="521">
      <c r="A521" s="26">
        <f>IF($B521="","",ROW()-3)</f>
        <v/>
      </c>
      <c r="B521" s="27" t="n"/>
      <c r="C521" s="27" t="n"/>
      <c r="D521" s="28" t="n"/>
      <c r="E521" s="29" t="n"/>
      <c r="F521" s="30" t="n"/>
      <c r="G521" s="31" t="n"/>
      <c r="H521" s="31" t="n"/>
      <c r="I521" s="31" t="n"/>
      <c r="J521" s="31" t="n"/>
      <c r="K521" s="31" t="n"/>
      <c r="L521" s="31" t="n"/>
      <c r="M521" s="31" t="n"/>
      <c r="N521" s="31" t="n"/>
      <c r="O521" s="31" t="n"/>
      <c r="P521" s="31" t="n"/>
      <c r="Q521" s="31" t="n"/>
      <c r="R521" s="31" t="n"/>
      <c r="S521" s="32">
        <f>IF($F521="","",IF(IFERROR(VLOOKUP($F521,'维度字典'!$M$2:$N$50,2,0),"求和")="手工录入","",IF(IFERROR(VLOOKUP($F521,'维度字典'!$M$2:$N$50,2,0),"求和")="最新值",IFERROR(LOOKUP(9.99E+307,G521:R521),""),SUM(G521:R521))))</f>
        <v/>
      </c>
      <c r="T521" s="33" t="n"/>
    </row>
    <row r="522">
      <c r="A522" s="26">
        <f>IF($B522="","",ROW()-3)</f>
        <v/>
      </c>
      <c r="B522" s="27" t="n"/>
      <c r="C522" s="27" t="n"/>
      <c r="D522" s="28" t="n"/>
      <c r="E522" s="29" t="n"/>
      <c r="F522" s="30" t="n"/>
      <c r="G522" s="31" t="n"/>
      <c r="H522" s="31" t="n"/>
      <c r="I522" s="31" t="n"/>
      <c r="J522" s="31" t="n"/>
      <c r="K522" s="31" t="n"/>
      <c r="L522" s="31" t="n"/>
      <c r="M522" s="31" t="n"/>
      <c r="N522" s="31" t="n"/>
      <c r="O522" s="31" t="n"/>
      <c r="P522" s="31" t="n"/>
      <c r="Q522" s="31" t="n"/>
      <c r="R522" s="31" t="n"/>
      <c r="S522" s="32">
        <f>IF($F522="","",IF(IFERROR(VLOOKUP($F522,'维度字典'!$M$2:$N$50,2,0),"求和")="手工录入","",IF(IFERROR(VLOOKUP($F522,'维度字典'!$M$2:$N$50,2,0),"求和")="最新值",IFERROR(LOOKUP(9.99E+307,G522:R522),""),SUM(G522:R522))))</f>
        <v/>
      </c>
      <c r="T522" s="33" t="n"/>
    </row>
    <row r="523">
      <c r="A523" s="26">
        <f>IF($B523="","",ROW()-3)</f>
        <v/>
      </c>
      <c r="B523" s="27" t="n"/>
      <c r="C523" s="27" t="n"/>
      <c r="D523" s="28" t="n"/>
      <c r="E523" s="29" t="n"/>
      <c r="F523" s="30" t="n"/>
      <c r="G523" s="31" t="n"/>
      <c r="H523" s="31" t="n"/>
      <c r="I523" s="31" t="n"/>
      <c r="J523" s="31" t="n"/>
      <c r="K523" s="31" t="n"/>
      <c r="L523" s="31" t="n"/>
      <c r="M523" s="31" t="n"/>
      <c r="N523" s="31" t="n"/>
      <c r="O523" s="31" t="n"/>
      <c r="P523" s="31" t="n"/>
      <c r="Q523" s="31" t="n"/>
      <c r="R523" s="31" t="n"/>
      <c r="S523" s="32">
        <f>IF($F523="","",IF(IFERROR(VLOOKUP($F523,'维度字典'!$M$2:$N$50,2,0),"求和")="手工录入","",IF(IFERROR(VLOOKUP($F523,'维度字典'!$M$2:$N$50,2,0),"求和")="最新值",IFERROR(LOOKUP(9.99E+307,G523:R523),""),SUM(G523:R523))))</f>
        <v/>
      </c>
      <c r="T523" s="33" t="n"/>
    </row>
    <row r="524">
      <c r="A524" s="26">
        <f>IF($B524="","",ROW()-3)</f>
        <v/>
      </c>
      <c r="B524" s="27" t="n"/>
      <c r="C524" s="27" t="n"/>
      <c r="D524" s="28" t="n"/>
      <c r="E524" s="29" t="n"/>
      <c r="F524" s="30" t="n"/>
      <c r="G524" s="31" t="n"/>
      <c r="H524" s="31" t="n"/>
      <c r="I524" s="31" t="n"/>
      <c r="J524" s="31" t="n"/>
      <c r="K524" s="31" t="n"/>
      <c r="L524" s="31" t="n"/>
      <c r="M524" s="31" t="n"/>
      <c r="N524" s="31" t="n"/>
      <c r="O524" s="31" t="n"/>
      <c r="P524" s="31" t="n"/>
      <c r="Q524" s="31" t="n"/>
      <c r="R524" s="31" t="n"/>
      <c r="S524" s="32">
        <f>IF($F524="","",IF(IFERROR(VLOOKUP($F524,'维度字典'!$M$2:$N$50,2,0),"求和")="手工录入","",IF(IFERROR(VLOOKUP($F524,'维度字典'!$M$2:$N$50,2,0),"求和")="最新值",IFERROR(LOOKUP(9.99E+307,G524:R524),""),SUM(G524:R524))))</f>
        <v/>
      </c>
      <c r="T524" s="33" t="n"/>
    </row>
    <row r="525">
      <c r="A525" s="26">
        <f>IF($B525="","",ROW()-3)</f>
        <v/>
      </c>
      <c r="B525" s="27" t="n"/>
      <c r="C525" s="27" t="n"/>
      <c r="D525" s="28" t="n"/>
      <c r="E525" s="29" t="n"/>
      <c r="F525" s="30" t="n"/>
      <c r="G525" s="31" t="n"/>
      <c r="H525" s="31" t="n"/>
      <c r="I525" s="31" t="n"/>
      <c r="J525" s="31" t="n"/>
      <c r="K525" s="31" t="n"/>
      <c r="L525" s="31" t="n"/>
      <c r="M525" s="31" t="n"/>
      <c r="N525" s="31" t="n"/>
      <c r="O525" s="31" t="n"/>
      <c r="P525" s="31" t="n"/>
      <c r="Q525" s="31" t="n"/>
      <c r="R525" s="31" t="n"/>
      <c r="S525" s="32">
        <f>IF($F525="","",IF(IFERROR(VLOOKUP($F525,'维度字典'!$M$2:$N$50,2,0),"求和")="手工录入","",IF(IFERROR(VLOOKUP($F525,'维度字典'!$M$2:$N$50,2,0),"求和")="最新值",IFERROR(LOOKUP(9.99E+307,G525:R525),""),SUM(G525:R525))))</f>
        <v/>
      </c>
      <c r="T525" s="33" t="n"/>
    </row>
    <row r="526">
      <c r="A526" s="26">
        <f>IF($B526="","",ROW()-3)</f>
        <v/>
      </c>
      <c r="B526" s="27" t="n"/>
      <c r="C526" s="27" t="n"/>
      <c r="D526" s="28" t="n"/>
      <c r="E526" s="29" t="n"/>
      <c r="F526" s="30" t="n"/>
      <c r="G526" s="31" t="n"/>
      <c r="H526" s="31" t="n"/>
      <c r="I526" s="31" t="n"/>
      <c r="J526" s="31" t="n"/>
      <c r="K526" s="31" t="n"/>
      <c r="L526" s="31" t="n"/>
      <c r="M526" s="31" t="n"/>
      <c r="N526" s="31" t="n"/>
      <c r="O526" s="31" t="n"/>
      <c r="P526" s="31" t="n"/>
      <c r="Q526" s="31" t="n"/>
      <c r="R526" s="31" t="n"/>
      <c r="S526" s="32">
        <f>IF($F526="","",IF(IFERROR(VLOOKUP($F526,'维度字典'!$M$2:$N$50,2,0),"求和")="手工录入","",IF(IFERROR(VLOOKUP($F526,'维度字典'!$M$2:$N$50,2,0),"求和")="最新值",IFERROR(LOOKUP(9.99E+307,G526:R526),""),SUM(G526:R526))))</f>
        <v/>
      </c>
      <c r="T526" s="33" t="n"/>
    </row>
    <row r="527">
      <c r="A527" s="26">
        <f>IF($B527="","",ROW()-3)</f>
        <v/>
      </c>
      <c r="B527" s="27" t="n"/>
      <c r="C527" s="27" t="n"/>
      <c r="D527" s="28" t="n"/>
      <c r="E527" s="29" t="n"/>
      <c r="F527" s="30" t="n"/>
      <c r="G527" s="31" t="n"/>
      <c r="H527" s="31" t="n"/>
      <c r="I527" s="31" t="n"/>
      <c r="J527" s="31" t="n"/>
      <c r="K527" s="31" t="n"/>
      <c r="L527" s="31" t="n"/>
      <c r="M527" s="31" t="n"/>
      <c r="N527" s="31" t="n"/>
      <c r="O527" s="31" t="n"/>
      <c r="P527" s="31" t="n"/>
      <c r="Q527" s="31" t="n"/>
      <c r="R527" s="31" t="n"/>
      <c r="S527" s="32">
        <f>IF($F527="","",IF(IFERROR(VLOOKUP($F527,'维度字典'!$M$2:$N$50,2,0),"求和")="手工录入","",IF(IFERROR(VLOOKUP($F527,'维度字典'!$M$2:$N$50,2,0),"求和")="最新值",IFERROR(LOOKUP(9.99E+307,G527:R527),""),SUM(G527:R527))))</f>
        <v/>
      </c>
      <c r="T527" s="33" t="n"/>
    </row>
    <row r="528">
      <c r="A528" s="26">
        <f>IF($B528="","",ROW()-3)</f>
        <v/>
      </c>
      <c r="B528" s="27" t="n"/>
      <c r="C528" s="27" t="n"/>
      <c r="D528" s="28" t="n"/>
      <c r="E528" s="29" t="n"/>
      <c r="F528" s="30" t="n"/>
      <c r="G528" s="31" t="n"/>
      <c r="H528" s="31" t="n"/>
      <c r="I528" s="31" t="n"/>
      <c r="J528" s="31" t="n"/>
      <c r="K528" s="31" t="n"/>
      <c r="L528" s="31" t="n"/>
      <c r="M528" s="31" t="n"/>
      <c r="N528" s="31" t="n"/>
      <c r="O528" s="31" t="n"/>
      <c r="P528" s="31" t="n"/>
      <c r="Q528" s="31" t="n"/>
      <c r="R528" s="31" t="n"/>
      <c r="S528" s="32">
        <f>IF($F528="","",IF(IFERROR(VLOOKUP($F528,'维度字典'!$M$2:$N$50,2,0),"求和")="手工录入","",IF(IFERROR(VLOOKUP($F528,'维度字典'!$M$2:$N$50,2,0),"求和")="最新值",IFERROR(LOOKUP(9.99E+307,G528:R528),""),SUM(G528:R528))))</f>
        <v/>
      </c>
      <c r="T528" s="33" t="n"/>
    </row>
    <row r="529">
      <c r="A529" s="26">
        <f>IF($B529="","",ROW()-3)</f>
        <v/>
      </c>
      <c r="B529" s="27" t="n"/>
      <c r="C529" s="27" t="n"/>
      <c r="D529" s="28" t="n"/>
      <c r="E529" s="29" t="n"/>
      <c r="F529" s="30" t="n"/>
      <c r="G529" s="31" t="n"/>
      <c r="H529" s="31" t="n"/>
      <c r="I529" s="31" t="n"/>
      <c r="J529" s="31" t="n"/>
      <c r="K529" s="31" t="n"/>
      <c r="L529" s="31" t="n"/>
      <c r="M529" s="31" t="n"/>
      <c r="N529" s="31" t="n"/>
      <c r="O529" s="31" t="n"/>
      <c r="P529" s="31" t="n"/>
      <c r="Q529" s="31" t="n"/>
      <c r="R529" s="31" t="n"/>
      <c r="S529" s="32">
        <f>IF($F529="","",IF(IFERROR(VLOOKUP($F529,'维度字典'!$M$2:$N$50,2,0),"求和")="手工录入","",IF(IFERROR(VLOOKUP($F529,'维度字典'!$M$2:$N$50,2,0),"求和")="最新值",IFERROR(LOOKUP(9.99E+307,G529:R529),""),SUM(G529:R529))))</f>
        <v/>
      </c>
      <c r="T529" s="33" t="n"/>
    </row>
    <row r="530">
      <c r="A530" s="26">
        <f>IF($B530="","",ROW()-3)</f>
        <v/>
      </c>
      <c r="B530" s="27" t="n"/>
      <c r="C530" s="27" t="n"/>
      <c r="D530" s="28" t="n"/>
      <c r="E530" s="29" t="n"/>
      <c r="F530" s="30" t="n"/>
      <c r="G530" s="31" t="n"/>
      <c r="H530" s="31" t="n"/>
      <c r="I530" s="31" t="n"/>
      <c r="J530" s="31" t="n"/>
      <c r="K530" s="31" t="n"/>
      <c r="L530" s="31" t="n"/>
      <c r="M530" s="31" t="n"/>
      <c r="N530" s="31" t="n"/>
      <c r="O530" s="31" t="n"/>
      <c r="P530" s="31" t="n"/>
      <c r="Q530" s="31" t="n"/>
      <c r="R530" s="31" t="n"/>
      <c r="S530" s="32">
        <f>IF($F530="","",IF(IFERROR(VLOOKUP($F530,'维度字典'!$M$2:$N$50,2,0),"求和")="手工录入","",IF(IFERROR(VLOOKUP($F530,'维度字典'!$M$2:$N$50,2,0),"求和")="最新值",IFERROR(LOOKUP(9.99E+307,G530:R530),""),SUM(G530:R530))))</f>
        <v/>
      </c>
      <c r="T530" s="33" t="n"/>
    </row>
    <row r="531">
      <c r="A531" s="26">
        <f>IF($B531="","",ROW()-3)</f>
        <v/>
      </c>
      <c r="B531" s="27" t="n"/>
      <c r="C531" s="27" t="n"/>
      <c r="D531" s="28" t="n"/>
      <c r="E531" s="29" t="n"/>
      <c r="F531" s="30" t="n"/>
      <c r="G531" s="31" t="n"/>
      <c r="H531" s="31" t="n"/>
      <c r="I531" s="31" t="n"/>
      <c r="J531" s="31" t="n"/>
      <c r="K531" s="31" t="n"/>
      <c r="L531" s="31" t="n"/>
      <c r="M531" s="31" t="n"/>
      <c r="N531" s="31" t="n"/>
      <c r="O531" s="31" t="n"/>
      <c r="P531" s="31" t="n"/>
      <c r="Q531" s="31" t="n"/>
      <c r="R531" s="31" t="n"/>
      <c r="S531" s="32">
        <f>IF($F531="","",IF(IFERROR(VLOOKUP($F531,'维度字典'!$M$2:$N$50,2,0),"求和")="手工录入","",IF(IFERROR(VLOOKUP($F531,'维度字典'!$M$2:$N$50,2,0),"求和")="最新值",IFERROR(LOOKUP(9.99E+307,G531:R531),""),SUM(G531:R531))))</f>
        <v/>
      </c>
      <c r="T531" s="33" t="n"/>
    </row>
    <row r="532">
      <c r="A532" s="26">
        <f>IF($B532="","",ROW()-3)</f>
        <v/>
      </c>
      <c r="B532" s="27" t="n"/>
      <c r="C532" s="27" t="n"/>
      <c r="D532" s="28" t="n"/>
      <c r="E532" s="29" t="n"/>
      <c r="F532" s="30" t="n"/>
      <c r="G532" s="31" t="n"/>
      <c r="H532" s="31" t="n"/>
      <c r="I532" s="31" t="n"/>
      <c r="J532" s="31" t="n"/>
      <c r="K532" s="31" t="n"/>
      <c r="L532" s="31" t="n"/>
      <c r="M532" s="31" t="n"/>
      <c r="N532" s="31" t="n"/>
      <c r="O532" s="31" t="n"/>
      <c r="P532" s="31" t="n"/>
      <c r="Q532" s="31" t="n"/>
      <c r="R532" s="31" t="n"/>
      <c r="S532" s="32">
        <f>IF($F532="","",IF(IFERROR(VLOOKUP($F532,'维度字典'!$M$2:$N$50,2,0),"求和")="手工录入","",IF(IFERROR(VLOOKUP($F532,'维度字典'!$M$2:$N$50,2,0),"求和")="最新值",IFERROR(LOOKUP(9.99E+307,G532:R532),""),SUM(G532:R532))))</f>
        <v/>
      </c>
      <c r="T532" s="33" t="n"/>
    </row>
    <row r="533">
      <c r="A533" s="26">
        <f>IF($B533="","",ROW()-3)</f>
        <v/>
      </c>
      <c r="B533" s="27" t="n"/>
      <c r="C533" s="27" t="n"/>
      <c r="D533" s="28" t="n"/>
      <c r="E533" s="29" t="n"/>
      <c r="F533" s="30" t="n"/>
      <c r="G533" s="31" t="n"/>
      <c r="H533" s="31" t="n"/>
      <c r="I533" s="31" t="n"/>
      <c r="J533" s="31" t="n"/>
      <c r="K533" s="31" t="n"/>
      <c r="L533" s="31" t="n"/>
      <c r="M533" s="31" t="n"/>
      <c r="N533" s="31" t="n"/>
      <c r="O533" s="31" t="n"/>
      <c r="P533" s="31" t="n"/>
      <c r="Q533" s="31" t="n"/>
      <c r="R533" s="31" t="n"/>
      <c r="S533" s="32">
        <f>IF($F533="","",IF(IFERROR(VLOOKUP($F533,'维度字典'!$M$2:$N$50,2,0),"求和")="手工录入","",IF(IFERROR(VLOOKUP($F533,'维度字典'!$M$2:$N$50,2,0),"求和")="最新值",IFERROR(LOOKUP(9.99E+307,G533:R533),""),SUM(G533:R533))))</f>
        <v/>
      </c>
      <c r="T533" s="33" t="n"/>
    </row>
    <row r="534">
      <c r="A534" s="26">
        <f>IF($B534="","",ROW()-3)</f>
        <v/>
      </c>
      <c r="B534" s="27" t="n"/>
      <c r="C534" s="27" t="n"/>
      <c r="D534" s="28" t="n"/>
      <c r="E534" s="29" t="n"/>
      <c r="F534" s="30" t="n"/>
      <c r="G534" s="31" t="n"/>
      <c r="H534" s="31" t="n"/>
      <c r="I534" s="31" t="n"/>
      <c r="J534" s="31" t="n"/>
      <c r="K534" s="31" t="n"/>
      <c r="L534" s="31" t="n"/>
      <c r="M534" s="31" t="n"/>
      <c r="N534" s="31" t="n"/>
      <c r="O534" s="31" t="n"/>
      <c r="P534" s="31" t="n"/>
      <c r="Q534" s="31" t="n"/>
      <c r="R534" s="31" t="n"/>
      <c r="S534" s="32">
        <f>IF($F534="","",IF(IFERROR(VLOOKUP($F534,'维度字典'!$M$2:$N$50,2,0),"求和")="手工录入","",IF(IFERROR(VLOOKUP($F534,'维度字典'!$M$2:$N$50,2,0),"求和")="最新值",IFERROR(LOOKUP(9.99E+307,G534:R534),""),SUM(G534:R534))))</f>
        <v/>
      </c>
      <c r="T534" s="33" t="n"/>
    </row>
    <row r="535">
      <c r="A535" s="26">
        <f>IF($B535="","",ROW()-3)</f>
        <v/>
      </c>
      <c r="B535" s="27" t="n"/>
      <c r="C535" s="27" t="n"/>
      <c r="D535" s="28" t="n"/>
      <c r="E535" s="29" t="n"/>
      <c r="F535" s="30" t="n"/>
      <c r="G535" s="31" t="n"/>
      <c r="H535" s="31" t="n"/>
      <c r="I535" s="31" t="n"/>
      <c r="J535" s="31" t="n"/>
      <c r="K535" s="31" t="n"/>
      <c r="L535" s="31" t="n"/>
      <c r="M535" s="31" t="n"/>
      <c r="N535" s="31" t="n"/>
      <c r="O535" s="31" t="n"/>
      <c r="P535" s="31" t="n"/>
      <c r="Q535" s="31" t="n"/>
      <c r="R535" s="31" t="n"/>
      <c r="S535" s="32">
        <f>IF($F535="","",IF(IFERROR(VLOOKUP($F535,'维度字典'!$M$2:$N$50,2,0),"求和")="手工录入","",IF(IFERROR(VLOOKUP($F535,'维度字典'!$M$2:$N$50,2,0),"求和")="最新值",IFERROR(LOOKUP(9.99E+307,G535:R535),""),SUM(G535:R535))))</f>
        <v/>
      </c>
      <c r="T535" s="33" t="n"/>
    </row>
    <row r="536">
      <c r="A536" s="26">
        <f>IF($B536="","",ROW()-3)</f>
        <v/>
      </c>
      <c r="B536" s="27" t="n"/>
      <c r="C536" s="27" t="n"/>
      <c r="D536" s="28" t="n"/>
      <c r="E536" s="29" t="n"/>
      <c r="F536" s="30" t="n"/>
      <c r="G536" s="31" t="n"/>
      <c r="H536" s="31" t="n"/>
      <c r="I536" s="31" t="n"/>
      <c r="J536" s="31" t="n"/>
      <c r="K536" s="31" t="n"/>
      <c r="L536" s="31" t="n"/>
      <c r="M536" s="31" t="n"/>
      <c r="N536" s="31" t="n"/>
      <c r="O536" s="31" t="n"/>
      <c r="P536" s="31" t="n"/>
      <c r="Q536" s="31" t="n"/>
      <c r="R536" s="31" t="n"/>
      <c r="S536" s="32">
        <f>IF($F536="","",IF(IFERROR(VLOOKUP($F536,'维度字典'!$M$2:$N$50,2,0),"求和")="手工录入","",IF(IFERROR(VLOOKUP($F536,'维度字典'!$M$2:$N$50,2,0),"求和")="最新值",IFERROR(LOOKUP(9.99E+307,G536:R536),""),SUM(G536:R536))))</f>
        <v/>
      </c>
      <c r="T536" s="33" t="n"/>
    </row>
    <row r="537">
      <c r="A537" s="26">
        <f>IF($B537="","",ROW()-3)</f>
        <v/>
      </c>
      <c r="B537" s="27" t="n"/>
      <c r="C537" s="27" t="n"/>
      <c r="D537" s="28" t="n"/>
      <c r="E537" s="29" t="n"/>
      <c r="F537" s="30" t="n"/>
      <c r="G537" s="31" t="n"/>
      <c r="H537" s="31" t="n"/>
      <c r="I537" s="31" t="n"/>
      <c r="J537" s="31" t="n"/>
      <c r="K537" s="31" t="n"/>
      <c r="L537" s="31" t="n"/>
      <c r="M537" s="31" t="n"/>
      <c r="N537" s="31" t="n"/>
      <c r="O537" s="31" t="n"/>
      <c r="P537" s="31" t="n"/>
      <c r="Q537" s="31" t="n"/>
      <c r="R537" s="31" t="n"/>
      <c r="S537" s="32">
        <f>IF($F537="","",IF(IFERROR(VLOOKUP($F537,'维度字典'!$M$2:$N$50,2,0),"求和")="手工录入","",IF(IFERROR(VLOOKUP($F537,'维度字典'!$M$2:$N$50,2,0),"求和")="最新值",IFERROR(LOOKUP(9.99E+307,G537:R537),""),SUM(G537:R537))))</f>
        <v/>
      </c>
      <c r="T537" s="33" t="n"/>
    </row>
    <row r="538">
      <c r="A538" s="26">
        <f>IF($B538="","",ROW()-3)</f>
        <v/>
      </c>
      <c r="B538" s="27" t="n"/>
      <c r="C538" s="27" t="n"/>
      <c r="D538" s="28" t="n"/>
      <c r="E538" s="29" t="n"/>
      <c r="F538" s="30" t="n"/>
      <c r="G538" s="31" t="n"/>
      <c r="H538" s="31" t="n"/>
      <c r="I538" s="31" t="n"/>
      <c r="J538" s="31" t="n"/>
      <c r="K538" s="31" t="n"/>
      <c r="L538" s="31" t="n"/>
      <c r="M538" s="31" t="n"/>
      <c r="N538" s="31" t="n"/>
      <c r="O538" s="31" t="n"/>
      <c r="P538" s="31" t="n"/>
      <c r="Q538" s="31" t="n"/>
      <c r="R538" s="31" t="n"/>
      <c r="S538" s="32">
        <f>IF($F538="","",IF(IFERROR(VLOOKUP($F538,'维度字典'!$M$2:$N$50,2,0),"求和")="手工录入","",IF(IFERROR(VLOOKUP($F538,'维度字典'!$M$2:$N$50,2,0),"求和")="最新值",IFERROR(LOOKUP(9.99E+307,G538:R538),""),SUM(G538:R538))))</f>
        <v/>
      </c>
      <c r="T538" s="33" t="n"/>
    </row>
    <row r="539">
      <c r="A539" s="26">
        <f>IF($B539="","",ROW()-3)</f>
        <v/>
      </c>
      <c r="B539" s="27" t="n"/>
      <c r="C539" s="27" t="n"/>
      <c r="D539" s="28" t="n"/>
      <c r="E539" s="29" t="n"/>
      <c r="F539" s="30" t="n"/>
      <c r="G539" s="31" t="n"/>
      <c r="H539" s="31" t="n"/>
      <c r="I539" s="31" t="n"/>
      <c r="J539" s="31" t="n"/>
      <c r="K539" s="31" t="n"/>
      <c r="L539" s="31" t="n"/>
      <c r="M539" s="31" t="n"/>
      <c r="N539" s="31" t="n"/>
      <c r="O539" s="31" t="n"/>
      <c r="P539" s="31" t="n"/>
      <c r="Q539" s="31" t="n"/>
      <c r="R539" s="31" t="n"/>
      <c r="S539" s="32">
        <f>IF($F539="","",IF(IFERROR(VLOOKUP($F539,'维度字典'!$M$2:$N$50,2,0),"求和")="手工录入","",IF(IFERROR(VLOOKUP($F539,'维度字典'!$M$2:$N$50,2,0),"求和")="最新值",IFERROR(LOOKUP(9.99E+307,G539:R539),""),SUM(G539:R539))))</f>
        <v/>
      </c>
      <c r="T539" s="33" t="n"/>
    </row>
    <row r="540">
      <c r="A540" s="26">
        <f>IF($B540="","",ROW()-3)</f>
        <v/>
      </c>
      <c r="B540" s="27" t="n"/>
      <c r="C540" s="27" t="n"/>
      <c r="D540" s="28" t="n"/>
      <c r="E540" s="29" t="n"/>
      <c r="F540" s="30" t="n"/>
      <c r="G540" s="31" t="n"/>
      <c r="H540" s="31" t="n"/>
      <c r="I540" s="31" t="n"/>
      <c r="J540" s="31" t="n"/>
      <c r="K540" s="31" t="n"/>
      <c r="L540" s="31" t="n"/>
      <c r="M540" s="31" t="n"/>
      <c r="N540" s="31" t="n"/>
      <c r="O540" s="31" t="n"/>
      <c r="P540" s="31" t="n"/>
      <c r="Q540" s="31" t="n"/>
      <c r="R540" s="31" t="n"/>
      <c r="S540" s="32">
        <f>IF($F540="","",IF(IFERROR(VLOOKUP($F540,'维度字典'!$M$2:$N$50,2,0),"求和")="手工录入","",IF(IFERROR(VLOOKUP($F540,'维度字典'!$M$2:$N$50,2,0),"求和")="最新值",IFERROR(LOOKUP(9.99E+307,G540:R540),""),SUM(G540:R540))))</f>
        <v/>
      </c>
      <c r="T540" s="33" t="n"/>
    </row>
    <row r="541">
      <c r="A541" s="26">
        <f>IF($B541="","",ROW()-3)</f>
        <v/>
      </c>
      <c r="B541" s="27" t="n"/>
      <c r="C541" s="27" t="n"/>
      <c r="D541" s="28" t="n"/>
      <c r="E541" s="29" t="n"/>
      <c r="F541" s="30" t="n"/>
      <c r="G541" s="31" t="n"/>
      <c r="H541" s="31" t="n"/>
      <c r="I541" s="31" t="n"/>
      <c r="J541" s="31" t="n"/>
      <c r="K541" s="31" t="n"/>
      <c r="L541" s="31" t="n"/>
      <c r="M541" s="31" t="n"/>
      <c r="N541" s="31" t="n"/>
      <c r="O541" s="31" t="n"/>
      <c r="P541" s="31" t="n"/>
      <c r="Q541" s="31" t="n"/>
      <c r="R541" s="31" t="n"/>
      <c r="S541" s="32">
        <f>IF($F541="","",IF(IFERROR(VLOOKUP($F541,'维度字典'!$M$2:$N$50,2,0),"求和")="手工录入","",IF(IFERROR(VLOOKUP($F541,'维度字典'!$M$2:$N$50,2,0),"求和")="最新值",IFERROR(LOOKUP(9.99E+307,G541:R541),""),SUM(G541:R541))))</f>
        <v/>
      </c>
      <c r="T541" s="33" t="n"/>
    </row>
    <row r="542">
      <c r="A542" s="26">
        <f>IF($B542="","",ROW()-3)</f>
        <v/>
      </c>
      <c r="B542" s="27" t="n"/>
      <c r="C542" s="27" t="n"/>
      <c r="D542" s="28" t="n"/>
      <c r="E542" s="29" t="n"/>
      <c r="F542" s="30" t="n"/>
      <c r="G542" s="31" t="n"/>
      <c r="H542" s="31" t="n"/>
      <c r="I542" s="31" t="n"/>
      <c r="J542" s="31" t="n"/>
      <c r="K542" s="31" t="n"/>
      <c r="L542" s="31" t="n"/>
      <c r="M542" s="31" t="n"/>
      <c r="N542" s="31" t="n"/>
      <c r="O542" s="31" t="n"/>
      <c r="P542" s="31" t="n"/>
      <c r="Q542" s="31" t="n"/>
      <c r="R542" s="31" t="n"/>
      <c r="S542" s="32">
        <f>IF($F542="","",IF(IFERROR(VLOOKUP($F542,'维度字典'!$M$2:$N$50,2,0),"求和")="手工录入","",IF(IFERROR(VLOOKUP($F542,'维度字典'!$M$2:$N$50,2,0),"求和")="最新值",IFERROR(LOOKUP(9.99E+307,G542:R542),""),SUM(G542:R542))))</f>
        <v/>
      </c>
      <c r="T542" s="33" t="n"/>
    </row>
    <row r="543">
      <c r="A543" s="26">
        <f>IF($B543="","",ROW()-3)</f>
        <v/>
      </c>
      <c r="B543" s="27" t="n"/>
      <c r="C543" s="27" t="n"/>
      <c r="D543" s="28" t="n"/>
      <c r="E543" s="29" t="n"/>
      <c r="F543" s="30" t="n"/>
      <c r="G543" s="31" t="n"/>
      <c r="H543" s="31" t="n"/>
      <c r="I543" s="31" t="n"/>
      <c r="J543" s="31" t="n"/>
      <c r="K543" s="31" t="n"/>
      <c r="L543" s="31" t="n"/>
      <c r="M543" s="31" t="n"/>
      <c r="N543" s="31" t="n"/>
      <c r="O543" s="31" t="n"/>
      <c r="P543" s="31" t="n"/>
      <c r="Q543" s="31" t="n"/>
      <c r="R543" s="31" t="n"/>
      <c r="S543" s="32">
        <f>IF($F543="","",IF(IFERROR(VLOOKUP($F543,'维度字典'!$M$2:$N$50,2,0),"求和")="手工录入","",IF(IFERROR(VLOOKUP($F543,'维度字典'!$M$2:$N$50,2,0),"求和")="最新值",IFERROR(LOOKUP(9.99E+307,G543:R543),""),SUM(G543:R543))))</f>
        <v/>
      </c>
      <c r="T543" s="33" t="n"/>
    </row>
    <row r="544">
      <c r="A544" s="26">
        <f>IF($B544="","",ROW()-3)</f>
        <v/>
      </c>
      <c r="B544" s="27" t="n"/>
      <c r="C544" s="27" t="n"/>
      <c r="D544" s="28" t="n"/>
      <c r="E544" s="29" t="n"/>
      <c r="F544" s="30" t="n"/>
      <c r="G544" s="31" t="n"/>
      <c r="H544" s="31" t="n"/>
      <c r="I544" s="31" t="n"/>
      <c r="J544" s="31" t="n"/>
      <c r="K544" s="31" t="n"/>
      <c r="L544" s="31" t="n"/>
      <c r="M544" s="31" t="n"/>
      <c r="N544" s="31" t="n"/>
      <c r="O544" s="31" t="n"/>
      <c r="P544" s="31" t="n"/>
      <c r="Q544" s="31" t="n"/>
      <c r="R544" s="31" t="n"/>
      <c r="S544" s="32">
        <f>IF($F544="","",IF(IFERROR(VLOOKUP($F544,'维度字典'!$M$2:$N$50,2,0),"求和")="手工录入","",IF(IFERROR(VLOOKUP($F544,'维度字典'!$M$2:$N$50,2,0),"求和")="最新值",IFERROR(LOOKUP(9.99E+307,G544:R544),""),SUM(G544:R544))))</f>
        <v/>
      </c>
      <c r="T544" s="33" t="n"/>
    </row>
    <row r="545">
      <c r="A545" s="26">
        <f>IF($B545="","",ROW()-3)</f>
        <v/>
      </c>
      <c r="B545" s="27" t="n"/>
      <c r="C545" s="27" t="n"/>
      <c r="D545" s="28" t="n"/>
      <c r="E545" s="29" t="n"/>
      <c r="F545" s="30" t="n"/>
      <c r="G545" s="31" t="n"/>
      <c r="H545" s="31" t="n"/>
      <c r="I545" s="31" t="n"/>
      <c r="J545" s="31" t="n"/>
      <c r="K545" s="31" t="n"/>
      <c r="L545" s="31" t="n"/>
      <c r="M545" s="31" t="n"/>
      <c r="N545" s="31" t="n"/>
      <c r="O545" s="31" t="n"/>
      <c r="P545" s="31" t="n"/>
      <c r="Q545" s="31" t="n"/>
      <c r="R545" s="31" t="n"/>
      <c r="S545" s="32">
        <f>IF($F545="","",IF(IFERROR(VLOOKUP($F545,'维度字典'!$M$2:$N$50,2,0),"求和")="手工录入","",IF(IFERROR(VLOOKUP($F545,'维度字典'!$M$2:$N$50,2,0),"求和")="最新值",IFERROR(LOOKUP(9.99E+307,G545:R545),""),SUM(G545:R545))))</f>
        <v/>
      </c>
      <c r="T545" s="33" t="n"/>
    </row>
    <row r="546">
      <c r="A546" s="26">
        <f>IF($B546="","",ROW()-3)</f>
        <v/>
      </c>
      <c r="B546" s="27" t="n"/>
      <c r="C546" s="27" t="n"/>
      <c r="D546" s="28" t="n"/>
      <c r="E546" s="29" t="n"/>
      <c r="F546" s="30" t="n"/>
      <c r="G546" s="31" t="n"/>
      <c r="H546" s="31" t="n"/>
      <c r="I546" s="31" t="n"/>
      <c r="J546" s="31" t="n"/>
      <c r="K546" s="31" t="n"/>
      <c r="L546" s="31" t="n"/>
      <c r="M546" s="31" t="n"/>
      <c r="N546" s="31" t="n"/>
      <c r="O546" s="31" t="n"/>
      <c r="P546" s="31" t="n"/>
      <c r="Q546" s="31" t="n"/>
      <c r="R546" s="31" t="n"/>
      <c r="S546" s="32">
        <f>IF($F546="","",IF(IFERROR(VLOOKUP($F546,'维度字典'!$M$2:$N$50,2,0),"求和")="手工录入","",IF(IFERROR(VLOOKUP($F546,'维度字典'!$M$2:$N$50,2,0),"求和")="最新值",IFERROR(LOOKUP(9.99E+307,G546:R546),""),SUM(G546:R546))))</f>
        <v/>
      </c>
      <c r="T546" s="33" t="n"/>
    </row>
    <row r="547">
      <c r="A547" s="26">
        <f>IF($B547="","",ROW()-3)</f>
        <v/>
      </c>
      <c r="B547" s="27" t="n"/>
      <c r="C547" s="27" t="n"/>
      <c r="D547" s="28" t="n"/>
      <c r="E547" s="29" t="n"/>
      <c r="F547" s="30" t="n"/>
      <c r="G547" s="31" t="n"/>
      <c r="H547" s="31" t="n"/>
      <c r="I547" s="31" t="n"/>
      <c r="J547" s="31" t="n"/>
      <c r="K547" s="31" t="n"/>
      <c r="L547" s="31" t="n"/>
      <c r="M547" s="31" t="n"/>
      <c r="N547" s="31" t="n"/>
      <c r="O547" s="31" t="n"/>
      <c r="P547" s="31" t="n"/>
      <c r="Q547" s="31" t="n"/>
      <c r="R547" s="31" t="n"/>
      <c r="S547" s="32">
        <f>IF($F547="","",IF(IFERROR(VLOOKUP($F547,'维度字典'!$M$2:$N$50,2,0),"求和")="手工录入","",IF(IFERROR(VLOOKUP($F547,'维度字典'!$M$2:$N$50,2,0),"求和")="最新值",IFERROR(LOOKUP(9.99E+307,G547:R547),""),SUM(G547:R547))))</f>
        <v/>
      </c>
      <c r="T547" s="33" t="n"/>
    </row>
    <row r="548">
      <c r="A548" s="26">
        <f>IF($B548="","",ROW()-3)</f>
        <v/>
      </c>
      <c r="B548" s="27" t="n"/>
      <c r="C548" s="27" t="n"/>
      <c r="D548" s="28" t="n"/>
      <c r="E548" s="29" t="n"/>
      <c r="F548" s="30" t="n"/>
      <c r="G548" s="31" t="n"/>
      <c r="H548" s="31" t="n"/>
      <c r="I548" s="31" t="n"/>
      <c r="J548" s="31" t="n"/>
      <c r="K548" s="31" t="n"/>
      <c r="L548" s="31" t="n"/>
      <c r="M548" s="31" t="n"/>
      <c r="N548" s="31" t="n"/>
      <c r="O548" s="31" t="n"/>
      <c r="P548" s="31" t="n"/>
      <c r="Q548" s="31" t="n"/>
      <c r="R548" s="31" t="n"/>
      <c r="S548" s="32">
        <f>IF($F548="","",IF(IFERROR(VLOOKUP($F548,'维度字典'!$M$2:$N$50,2,0),"求和")="手工录入","",IF(IFERROR(VLOOKUP($F548,'维度字典'!$M$2:$N$50,2,0),"求和")="最新值",IFERROR(LOOKUP(9.99E+307,G548:R548),""),SUM(G548:R548))))</f>
        <v/>
      </c>
      <c r="T548" s="33" t="n"/>
    </row>
    <row r="549">
      <c r="A549" s="26">
        <f>IF($B549="","",ROW()-3)</f>
        <v/>
      </c>
      <c r="B549" s="27" t="n"/>
      <c r="C549" s="27" t="n"/>
      <c r="D549" s="28" t="n"/>
      <c r="E549" s="29" t="n"/>
      <c r="F549" s="30" t="n"/>
      <c r="G549" s="31" t="n"/>
      <c r="H549" s="31" t="n"/>
      <c r="I549" s="31" t="n"/>
      <c r="J549" s="31" t="n"/>
      <c r="K549" s="31" t="n"/>
      <c r="L549" s="31" t="n"/>
      <c r="M549" s="31" t="n"/>
      <c r="N549" s="31" t="n"/>
      <c r="O549" s="31" t="n"/>
      <c r="P549" s="31" t="n"/>
      <c r="Q549" s="31" t="n"/>
      <c r="R549" s="31" t="n"/>
      <c r="S549" s="32">
        <f>IF($F549="","",IF(IFERROR(VLOOKUP($F549,'维度字典'!$M$2:$N$50,2,0),"求和")="手工录入","",IF(IFERROR(VLOOKUP($F549,'维度字典'!$M$2:$N$50,2,0),"求和")="最新值",IFERROR(LOOKUP(9.99E+307,G549:R549),""),SUM(G549:R549))))</f>
        <v/>
      </c>
      <c r="T549" s="33" t="n"/>
    </row>
    <row r="550">
      <c r="A550" s="26">
        <f>IF($B550="","",ROW()-3)</f>
        <v/>
      </c>
      <c r="B550" s="27" t="n"/>
      <c r="C550" s="27" t="n"/>
      <c r="D550" s="28" t="n"/>
      <c r="E550" s="29" t="n"/>
      <c r="F550" s="30" t="n"/>
      <c r="G550" s="31" t="n"/>
      <c r="H550" s="31" t="n"/>
      <c r="I550" s="31" t="n"/>
      <c r="J550" s="31" t="n"/>
      <c r="K550" s="31" t="n"/>
      <c r="L550" s="31" t="n"/>
      <c r="M550" s="31" t="n"/>
      <c r="N550" s="31" t="n"/>
      <c r="O550" s="31" t="n"/>
      <c r="P550" s="31" t="n"/>
      <c r="Q550" s="31" t="n"/>
      <c r="R550" s="31" t="n"/>
      <c r="S550" s="32">
        <f>IF($F550="","",IF(IFERROR(VLOOKUP($F550,'维度字典'!$M$2:$N$50,2,0),"求和")="手工录入","",IF(IFERROR(VLOOKUP($F550,'维度字典'!$M$2:$N$50,2,0),"求和")="最新值",IFERROR(LOOKUP(9.99E+307,G550:R550),""),SUM(G550:R550))))</f>
        <v/>
      </c>
      <c r="T550" s="33" t="n"/>
    </row>
    <row r="551">
      <c r="A551" s="26">
        <f>IF($B551="","",ROW()-3)</f>
        <v/>
      </c>
      <c r="B551" s="27" t="n"/>
      <c r="C551" s="27" t="n"/>
      <c r="D551" s="28" t="n"/>
      <c r="E551" s="29" t="n"/>
      <c r="F551" s="30" t="n"/>
      <c r="G551" s="31" t="n"/>
      <c r="H551" s="31" t="n"/>
      <c r="I551" s="31" t="n"/>
      <c r="J551" s="31" t="n"/>
      <c r="K551" s="31" t="n"/>
      <c r="L551" s="31" t="n"/>
      <c r="M551" s="31" t="n"/>
      <c r="N551" s="31" t="n"/>
      <c r="O551" s="31" t="n"/>
      <c r="P551" s="31" t="n"/>
      <c r="Q551" s="31" t="n"/>
      <c r="R551" s="31" t="n"/>
      <c r="S551" s="32">
        <f>IF($F551="","",IF(IFERROR(VLOOKUP($F551,'维度字典'!$M$2:$N$50,2,0),"求和")="手工录入","",IF(IFERROR(VLOOKUP($F551,'维度字典'!$M$2:$N$50,2,0),"求和")="最新值",IFERROR(LOOKUP(9.99E+307,G551:R551),""),SUM(G551:R551))))</f>
        <v/>
      </c>
      <c r="T551" s="33" t="n"/>
    </row>
    <row r="552">
      <c r="A552" s="26">
        <f>IF($B552="","",ROW()-3)</f>
        <v/>
      </c>
      <c r="B552" s="27" t="n"/>
      <c r="C552" s="27" t="n"/>
      <c r="D552" s="28" t="n"/>
      <c r="E552" s="29" t="n"/>
      <c r="F552" s="30" t="n"/>
      <c r="G552" s="31" t="n"/>
      <c r="H552" s="31" t="n"/>
      <c r="I552" s="31" t="n"/>
      <c r="J552" s="31" t="n"/>
      <c r="K552" s="31" t="n"/>
      <c r="L552" s="31" t="n"/>
      <c r="M552" s="31" t="n"/>
      <c r="N552" s="31" t="n"/>
      <c r="O552" s="31" t="n"/>
      <c r="P552" s="31" t="n"/>
      <c r="Q552" s="31" t="n"/>
      <c r="R552" s="31" t="n"/>
      <c r="S552" s="32">
        <f>IF($F552="","",IF(IFERROR(VLOOKUP($F552,'维度字典'!$M$2:$N$50,2,0),"求和")="手工录入","",IF(IFERROR(VLOOKUP($F552,'维度字典'!$M$2:$N$50,2,0),"求和")="最新值",IFERROR(LOOKUP(9.99E+307,G552:R552),""),SUM(G552:R552))))</f>
        <v/>
      </c>
      <c r="T552" s="33" t="n"/>
    </row>
    <row r="553">
      <c r="A553" s="26">
        <f>IF($B553="","",ROW()-3)</f>
        <v/>
      </c>
      <c r="B553" s="27" t="n"/>
      <c r="C553" s="27" t="n"/>
      <c r="D553" s="28" t="n"/>
      <c r="E553" s="29" t="n"/>
      <c r="F553" s="30" t="n"/>
      <c r="G553" s="31" t="n"/>
      <c r="H553" s="31" t="n"/>
      <c r="I553" s="31" t="n"/>
      <c r="J553" s="31" t="n"/>
      <c r="K553" s="31" t="n"/>
      <c r="L553" s="31" t="n"/>
      <c r="M553" s="31" t="n"/>
      <c r="N553" s="31" t="n"/>
      <c r="O553" s="31" t="n"/>
      <c r="P553" s="31" t="n"/>
      <c r="Q553" s="31" t="n"/>
      <c r="R553" s="31" t="n"/>
      <c r="S553" s="32">
        <f>IF($F553="","",IF(IFERROR(VLOOKUP($F553,'维度字典'!$M$2:$N$50,2,0),"求和")="手工录入","",IF(IFERROR(VLOOKUP($F553,'维度字典'!$M$2:$N$50,2,0),"求和")="最新值",IFERROR(LOOKUP(9.99E+307,G553:R553),""),SUM(G553:R553))))</f>
        <v/>
      </c>
      <c r="T553" s="33" t="n"/>
    </row>
    <row r="554">
      <c r="A554" s="26">
        <f>IF($B554="","",ROW()-3)</f>
        <v/>
      </c>
      <c r="B554" s="27" t="n"/>
      <c r="C554" s="27" t="n"/>
      <c r="D554" s="28" t="n"/>
      <c r="E554" s="29" t="n"/>
      <c r="F554" s="30" t="n"/>
      <c r="G554" s="31" t="n"/>
      <c r="H554" s="31" t="n"/>
      <c r="I554" s="31" t="n"/>
      <c r="J554" s="31" t="n"/>
      <c r="K554" s="31" t="n"/>
      <c r="L554" s="31" t="n"/>
      <c r="M554" s="31" t="n"/>
      <c r="N554" s="31" t="n"/>
      <c r="O554" s="31" t="n"/>
      <c r="P554" s="31" t="n"/>
      <c r="Q554" s="31" t="n"/>
      <c r="R554" s="31" t="n"/>
      <c r="S554" s="32">
        <f>IF($F554="","",IF(IFERROR(VLOOKUP($F554,'维度字典'!$M$2:$N$50,2,0),"求和")="手工录入","",IF(IFERROR(VLOOKUP($F554,'维度字典'!$M$2:$N$50,2,0),"求和")="最新值",IFERROR(LOOKUP(9.99E+307,G554:R554),""),SUM(G554:R554))))</f>
        <v/>
      </c>
      <c r="T554" s="33" t="n"/>
    </row>
    <row r="555">
      <c r="A555" s="26">
        <f>IF($B555="","",ROW()-3)</f>
        <v/>
      </c>
      <c r="B555" s="27" t="n"/>
      <c r="C555" s="27" t="n"/>
      <c r="D555" s="28" t="n"/>
      <c r="E555" s="29" t="n"/>
      <c r="F555" s="30" t="n"/>
      <c r="G555" s="31" t="n"/>
      <c r="H555" s="31" t="n"/>
      <c r="I555" s="31" t="n"/>
      <c r="J555" s="31" t="n"/>
      <c r="K555" s="31" t="n"/>
      <c r="L555" s="31" t="n"/>
      <c r="M555" s="31" t="n"/>
      <c r="N555" s="31" t="n"/>
      <c r="O555" s="31" t="n"/>
      <c r="P555" s="31" t="n"/>
      <c r="Q555" s="31" t="n"/>
      <c r="R555" s="31" t="n"/>
      <c r="S555" s="32">
        <f>IF($F555="","",IF(IFERROR(VLOOKUP($F555,'维度字典'!$M$2:$N$50,2,0),"求和")="手工录入","",IF(IFERROR(VLOOKUP($F555,'维度字典'!$M$2:$N$50,2,0),"求和")="最新值",IFERROR(LOOKUP(9.99E+307,G555:R555),""),SUM(G555:R555))))</f>
        <v/>
      </c>
      <c r="T555" s="33" t="n"/>
    </row>
    <row r="556">
      <c r="A556" s="26">
        <f>IF($B556="","",ROW()-3)</f>
        <v/>
      </c>
      <c r="B556" s="27" t="n"/>
      <c r="C556" s="27" t="n"/>
      <c r="D556" s="28" t="n"/>
      <c r="E556" s="29" t="n"/>
      <c r="F556" s="30" t="n"/>
      <c r="G556" s="31" t="n"/>
      <c r="H556" s="31" t="n"/>
      <c r="I556" s="31" t="n"/>
      <c r="J556" s="31" t="n"/>
      <c r="K556" s="31" t="n"/>
      <c r="L556" s="31" t="n"/>
      <c r="M556" s="31" t="n"/>
      <c r="N556" s="31" t="n"/>
      <c r="O556" s="31" t="n"/>
      <c r="P556" s="31" t="n"/>
      <c r="Q556" s="31" t="n"/>
      <c r="R556" s="31" t="n"/>
      <c r="S556" s="32">
        <f>IF($F556="","",IF(IFERROR(VLOOKUP($F556,'维度字典'!$M$2:$N$50,2,0),"求和")="手工录入","",IF(IFERROR(VLOOKUP($F556,'维度字典'!$M$2:$N$50,2,0),"求和")="最新值",IFERROR(LOOKUP(9.99E+307,G556:R556),""),SUM(G556:R556))))</f>
        <v/>
      </c>
      <c r="T556" s="33" t="n"/>
    </row>
    <row r="557">
      <c r="A557" s="26">
        <f>IF($B557="","",ROW()-3)</f>
        <v/>
      </c>
      <c r="B557" s="27" t="n"/>
      <c r="C557" s="27" t="n"/>
      <c r="D557" s="28" t="n"/>
      <c r="E557" s="29" t="n"/>
      <c r="F557" s="30" t="n"/>
      <c r="G557" s="31" t="n"/>
      <c r="H557" s="31" t="n"/>
      <c r="I557" s="31" t="n"/>
      <c r="J557" s="31" t="n"/>
      <c r="K557" s="31" t="n"/>
      <c r="L557" s="31" t="n"/>
      <c r="M557" s="31" t="n"/>
      <c r="N557" s="31" t="n"/>
      <c r="O557" s="31" t="n"/>
      <c r="P557" s="31" t="n"/>
      <c r="Q557" s="31" t="n"/>
      <c r="R557" s="31" t="n"/>
      <c r="S557" s="32">
        <f>IF($F557="","",IF(IFERROR(VLOOKUP($F557,'维度字典'!$M$2:$N$50,2,0),"求和")="手工录入","",IF(IFERROR(VLOOKUP($F557,'维度字典'!$M$2:$N$50,2,0),"求和")="最新值",IFERROR(LOOKUP(9.99E+307,G557:R557),""),SUM(G557:R557))))</f>
        <v/>
      </c>
      <c r="T557" s="33" t="n"/>
    </row>
    <row r="558">
      <c r="A558" s="26">
        <f>IF($B558="","",ROW()-3)</f>
        <v/>
      </c>
      <c r="B558" s="27" t="n"/>
      <c r="C558" s="27" t="n"/>
      <c r="D558" s="28" t="n"/>
      <c r="E558" s="29" t="n"/>
      <c r="F558" s="30" t="n"/>
      <c r="G558" s="31" t="n"/>
      <c r="H558" s="31" t="n"/>
      <c r="I558" s="31" t="n"/>
      <c r="J558" s="31" t="n"/>
      <c r="K558" s="31" t="n"/>
      <c r="L558" s="31" t="n"/>
      <c r="M558" s="31" t="n"/>
      <c r="N558" s="31" t="n"/>
      <c r="O558" s="31" t="n"/>
      <c r="P558" s="31" t="n"/>
      <c r="Q558" s="31" t="n"/>
      <c r="R558" s="31" t="n"/>
      <c r="S558" s="32">
        <f>IF($F558="","",IF(IFERROR(VLOOKUP($F558,'维度字典'!$M$2:$N$50,2,0),"求和")="手工录入","",IF(IFERROR(VLOOKUP($F558,'维度字典'!$M$2:$N$50,2,0),"求和")="最新值",IFERROR(LOOKUP(9.99E+307,G558:R558),""),SUM(G558:R558))))</f>
        <v/>
      </c>
      <c r="T558" s="33" t="n"/>
    </row>
    <row r="559">
      <c r="A559" s="26">
        <f>IF($B559="","",ROW()-3)</f>
        <v/>
      </c>
      <c r="B559" s="27" t="n"/>
      <c r="C559" s="27" t="n"/>
      <c r="D559" s="28" t="n"/>
      <c r="E559" s="29" t="n"/>
      <c r="F559" s="30" t="n"/>
      <c r="G559" s="31" t="n"/>
      <c r="H559" s="31" t="n"/>
      <c r="I559" s="31" t="n"/>
      <c r="J559" s="31" t="n"/>
      <c r="K559" s="31" t="n"/>
      <c r="L559" s="31" t="n"/>
      <c r="M559" s="31" t="n"/>
      <c r="N559" s="31" t="n"/>
      <c r="O559" s="31" t="n"/>
      <c r="P559" s="31" t="n"/>
      <c r="Q559" s="31" t="n"/>
      <c r="R559" s="31" t="n"/>
      <c r="S559" s="32">
        <f>IF($F559="","",IF(IFERROR(VLOOKUP($F559,'维度字典'!$M$2:$N$50,2,0),"求和")="手工录入","",IF(IFERROR(VLOOKUP($F559,'维度字典'!$M$2:$N$50,2,0),"求和")="最新值",IFERROR(LOOKUP(9.99E+307,G559:R559),""),SUM(G559:R559))))</f>
        <v/>
      </c>
      <c r="T559" s="33" t="n"/>
    </row>
    <row r="560">
      <c r="A560" s="26">
        <f>IF($B560="","",ROW()-3)</f>
        <v/>
      </c>
      <c r="B560" s="27" t="n"/>
      <c r="C560" s="27" t="n"/>
      <c r="D560" s="28" t="n"/>
      <c r="E560" s="29" t="n"/>
      <c r="F560" s="30" t="n"/>
      <c r="G560" s="31" t="n"/>
      <c r="H560" s="31" t="n"/>
      <c r="I560" s="31" t="n"/>
      <c r="J560" s="31" t="n"/>
      <c r="K560" s="31" t="n"/>
      <c r="L560" s="31" t="n"/>
      <c r="M560" s="31" t="n"/>
      <c r="N560" s="31" t="n"/>
      <c r="O560" s="31" t="n"/>
      <c r="P560" s="31" t="n"/>
      <c r="Q560" s="31" t="n"/>
      <c r="R560" s="31" t="n"/>
      <c r="S560" s="32">
        <f>IF($F560="","",IF(IFERROR(VLOOKUP($F560,'维度字典'!$M$2:$N$50,2,0),"求和")="手工录入","",IF(IFERROR(VLOOKUP($F560,'维度字典'!$M$2:$N$50,2,0),"求和")="最新值",IFERROR(LOOKUP(9.99E+307,G560:R560),""),SUM(G560:R560))))</f>
        <v/>
      </c>
      <c r="T560" s="33" t="n"/>
    </row>
    <row r="561">
      <c r="A561" s="26">
        <f>IF($B561="","",ROW()-3)</f>
        <v/>
      </c>
      <c r="B561" s="27" t="n"/>
      <c r="C561" s="27" t="n"/>
      <c r="D561" s="28" t="n"/>
      <c r="E561" s="29" t="n"/>
      <c r="F561" s="30" t="n"/>
      <c r="G561" s="31" t="n"/>
      <c r="H561" s="31" t="n"/>
      <c r="I561" s="31" t="n"/>
      <c r="J561" s="31" t="n"/>
      <c r="K561" s="31" t="n"/>
      <c r="L561" s="31" t="n"/>
      <c r="M561" s="31" t="n"/>
      <c r="N561" s="31" t="n"/>
      <c r="O561" s="31" t="n"/>
      <c r="P561" s="31" t="n"/>
      <c r="Q561" s="31" t="n"/>
      <c r="R561" s="31" t="n"/>
      <c r="S561" s="32">
        <f>IF($F561="","",IF(IFERROR(VLOOKUP($F561,'维度字典'!$M$2:$N$50,2,0),"求和")="手工录入","",IF(IFERROR(VLOOKUP($F561,'维度字典'!$M$2:$N$50,2,0),"求和")="最新值",IFERROR(LOOKUP(9.99E+307,G561:R561),""),SUM(G561:R561))))</f>
        <v/>
      </c>
      <c r="T561" s="33" t="n"/>
    </row>
    <row r="562">
      <c r="A562" s="26">
        <f>IF($B562="","",ROW()-3)</f>
        <v/>
      </c>
      <c r="B562" s="27" t="n"/>
      <c r="C562" s="27" t="n"/>
      <c r="D562" s="28" t="n"/>
      <c r="E562" s="29" t="n"/>
      <c r="F562" s="30" t="n"/>
      <c r="G562" s="31" t="n"/>
      <c r="H562" s="31" t="n"/>
      <c r="I562" s="31" t="n"/>
      <c r="J562" s="31" t="n"/>
      <c r="K562" s="31" t="n"/>
      <c r="L562" s="31" t="n"/>
      <c r="M562" s="31" t="n"/>
      <c r="N562" s="31" t="n"/>
      <c r="O562" s="31" t="n"/>
      <c r="P562" s="31" t="n"/>
      <c r="Q562" s="31" t="n"/>
      <c r="R562" s="31" t="n"/>
      <c r="S562" s="32">
        <f>IF($F562="","",IF(IFERROR(VLOOKUP($F562,'维度字典'!$M$2:$N$50,2,0),"求和")="手工录入","",IF(IFERROR(VLOOKUP($F562,'维度字典'!$M$2:$N$50,2,0),"求和")="最新值",IFERROR(LOOKUP(9.99E+307,G562:R562),""),SUM(G562:R562))))</f>
        <v/>
      </c>
      <c r="T562" s="33" t="n"/>
    </row>
    <row r="563">
      <c r="A563" s="26">
        <f>IF($B563="","",ROW()-3)</f>
        <v/>
      </c>
      <c r="B563" s="27" t="n"/>
      <c r="C563" s="27" t="n"/>
      <c r="D563" s="28" t="n"/>
      <c r="E563" s="29" t="n"/>
      <c r="F563" s="30" t="n"/>
      <c r="G563" s="31" t="n"/>
      <c r="H563" s="31" t="n"/>
      <c r="I563" s="31" t="n"/>
      <c r="J563" s="31" t="n"/>
      <c r="K563" s="31" t="n"/>
      <c r="L563" s="31" t="n"/>
      <c r="M563" s="31" t="n"/>
      <c r="N563" s="31" t="n"/>
      <c r="O563" s="31" t="n"/>
      <c r="P563" s="31" t="n"/>
      <c r="Q563" s="31" t="n"/>
      <c r="R563" s="31" t="n"/>
      <c r="S563" s="32">
        <f>IF($F563="","",IF(IFERROR(VLOOKUP($F563,'维度字典'!$M$2:$N$50,2,0),"求和")="手工录入","",IF(IFERROR(VLOOKUP($F563,'维度字典'!$M$2:$N$50,2,0),"求和")="最新值",IFERROR(LOOKUP(9.99E+307,G563:R563),""),SUM(G563:R563))))</f>
        <v/>
      </c>
      <c r="T563" s="33" t="n"/>
    </row>
    <row r="564">
      <c r="A564" s="26">
        <f>IF($B564="","",ROW()-3)</f>
        <v/>
      </c>
      <c r="B564" s="27" t="n"/>
      <c r="C564" s="27" t="n"/>
      <c r="D564" s="28" t="n"/>
      <c r="E564" s="29" t="n"/>
      <c r="F564" s="30" t="n"/>
      <c r="G564" s="31" t="n"/>
      <c r="H564" s="31" t="n"/>
      <c r="I564" s="31" t="n"/>
      <c r="J564" s="31" t="n"/>
      <c r="K564" s="31" t="n"/>
      <c r="L564" s="31" t="n"/>
      <c r="M564" s="31" t="n"/>
      <c r="N564" s="31" t="n"/>
      <c r="O564" s="31" t="n"/>
      <c r="P564" s="31" t="n"/>
      <c r="Q564" s="31" t="n"/>
      <c r="R564" s="31" t="n"/>
      <c r="S564" s="32">
        <f>IF($F564="","",IF(IFERROR(VLOOKUP($F564,'维度字典'!$M$2:$N$50,2,0),"求和")="手工录入","",IF(IFERROR(VLOOKUP($F564,'维度字典'!$M$2:$N$50,2,0),"求和")="最新值",IFERROR(LOOKUP(9.99E+307,G564:R564),""),SUM(G564:R564))))</f>
        <v/>
      </c>
      <c r="T564" s="33" t="n"/>
    </row>
    <row r="565">
      <c r="A565" s="26">
        <f>IF($B565="","",ROW()-3)</f>
        <v/>
      </c>
      <c r="B565" s="27" t="n"/>
      <c r="C565" s="27" t="n"/>
      <c r="D565" s="28" t="n"/>
      <c r="E565" s="29" t="n"/>
      <c r="F565" s="30" t="n"/>
      <c r="G565" s="31" t="n"/>
      <c r="H565" s="31" t="n"/>
      <c r="I565" s="31" t="n"/>
      <c r="J565" s="31" t="n"/>
      <c r="K565" s="31" t="n"/>
      <c r="L565" s="31" t="n"/>
      <c r="M565" s="31" t="n"/>
      <c r="N565" s="31" t="n"/>
      <c r="O565" s="31" t="n"/>
      <c r="P565" s="31" t="n"/>
      <c r="Q565" s="31" t="n"/>
      <c r="R565" s="31" t="n"/>
      <c r="S565" s="32">
        <f>IF($F565="","",IF(IFERROR(VLOOKUP($F565,'维度字典'!$M$2:$N$50,2,0),"求和")="手工录入","",IF(IFERROR(VLOOKUP($F565,'维度字典'!$M$2:$N$50,2,0),"求和")="最新值",IFERROR(LOOKUP(9.99E+307,G565:R565),""),SUM(G565:R565))))</f>
        <v/>
      </c>
      <c r="T565" s="33" t="n"/>
    </row>
    <row r="566">
      <c r="A566" s="26">
        <f>IF($B566="","",ROW()-3)</f>
        <v/>
      </c>
      <c r="B566" s="27" t="n"/>
      <c r="C566" s="27" t="n"/>
      <c r="D566" s="28" t="n"/>
      <c r="E566" s="29" t="n"/>
      <c r="F566" s="30" t="n"/>
      <c r="G566" s="31" t="n"/>
      <c r="H566" s="31" t="n"/>
      <c r="I566" s="31" t="n"/>
      <c r="J566" s="31" t="n"/>
      <c r="K566" s="31" t="n"/>
      <c r="L566" s="31" t="n"/>
      <c r="M566" s="31" t="n"/>
      <c r="N566" s="31" t="n"/>
      <c r="O566" s="31" t="n"/>
      <c r="P566" s="31" t="n"/>
      <c r="Q566" s="31" t="n"/>
      <c r="R566" s="31" t="n"/>
      <c r="S566" s="32">
        <f>IF($F566="","",IF(IFERROR(VLOOKUP($F566,'维度字典'!$M$2:$N$50,2,0),"求和")="手工录入","",IF(IFERROR(VLOOKUP($F566,'维度字典'!$M$2:$N$50,2,0),"求和")="最新值",IFERROR(LOOKUP(9.99E+307,G566:R566),""),SUM(G566:R566))))</f>
        <v/>
      </c>
      <c r="T566" s="33" t="n"/>
    </row>
    <row r="567">
      <c r="A567" s="26">
        <f>IF($B567="","",ROW()-3)</f>
        <v/>
      </c>
      <c r="B567" s="27" t="n"/>
      <c r="C567" s="27" t="n"/>
      <c r="D567" s="28" t="n"/>
      <c r="E567" s="29" t="n"/>
      <c r="F567" s="30" t="n"/>
      <c r="G567" s="31" t="n"/>
      <c r="H567" s="31" t="n"/>
      <c r="I567" s="31" t="n"/>
      <c r="J567" s="31" t="n"/>
      <c r="K567" s="31" t="n"/>
      <c r="L567" s="31" t="n"/>
      <c r="M567" s="31" t="n"/>
      <c r="N567" s="31" t="n"/>
      <c r="O567" s="31" t="n"/>
      <c r="P567" s="31" t="n"/>
      <c r="Q567" s="31" t="n"/>
      <c r="R567" s="31" t="n"/>
      <c r="S567" s="32">
        <f>IF($F567="","",IF(IFERROR(VLOOKUP($F567,'维度字典'!$M$2:$N$50,2,0),"求和")="手工录入","",IF(IFERROR(VLOOKUP($F567,'维度字典'!$M$2:$N$50,2,0),"求和")="最新值",IFERROR(LOOKUP(9.99E+307,G567:R567),""),SUM(G567:R567))))</f>
        <v/>
      </c>
      <c r="T567" s="33" t="n"/>
    </row>
    <row r="568">
      <c r="A568" s="26">
        <f>IF($B568="","",ROW()-3)</f>
        <v/>
      </c>
      <c r="B568" s="27" t="n"/>
      <c r="C568" s="27" t="n"/>
      <c r="D568" s="28" t="n"/>
      <c r="E568" s="29" t="n"/>
      <c r="F568" s="30" t="n"/>
      <c r="G568" s="31" t="n"/>
      <c r="H568" s="31" t="n"/>
      <c r="I568" s="31" t="n"/>
      <c r="J568" s="31" t="n"/>
      <c r="K568" s="31" t="n"/>
      <c r="L568" s="31" t="n"/>
      <c r="M568" s="31" t="n"/>
      <c r="N568" s="31" t="n"/>
      <c r="O568" s="31" t="n"/>
      <c r="P568" s="31" t="n"/>
      <c r="Q568" s="31" t="n"/>
      <c r="R568" s="31" t="n"/>
      <c r="S568" s="32">
        <f>IF($F568="","",IF(IFERROR(VLOOKUP($F568,'维度字典'!$M$2:$N$50,2,0),"求和")="手工录入","",IF(IFERROR(VLOOKUP($F568,'维度字典'!$M$2:$N$50,2,0),"求和")="最新值",IFERROR(LOOKUP(9.99E+307,G568:R568),""),SUM(G568:R568))))</f>
        <v/>
      </c>
      <c r="T568" s="33" t="n"/>
    </row>
    <row r="569">
      <c r="A569" s="26">
        <f>IF($B569="","",ROW()-3)</f>
        <v/>
      </c>
      <c r="B569" s="27" t="n"/>
      <c r="C569" s="27" t="n"/>
      <c r="D569" s="28" t="n"/>
      <c r="E569" s="29" t="n"/>
      <c r="F569" s="30" t="n"/>
      <c r="G569" s="31" t="n"/>
      <c r="H569" s="31" t="n"/>
      <c r="I569" s="31" t="n"/>
      <c r="J569" s="31" t="n"/>
      <c r="K569" s="31" t="n"/>
      <c r="L569" s="31" t="n"/>
      <c r="M569" s="31" t="n"/>
      <c r="N569" s="31" t="n"/>
      <c r="O569" s="31" t="n"/>
      <c r="P569" s="31" t="n"/>
      <c r="Q569" s="31" t="n"/>
      <c r="R569" s="31" t="n"/>
      <c r="S569" s="32">
        <f>IF($F569="","",IF(IFERROR(VLOOKUP($F569,'维度字典'!$M$2:$N$50,2,0),"求和")="手工录入","",IF(IFERROR(VLOOKUP($F569,'维度字典'!$M$2:$N$50,2,0),"求和")="最新值",IFERROR(LOOKUP(9.99E+307,G569:R569),""),SUM(G569:R569))))</f>
        <v/>
      </c>
      <c r="T569" s="33" t="n"/>
    </row>
    <row r="570">
      <c r="A570" s="26">
        <f>IF($B570="","",ROW()-3)</f>
        <v/>
      </c>
      <c r="B570" s="27" t="n"/>
      <c r="C570" s="27" t="n"/>
      <c r="D570" s="28" t="n"/>
      <c r="E570" s="29" t="n"/>
      <c r="F570" s="30" t="n"/>
      <c r="G570" s="31" t="n"/>
      <c r="H570" s="31" t="n"/>
      <c r="I570" s="31" t="n"/>
      <c r="J570" s="31" t="n"/>
      <c r="K570" s="31" t="n"/>
      <c r="L570" s="31" t="n"/>
      <c r="M570" s="31" t="n"/>
      <c r="N570" s="31" t="n"/>
      <c r="O570" s="31" t="n"/>
      <c r="P570" s="31" t="n"/>
      <c r="Q570" s="31" t="n"/>
      <c r="R570" s="31" t="n"/>
      <c r="S570" s="32">
        <f>IF($F570="","",IF(IFERROR(VLOOKUP($F570,'维度字典'!$M$2:$N$50,2,0),"求和")="手工录入","",IF(IFERROR(VLOOKUP($F570,'维度字典'!$M$2:$N$50,2,0),"求和")="最新值",IFERROR(LOOKUP(9.99E+307,G570:R570),""),SUM(G570:R570))))</f>
        <v/>
      </c>
      <c r="T570" s="33" t="n"/>
    </row>
    <row r="571">
      <c r="A571" s="26">
        <f>IF($B571="","",ROW()-3)</f>
        <v/>
      </c>
      <c r="B571" s="27" t="n"/>
      <c r="C571" s="27" t="n"/>
      <c r="D571" s="28" t="n"/>
      <c r="E571" s="29" t="n"/>
      <c r="F571" s="30" t="n"/>
      <c r="G571" s="31" t="n"/>
      <c r="H571" s="31" t="n"/>
      <c r="I571" s="31" t="n"/>
      <c r="J571" s="31" t="n"/>
      <c r="K571" s="31" t="n"/>
      <c r="L571" s="31" t="n"/>
      <c r="M571" s="31" t="n"/>
      <c r="N571" s="31" t="n"/>
      <c r="O571" s="31" t="n"/>
      <c r="P571" s="31" t="n"/>
      <c r="Q571" s="31" t="n"/>
      <c r="R571" s="31" t="n"/>
      <c r="S571" s="32">
        <f>IF($F571="","",IF(IFERROR(VLOOKUP($F571,'维度字典'!$M$2:$N$50,2,0),"求和")="手工录入","",IF(IFERROR(VLOOKUP($F571,'维度字典'!$M$2:$N$50,2,0),"求和")="最新值",IFERROR(LOOKUP(9.99E+307,G571:R571),""),SUM(G571:R571))))</f>
        <v/>
      </c>
      <c r="T571" s="33" t="n"/>
    </row>
    <row r="572">
      <c r="A572" s="26">
        <f>IF($B572="","",ROW()-3)</f>
        <v/>
      </c>
      <c r="B572" s="27" t="n"/>
      <c r="C572" s="27" t="n"/>
      <c r="D572" s="28" t="n"/>
      <c r="E572" s="29" t="n"/>
      <c r="F572" s="30" t="n"/>
      <c r="G572" s="31" t="n"/>
      <c r="H572" s="31" t="n"/>
      <c r="I572" s="31" t="n"/>
      <c r="J572" s="31" t="n"/>
      <c r="K572" s="31" t="n"/>
      <c r="L572" s="31" t="n"/>
      <c r="M572" s="31" t="n"/>
      <c r="N572" s="31" t="n"/>
      <c r="O572" s="31" t="n"/>
      <c r="P572" s="31" t="n"/>
      <c r="Q572" s="31" t="n"/>
      <c r="R572" s="31" t="n"/>
      <c r="S572" s="32">
        <f>IF($F572="","",IF(IFERROR(VLOOKUP($F572,'维度字典'!$M$2:$N$50,2,0),"求和")="手工录入","",IF(IFERROR(VLOOKUP($F572,'维度字典'!$M$2:$N$50,2,0),"求和")="最新值",IFERROR(LOOKUP(9.99E+307,G572:R572),""),SUM(G572:R572))))</f>
        <v/>
      </c>
      <c r="T572" s="33" t="n"/>
    </row>
    <row r="573">
      <c r="A573" s="26">
        <f>IF($B573="","",ROW()-3)</f>
        <v/>
      </c>
      <c r="B573" s="27" t="n"/>
      <c r="C573" s="27" t="n"/>
      <c r="D573" s="28" t="n"/>
      <c r="E573" s="29" t="n"/>
      <c r="F573" s="30" t="n"/>
      <c r="G573" s="31" t="n"/>
      <c r="H573" s="31" t="n"/>
      <c r="I573" s="31" t="n"/>
      <c r="J573" s="31" t="n"/>
      <c r="K573" s="31" t="n"/>
      <c r="L573" s="31" t="n"/>
      <c r="M573" s="31" t="n"/>
      <c r="N573" s="31" t="n"/>
      <c r="O573" s="31" t="n"/>
      <c r="P573" s="31" t="n"/>
      <c r="Q573" s="31" t="n"/>
      <c r="R573" s="31" t="n"/>
      <c r="S573" s="32">
        <f>IF($F573="","",IF(IFERROR(VLOOKUP($F573,'维度字典'!$M$2:$N$50,2,0),"求和")="手工录入","",IF(IFERROR(VLOOKUP($F573,'维度字典'!$M$2:$N$50,2,0),"求和")="最新值",IFERROR(LOOKUP(9.99E+307,G573:R573),""),SUM(G573:R573))))</f>
        <v/>
      </c>
      <c r="T573" s="33" t="n"/>
    </row>
    <row r="574">
      <c r="A574" s="26">
        <f>IF($B574="","",ROW()-3)</f>
        <v/>
      </c>
      <c r="B574" s="27" t="n"/>
      <c r="C574" s="27" t="n"/>
      <c r="D574" s="28" t="n"/>
      <c r="E574" s="29" t="n"/>
      <c r="F574" s="30" t="n"/>
      <c r="G574" s="31" t="n"/>
      <c r="H574" s="31" t="n"/>
      <c r="I574" s="31" t="n"/>
      <c r="J574" s="31" t="n"/>
      <c r="K574" s="31" t="n"/>
      <c r="L574" s="31" t="n"/>
      <c r="M574" s="31" t="n"/>
      <c r="N574" s="31" t="n"/>
      <c r="O574" s="31" t="n"/>
      <c r="P574" s="31" t="n"/>
      <c r="Q574" s="31" t="n"/>
      <c r="R574" s="31" t="n"/>
      <c r="S574" s="32">
        <f>IF($F574="","",IF(IFERROR(VLOOKUP($F574,'维度字典'!$M$2:$N$50,2,0),"求和")="手工录入","",IF(IFERROR(VLOOKUP($F574,'维度字典'!$M$2:$N$50,2,0),"求和")="最新值",IFERROR(LOOKUP(9.99E+307,G574:R574),""),SUM(G574:R574))))</f>
        <v/>
      </c>
      <c r="T574" s="33" t="n"/>
    </row>
    <row r="575">
      <c r="A575" s="26">
        <f>IF($B575="","",ROW()-3)</f>
        <v/>
      </c>
      <c r="B575" s="27" t="n"/>
      <c r="C575" s="27" t="n"/>
      <c r="D575" s="28" t="n"/>
      <c r="E575" s="29" t="n"/>
      <c r="F575" s="30" t="n"/>
      <c r="G575" s="31" t="n"/>
      <c r="H575" s="31" t="n"/>
      <c r="I575" s="31" t="n"/>
      <c r="J575" s="31" t="n"/>
      <c r="K575" s="31" t="n"/>
      <c r="L575" s="31" t="n"/>
      <c r="M575" s="31" t="n"/>
      <c r="N575" s="31" t="n"/>
      <c r="O575" s="31" t="n"/>
      <c r="P575" s="31" t="n"/>
      <c r="Q575" s="31" t="n"/>
      <c r="R575" s="31" t="n"/>
      <c r="S575" s="32">
        <f>IF($F575="","",IF(IFERROR(VLOOKUP($F575,'维度字典'!$M$2:$N$50,2,0),"求和")="手工录入","",IF(IFERROR(VLOOKUP($F575,'维度字典'!$M$2:$N$50,2,0),"求和")="最新值",IFERROR(LOOKUP(9.99E+307,G575:R575),""),SUM(G575:R575))))</f>
        <v/>
      </c>
      <c r="T575" s="33" t="n"/>
    </row>
    <row r="576">
      <c r="A576" s="26">
        <f>IF($B576="","",ROW()-3)</f>
        <v/>
      </c>
      <c r="B576" s="27" t="n"/>
      <c r="C576" s="27" t="n"/>
      <c r="D576" s="28" t="n"/>
      <c r="E576" s="29" t="n"/>
      <c r="F576" s="30" t="n"/>
      <c r="G576" s="31" t="n"/>
      <c r="H576" s="31" t="n"/>
      <c r="I576" s="31" t="n"/>
      <c r="J576" s="31" t="n"/>
      <c r="K576" s="31" t="n"/>
      <c r="L576" s="31" t="n"/>
      <c r="M576" s="31" t="n"/>
      <c r="N576" s="31" t="n"/>
      <c r="O576" s="31" t="n"/>
      <c r="P576" s="31" t="n"/>
      <c r="Q576" s="31" t="n"/>
      <c r="R576" s="31" t="n"/>
      <c r="S576" s="32">
        <f>IF($F576="","",IF(IFERROR(VLOOKUP($F576,'维度字典'!$M$2:$N$50,2,0),"求和")="手工录入","",IF(IFERROR(VLOOKUP($F576,'维度字典'!$M$2:$N$50,2,0),"求和")="最新值",IFERROR(LOOKUP(9.99E+307,G576:R576),""),SUM(G576:R576))))</f>
        <v/>
      </c>
      <c r="T576" s="33" t="n"/>
    </row>
    <row r="577">
      <c r="A577" s="26">
        <f>IF($B577="","",ROW()-3)</f>
        <v/>
      </c>
      <c r="B577" s="27" t="n"/>
      <c r="C577" s="27" t="n"/>
      <c r="D577" s="28" t="n"/>
      <c r="E577" s="29" t="n"/>
      <c r="F577" s="30" t="n"/>
      <c r="G577" s="31" t="n"/>
      <c r="H577" s="31" t="n"/>
      <c r="I577" s="31" t="n"/>
      <c r="J577" s="31" t="n"/>
      <c r="K577" s="31" t="n"/>
      <c r="L577" s="31" t="n"/>
      <c r="M577" s="31" t="n"/>
      <c r="N577" s="31" t="n"/>
      <c r="O577" s="31" t="n"/>
      <c r="P577" s="31" t="n"/>
      <c r="Q577" s="31" t="n"/>
      <c r="R577" s="31" t="n"/>
      <c r="S577" s="32">
        <f>IF($F577="","",IF(IFERROR(VLOOKUP($F577,'维度字典'!$M$2:$N$50,2,0),"求和")="手工录入","",IF(IFERROR(VLOOKUP($F577,'维度字典'!$M$2:$N$50,2,0),"求和")="最新值",IFERROR(LOOKUP(9.99E+307,G577:R577),""),SUM(G577:R577))))</f>
        <v/>
      </c>
      <c r="T577" s="33" t="n"/>
    </row>
    <row r="578">
      <c r="A578" s="26">
        <f>IF($B578="","",ROW()-3)</f>
        <v/>
      </c>
      <c r="B578" s="27" t="n"/>
      <c r="C578" s="27" t="n"/>
      <c r="D578" s="28" t="n"/>
      <c r="E578" s="29" t="n"/>
      <c r="F578" s="30" t="n"/>
      <c r="G578" s="31" t="n"/>
      <c r="H578" s="31" t="n"/>
      <c r="I578" s="31" t="n"/>
      <c r="J578" s="31" t="n"/>
      <c r="K578" s="31" t="n"/>
      <c r="L578" s="31" t="n"/>
      <c r="M578" s="31" t="n"/>
      <c r="N578" s="31" t="n"/>
      <c r="O578" s="31" t="n"/>
      <c r="P578" s="31" t="n"/>
      <c r="Q578" s="31" t="n"/>
      <c r="R578" s="31" t="n"/>
      <c r="S578" s="32">
        <f>IF($F578="","",IF(IFERROR(VLOOKUP($F578,'维度字典'!$M$2:$N$50,2,0),"求和")="手工录入","",IF(IFERROR(VLOOKUP($F578,'维度字典'!$M$2:$N$50,2,0),"求和")="最新值",IFERROR(LOOKUP(9.99E+307,G578:R578),""),SUM(G578:R578))))</f>
        <v/>
      </c>
      <c r="T578" s="33" t="n"/>
    </row>
    <row r="579">
      <c r="A579" s="26">
        <f>IF($B579="","",ROW()-3)</f>
        <v/>
      </c>
      <c r="B579" s="27" t="n"/>
      <c r="C579" s="27" t="n"/>
      <c r="D579" s="28" t="n"/>
      <c r="E579" s="29" t="n"/>
      <c r="F579" s="30" t="n"/>
      <c r="G579" s="31" t="n"/>
      <c r="H579" s="31" t="n"/>
      <c r="I579" s="31" t="n"/>
      <c r="J579" s="31" t="n"/>
      <c r="K579" s="31" t="n"/>
      <c r="L579" s="31" t="n"/>
      <c r="M579" s="31" t="n"/>
      <c r="N579" s="31" t="n"/>
      <c r="O579" s="31" t="n"/>
      <c r="P579" s="31" t="n"/>
      <c r="Q579" s="31" t="n"/>
      <c r="R579" s="31" t="n"/>
      <c r="S579" s="32">
        <f>IF($F579="","",IF(IFERROR(VLOOKUP($F579,'维度字典'!$M$2:$N$50,2,0),"求和")="手工录入","",IF(IFERROR(VLOOKUP($F579,'维度字典'!$M$2:$N$50,2,0),"求和")="最新值",IFERROR(LOOKUP(9.99E+307,G579:R579),""),SUM(G579:R579))))</f>
        <v/>
      </c>
      <c r="T579" s="33" t="n"/>
    </row>
    <row r="580">
      <c r="A580" s="26">
        <f>IF($B580="","",ROW()-3)</f>
        <v/>
      </c>
      <c r="B580" s="27" t="n"/>
      <c r="C580" s="27" t="n"/>
      <c r="D580" s="28" t="n"/>
      <c r="E580" s="29" t="n"/>
      <c r="F580" s="30" t="n"/>
      <c r="G580" s="31" t="n"/>
      <c r="H580" s="31" t="n"/>
      <c r="I580" s="31" t="n"/>
      <c r="J580" s="31" t="n"/>
      <c r="K580" s="31" t="n"/>
      <c r="L580" s="31" t="n"/>
      <c r="M580" s="31" t="n"/>
      <c r="N580" s="31" t="n"/>
      <c r="O580" s="31" t="n"/>
      <c r="P580" s="31" t="n"/>
      <c r="Q580" s="31" t="n"/>
      <c r="R580" s="31" t="n"/>
      <c r="S580" s="32">
        <f>IF($F580="","",IF(IFERROR(VLOOKUP($F580,'维度字典'!$M$2:$N$50,2,0),"求和")="手工录入","",IF(IFERROR(VLOOKUP($F580,'维度字典'!$M$2:$N$50,2,0),"求和")="最新值",IFERROR(LOOKUP(9.99E+307,G580:R580),""),SUM(G580:R580))))</f>
        <v/>
      </c>
      <c r="T580" s="33" t="n"/>
    </row>
    <row r="581">
      <c r="A581" s="26">
        <f>IF($B581="","",ROW()-3)</f>
        <v/>
      </c>
      <c r="B581" s="27" t="n"/>
      <c r="C581" s="27" t="n"/>
      <c r="D581" s="28" t="n"/>
      <c r="E581" s="29" t="n"/>
      <c r="F581" s="30" t="n"/>
      <c r="G581" s="31" t="n"/>
      <c r="H581" s="31" t="n"/>
      <c r="I581" s="31" t="n"/>
      <c r="J581" s="31" t="n"/>
      <c r="K581" s="31" t="n"/>
      <c r="L581" s="31" t="n"/>
      <c r="M581" s="31" t="n"/>
      <c r="N581" s="31" t="n"/>
      <c r="O581" s="31" t="n"/>
      <c r="P581" s="31" t="n"/>
      <c r="Q581" s="31" t="n"/>
      <c r="R581" s="31" t="n"/>
      <c r="S581" s="32">
        <f>IF($F581="","",IF(IFERROR(VLOOKUP($F581,'维度字典'!$M$2:$N$50,2,0),"求和")="手工录入","",IF(IFERROR(VLOOKUP($F581,'维度字典'!$M$2:$N$50,2,0),"求和")="最新值",IFERROR(LOOKUP(9.99E+307,G581:R581),""),SUM(G581:R581))))</f>
        <v/>
      </c>
      <c r="T581" s="33" t="n"/>
    </row>
    <row r="582">
      <c r="A582" s="26">
        <f>IF($B582="","",ROW()-3)</f>
        <v/>
      </c>
      <c r="B582" s="27" t="n"/>
      <c r="C582" s="27" t="n"/>
      <c r="D582" s="28" t="n"/>
      <c r="E582" s="29" t="n"/>
      <c r="F582" s="30" t="n"/>
      <c r="G582" s="31" t="n"/>
      <c r="H582" s="31" t="n"/>
      <c r="I582" s="31" t="n"/>
      <c r="J582" s="31" t="n"/>
      <c r="K582" s="31" t="n"/>
      <c r="L582" s="31" t="n"/>
      <c r="M582" s="31" t="n"/>
      <c r="N582" s="31" t="n"/>
      <c r="O582" s="31" t="n"/>
      <c r="P582" s="31" t="n"/>
      <c r="Q582" s="31" t="n"/>
      <c r="R582" s="31" t="n"/>
      <c r="S582" s="32">
        <f>IF($F582="","",IF(IFERROR(VLOOKUP($F582,'维度字典'!$M$2:$N$50,2,0),"求和")="手工录入","",IF(IFERROR(VLOOKUP($F582,'维度字典'!$M$2:$N$50,2,0),"求和")="最新值",IFERROR(LOOKUP(9.99E+307,G582:R582),""),SUM(G582:R582))))</f>
        <v/>
      </c>
      <c r="T582" s="33" t="n"/>
    </row>
    <row r="583">
      <c r="A583" s="26">
        <f>IF($B583="","",ROW()-3)</f>
        <v/>
      </c>
      <c r="B583" s="27" t="n"/>
      <c r="C583" s="27" t="n"/>
      <c r="D583" s="28" t="n"/>
      <c r="E583" s="29" t="n"/>
      <c r="F583" s="30" t="n"/>
      <c r="G583" s="31" t="n"/>
      <c r="H583" s="31" t="n"/>
      <c r="I583" s="31" t="n"/>
      <c r="J583" s="31" t="n"/>
      <c r="K583" s="31" t="n"/>
      <c r="L583" s="31" t="n"/>
      <c r="M583" s="31" t="n"/>
      <c r="N583" s="31" t="n"/>
      <c r="O583" s="31" t="n"/>
      <c r="P583" s="31" t="n"/>
      <c r="Q583" s="31" t="n"/>
      <c r="R583" s="31" t="n"/>
      <c r="S583" s="32">
        <f>IF($F583="","",IF(IFERROR(VLOOKUP($F583,'维度字典'!$M$2:$N$50,2,0),"求和")="手工录入","",IF(IFERROR(VLOOKUP($F583,'维度字典'!$M$2:$N$50,2,0),"求和")="最新值",IFERROR(LOOKUP(9.99E+307,G583:R583),""),SUM(G583:R583))))</f>
        <v/>
      </c>
      <c r="T583" s="33" t="n"/>
    </row>
    <row r="584">
      <c r="A584" s="26">
        <f>IF($B584="","",ROW()-3)</f>
        <v/>
      </c>
      <c r="B584" s="27" t="n"/>
      <c r="C584" s="27" t="n"/>
      <c r="D584" s="28" t="n"/>
      <c r="E584" s="29" t="n"/>
      <c r="F584" s="30" t="n"/>
      <c r="G584" s="31" t="n"/>
      <c r="H584" s="31" t="n"/>
      <c r="I584" s="31" t="n"/>
      <c r="J584" s="31" t="n"/>
      <c r="K584" s="31" t="n"/>
      <c r="L584" s="31" t="n"/>
      <c r="M584" s="31" t="n"/>
      <c r="N584" s="31" t="n"/>
      <c r="O584" s="31" t="n"/>
      <c r="P584" s="31" t="n"/>
      <c r="Q584" s="31" t="n"/>
      <c r="R584" s="31" t="n"/>
      <c r="S584" s="32">
        <f>IF($F584="","",IF(IFERROR(VLOOKUP($F584,'维度字典'!$M$2:$N$50,2,0),"求和")="手工录入","",IF(IFERROR(VLOOKUP($F584,'维度字典'!$M$2:$N$50,2,0),"求和")="最新值",IFERROR(LOOKUP(9.99E+307,G584:R584),""),SUM(G584:R584))))</f>
        <v/>
      </c>
      <c r="T584" s="33" t="n"/>
    </row>
    <row r="585">
      <c r="A585" s="26">
        <f>IF($B585="","",ROW()-3)</f>
        <v/>
      </c>
      <c r="B585" s="27" t="n"/>
      <c r="C585" s="27" t="n"/>
      <c r="D585" s="28" t="n"/>
      <c r="E585" s="29" t="n"/>
      <c r="F585" s="30" t="n"/>
      <c r="G585" s="31" t="n"/>
      <c r="H585" s="31" t="n"/>
      <c r="I585" s="31" t="n"/>
      <c r="J585" s="31" t="n"/>
      <c r="K585" s="31" t="n"/>
      <c r="L585" s="31" t="n"/>
      <c r="M585" s="31" t="n"/>
      <c r="N585" s="31" t="n"/>
      <c r="O585" s="31" t="n"/>
      <c r="P585" s="31" t="n"/>
      <c r="Q585" s="31" t="n"/>
      <c r="R585" s="31" t="n"/>
      <c r="S585" s="32">
        <f>IF($F585="","",IF(IFERROR(VLOOKUP($F585,'维度字典'!$M$2:$N$50,2,0),"求和")="手工录入","",IF(IFERROR(VLOOKUP($F585,'维度字典'!$M$2:$N$50,2,0),"求和")="最新值",IFERROR(LOOKUP(9.99E+307,G585:R585),""),SUM(G585:R585))))</f>
        <v/>
      </c>
      <c r="T585" s="33" t="n"/>
    </row>
    <row r="586">
      <c r="A586" s="26">
        <f>IF($B586="","",ROW()-3)</f>
        <v/>
      </c>
      <c r="B586" s="27" t="n"/>
      <c r="C586" s="27" t="n"/>
      <c r="D586" s="28" t="n"/>
      <c r="E586" s="29" t="n"/>
      <c r="F586" s="30" t="n"/>
      <c r="G586" s="31" t="n"/>
      <c r="H586" s="31" t="n"/>
      <c r="I586" s="31" t="n"/>
      <c r="J586" s="31" t="n"/>
      <c r="K586" s="31" t="n"/>
      <c r="L586" s="31" t="n"/>
      <c r="M586" s="31" t="n"/>
      <c r="N586" s="31" t="n"/>
      <c r="O586" s="31" t="n"/>
      <c r="P586" s="31" t="n"/>
      <c r="Q586" s="31" t="n"/>
      <c r="R586" s="31" t="n"/>
      <c r="S586" s="32">
        <f>IF($F586="","",IF(IFERROR(VLOOKUP($F586,'维度字典'!$M$2:$N$50,2,0),"求和")="手工录入","",IF(IFERROR(VLOOKUP($F586,'维度字典'!$M$2:$N$50,2,0),"求和")="最新值",IFERROR(LOOKUP(9.99E+307,G586:R586),""),SUM(G586:R586))))</f>
        <v/>
      </c>
      <c r="T586" s="33" t="n"/>
    </row>
    <row r="587">
      <c r="A587" s="26">
        <f>IF($B587="","",ROW()-3)</f>
        <v/>
      </c>
      <c r="B587" s="27" t="n"/>
      <c r="C587" s="27" t="n"/>
      <c r="D587" s="28" t="n"/>
      <c r="E587" s="29" t="n"/>
      <c r="F587" s="30" t="n"/>
      <c r="G587" s="31" t="n"/>
      <c r="H587" s="31" t="n"/>
      <c r="I587" s="31" t="n"/>
      <c r="J587" s="31" t="n"/>
      <c r="K587" s="31" t="n"/>
      <c r="L587" s="31" t="n"/>
      <c r="M587" s="31" t="n"/>
      <c r="N587" s="31" t="n"/>
      <c r="O587" s="31" t="n"/>
      <c r="P587" s="31" t="n"/>
      <c r="Q587" s="31" t="n"/>
      <c r="R587" s="31" t="n"/>
      <c r="S587" s="32">
        <f>IF($F587="","",IF(IFERROR(VLOOKUP($F587,'维度字典'!$M$2:$N$50,2,0),"求和")="手工录入","",IF(IFERROR(VLOOKUP($F587,'维度字典'!$M$2:$N$50,2,0),"求和")="最新值",IFERROR(LOOKUP(9.99E+307,G587:R587),""),SUM(G587:R587))))</f>
        <v/>
      </c>
      <c r="T587" s="33" t="n"/>
    </row>
    <row r="588">
      <c r="A588" s="26">
        <f>IF($B588="","",ROW()-3)</f>
        <v/>
      </c>
      <c r="B588" s="27" t="n"/>
      <c r="C588" s="27" t="n"/>
      <c r="D588" s="28" t="n"/>
      <c r="E588" s="29" t="n"/>
      <c r="F588" s="30" t="n"/>
      <c r="G588" s="31" t="n"/>
      <c r="H588" s="31" t="n"/>
      <c r="I588" s="31" t="n"/>
      <c r="J588" s="31" t="n"/>
      <c r="K588" s="31" t="n"/>
      <c r="L588" s="31" t="n"/>
      <c r="M588" s="31" t="n"/>
      <c r="N588" s="31" t="n"/>
      <c r="O588" s="31" t="n"/>
      <c r="P588" s="31" t="n"/>
      <c r="Q588" s="31" t="n"/>
      <c r="R588" s="31" t="n"/>
      <c r="S588" s="32">
        <f>IF($F588="","",IF(IFERROR(VLOOKUP($F588,'维度字典'!$M$2:$N$50,2,0),"求和")="手工录入","",IF(IFERROR(VLOOKUP($F588,'维度字典'!$M$2:$N$50,2,0),"求和")="最新值",IFERROR(LOOKUP(9.99E+307,G588:R588),""),SUM(G588:R588))))</f>
        <v/>
      </c>
      <c r="T588" s="33" t="n"/>
    </row>
    <row r="589">
      <c r="A589" s="26">
        <f>IF($B589="","",ROW()-3)</f>
        <v/>
      </c>
      <c r="B589" s="27" t="n"/>
      <c r="C589" s="27" t="n"/>
      <c r="D589" s="28" t="n"/>
      <c r="E589" s="29" t="n"/>
      <c r="F589" s="30" t="n"/>
      <c r="G589" s="31" t="n"/>
      <c r="H589" s="31" t="n"/>
      <c r="I589" s="31" t="n"/>
      <c r="J589" s="31" t="n"/>
      <c r="K589" s="31" t="n"/>
      <c r="L589" s="31" t="n"/>
      <c r="M589" s="31" t="n"/>
      <c r="N589" s="31" t="n"/>
      <c r="O589" s="31" t="n"/>
      <c r="P589" s="31" t="n"/>
      <c r="Q589" s="31" t="n"/>
      <c r="R589" s="31" t="n"/>
      <c r="S589" s="32">
        <f>IF($F589="","",IF(IFERROR(VLOOKUP($F589,'维度字典'!$M$2:$N$50,2,0),"求和")="手工录入","",IF(IFERROR(VLOOKUP($F589,'维度字典'!$M$2:$N$50,2,0),"求和")="最新值",IFERROR(LOOKUP(9.99E+307,G589:R589),""),SUM(G589:R589))))</f>
        <v/>
      </c>
      <c r="T589" s="33" t="n"/>
    </row>
    <row r="590">
      <c r="A590" s="26">
        <f>IF($B590="","",ROW()-3)</f>
        <v/>
      </c>
      <c r="B590" s="27" t="n"/>
      <c r="C590" s="27" t="n"/>
      <c r="D590" s="28" t="n"/>
      <c r="E590" s="29" t="n"/>
      <c r="F590" s="30" t="n"/>
      <c r="G590" s="31" t="n"/>
      <c r="H590" s="31" t="n"/>
      <c r="I590" s="31" t="n"/>
      <c r="J590" s="31" t="n"/>
      <c r="K590" s="31" t="n"/>
      <c r="L590" s="31" t="n"/>
      <c r="M590" s="31" t="n"/>
      <c r="N590" s="31" t="n"/>
      <c r="O590" s="31" t="n"/>
      <c r="P590" s="31" t="n"/>
      <c r="Q590" s="31" t="n"/>
      <c r="R590" s="31" t="n"/>
      <c r="S590" s="32">
        <f>IF($F590="","",IF(IFERROR(VLOOKUP($F590,'维度字典'!$M$2:$N$50,2,0),"求和")="手工录入","",IF(IFERROR(VLOOKUP($F590,'维度字典'!$M$2:$N$50,2,0),"求和")="最新值",IFERROR(LOOKUP(9.99E+307,G590:R590),""),SUM(G590:R590))))</f>
        <v/>
      </c>
      <c r="T590" s="33" t="n"/>
    </row>
    <row r="591">
      <c r="A591" s="26">
        <f>IF($B591="","",ROW()-3)</f>
        <v/>
      </c>
      <c r="B591" s="27" t="n"/>
      <c r="C591" s="27" t="n"/>
      <c r="D591" s="28" t="n"/>
      <c r="E591" s="29" t="n"/>
      <c r="F591" s="30" t="n"/>
      <c r="G591" s="31" t="n"/>
      <c r="H591" s="31" t="n"/>
      <c r="I591" s="31" t="n"/>
      <c r="J591" s="31" t="n"/>
      <c r="K591" s="31" t="n"/>
      <c r="L591" s="31" t="n"/>
      <c r="M591" s="31" t="n"/>
      <c r="N591" s="31" t="n"/>
      <c r="O591" s="31" t="n"/>
      <c r="P591" s="31" t="n"/>
      <c r="Q591" s="31" t="n"/>
      <c r="R591" s="31" t="n"/>
      <c r="S591" s="32">
        <f>IF($F591="","",IF(IFERROR(VLOOKUP($F591,'维度字典'!$M$2:$N$50,2,0),"求和")="手工录入","",IF(IFERROR(VLOOKUP($F591,'维度字典'!$M$2:$N$50,2,0),"求和")="最新值",IFERROR(LOOKUP(9.99E+307,G591:R591),""),SUM(G591:R591))))</f>
        <v/>
      </c>
      <c r="T591" s="33" t="n"/>
    </row>
    <row r="592">
      <c r="A592" s="26">
        <f>IF($B592="","",ROW()-3)</f>
        <v/>
      </c>
      <c r="B592" s="27" t="n"/>
      <c r="C592" s="27" t="n"/>
      <c r="D592" s="28" t="n"/>
      <c r="E592" s="29" t="n"/>
      <c r="F592" s="30" t="n"/>
      <c r="G592" s="31" t="n"/>
      <c r="H592" s="31" t="n"/>
      <c r="I592" s="31" t="n"/>
      <c r="J592" s="31" t="n"/>
      <c r="K592" s="31" t="n"/>
      <c r="L592" s="31" t="n"/>
      <c r="M592" s="31" t="n"/>
      <c r="N592" s="31" t="n"/>
      <c r="O592" s="31" t="n"/>
      <c r="P592" s="31" t="n"/>
      <c r="Q592" s="31" t="n"/>
      <c r="R592" s="31" t="n"/>
      <c r="S592" s="32">
        <f>IF($F592="","",IF(IFERROR(VLOOKUP($F592,'维度字典'!$M$2:$N$50,2,0),"求和")="手工录入","",IF(IFERROR(VLOOKUP($F592,'维度字典'!$M$2:$N$50,2,0),"求和")="最新值",IFERROR(LOOKUP(9.99E+307,G592:R592),""),SUM(G592:R592))))</f>
        <v/>
      </c>
      <c r="T592" s="33" t="n"/>
    </row>
    <row r="593">
      <c r="A593" s="26">
        <f>IF($B593="","",ROW()-3)</f>
        <v/>
      </c>
      <c r="B593" s="27" t="n"/>
      <c r="C593" s="27" t="n"/>
      <c r="D593" s="28" t="n"/>
      <c r="E593" s="29" t="n"/>
      <c r="F593" s="30" t="n"/>
      <c r="G593" s="31" t="n"/>
      <c r="H593" s="31" t="n"/>
      <c r="I593" s="31" t="n"/>
      <c r="J593" s="31" t="n"/>
      <c r="K593" s="31" t="n"/>
      <c r="L593" s="31" t="n"/>
      <c r="M593" s="31" t="n"/>
      <c r="N593" s="31" t="n"/>
      <c r="O593" s="31" t="n"/>
      <c r="P593" s="31" t="n"/>
      <c r="Q593" s="31" t="n"/>
      <c r="R593" s="31" t="n"/>
      <c r="S593" s="32">
        <f>IF($F593="","",IF(IFERROR(VLOOKUP($F593,'维度字典'!$M$2:$N$50,2,0),"求和")="手工录入","",IF(IFERROR(VLOOKUP($F593,'维度字典'!$M$2:$N$50,2,0),"求和")="最新值",IFERROR(LOOKUP(9.99E+307,G593:R593),""),SUM(G593:R593))))</f>
        <v/>
      </c>
      <c r="T593" s="33" t="n"/>
    </row>
    <row r="594">
      <c r="A594" s="26">
        <f>IF($B594="","",ROW()-3)</f>
        <v/>
      </c>
      <c r="B594" s="27" t="n"/>
      <c r="C594" s="27" t="n"/>
      <c r="D594" s="28" t="n"/>
      <c r="E594" s="29" t="n"/>
      <c r="F594" s="30" t="n"/>
      <c r="G594" s="31" t="n"/>
      <c r="H594" s="31" t="n"/>
      <c r="I594" s="31" t="n"/>
      <c r="J594" s="31" t="n"/>
      <c r="K594" s="31" t="n"/>
      <c r="L594" s="31" t="n"/>
      <c r="M594" s="31" t="n"/>
      <c r="N594" s="31" t="n"/>
      <c r="O594" s="31" t="n"/>
      <c r="P594" s="31" t="n"/>
      <c r="Q594" s="31" t="n"/>
      <c r="R594" s="31" t="n"/>
      <c r="S594" s="32">
        <f>IF($F594="","",IF(IFERROR(VLOOKUP($F594,'维度字典'!$M$2:$N$50,2,0),"求和")="手工录入","",IF(IFERROR(VLOOKUP($F594,'维度字典'!$M$2:$N$50,2,0),"求和")="最新值",IFERROR(LOOKUP(9.99E+307,G594:R594),""),SUM(G594:R594))))</f>
        <v/>
      </c>
      <c r="T594" s="33" t="n"/>
    </row>
    <row r="595">
      <c r="A595" s="26">
        <f>IF($B595="","",ROW()-3)</f>
        <v/>
      </c>
      <c r="B595" s="27" t="n"/>
      <c r="C595" s="27" t="n"/>
      <c r="D595" s="28" t="n"/>
      <c r="E595" s="29" t="n"/>
      <c r="F595" s="30" t="n"/>
      <c r="G595" s="31" t="n"/>
      <c r="H595" s="31" t="n"/>
      <c r="I595" s="31" t="n"/>
      <c r="J595" s="31" t="n"/>
      <c r="K595" s="31" t="n"/>
      <c r="L595" s="31" t="n"/>
      <c r="M595" s="31" t="n"/>
      <c r="N595" s="31" t="n"/>
      <c r="O595" s="31" t="n"/>
      <c r="P595" s="31" t="n"/>
      <c r="Q595" s="31" t="n"/>
      <c r="R595" s="31" t="n"/>
      <c r="S595" s="32">
        <f>IF($F595="","",IF(IFERROR(VLOOKUP($F595,'维度字典'!$M$2:$N$50,2,0),"求和")="手工录入","",IF(IFERROR(VLOOKUP($F595,'维度字典'!$M$2:$N$50,2,0),"求和")="最新值",IFERROR(LOOKUP(9.99E+307,G595:R595),""),SUM(G595:R595))))</f>
        <v/>
      </c>
      <c r="T595" s="33" t="n"/>
    </row>
    <row r="596">
      <c r="A596" s="26">
        <f>IF($B596="","",ROW()-3)</f>
        <v/>
      </c>
      <c r="B596" s="27" t="n"/>
      <c r="C596" s="27" t="n"/>
      <c r="D596" s="28" t="n"/>
      <c r="E596" s="29" t="n"/>
      <c r="F596" s="30" t="n"/>
      <c r="G596" s="31" t="n"/>
      <c r="H596" s="31" t="n"/>
      <c r="I596" s="31" t="n"/>
      <c r="J596" s="31" t="n"/>
      <c r="K596" s="31" t="n"/>
      <c r="L596" s="31" t="n"/>
      <c r="M596" s="31" t="n"/>
      <c r="N596" s="31" t="n"/>
      <c r="O596" s="31" t="n"/>
      <c r="P596" s="31" t="n"/>
      <c r="Q596" s="31" t="n"/>
      <c r="R596" s="31" t="n"/>
      <c r="S596" s="32">
        <f>IF($F596="","",IF(IFERROR(VLOOKUP($F596,'维度字典'!$M$2:$N$50,2,0),"求和")="手工录入","",IF(IFERROR(VLOOKUP($F596,'维度字典'!$M$2:$N$50,2,0),"求和")="最新值",IFERROR(LOOKUP(9.99E+307,G596:R596),""),SUM(G596:R596))))</f>
        <v/>
      </c>
      <c r="T596" s="33" t="n"/>
    </row>
    <row r="597">
      <c r="A597" s="26">
        <f>IF($B597="","",ROW()-3)</f>
        <v/>
      </c>
      <c r="B597" s="27" t="n"/>
      <c r="C597" s="27" t="n"/>
      <c r="D597" s="28" t="n"/>
      <c r="E597" s="29" t="n"/>
      <c r="F597" s="30" t="n"/>
      <c r="G597" s="31" t="n"/>
      <c r="H597" s="31" t="n"/>
      <c r="I597" s="31" t="n"/>
      <c r="J597" s="31" t="n"/>
      <c r="K597" s="31" t="n"/>
      <c r="L597" s="31" t="n"/>
      <c r="M597" s="31" t="n"/>
      <c r="N597" s="31" t="n"/>
      <c r="O597" s="31" t="n"/>
      <c r="P597" s="31" t="n"/>
      <c r="Q597" s="31" t="n"/>
      <c r="R597" s="31" t="n"/>
      <c r="S597" s="32">
        <f>IF($F597="","",IF(IFERROR(VLOOKUP($F597,'维度字典'!$M$2:$N$50,2,0),"求和")="手工录入","",IF(IFERROR(VLOOKUP($F597,'维度字典'!$M$2:$N$50,2,0),"求和")="最新值",IFERROR(LOOKUP(9.99E+307,G597:R597),""),SUM(G597:R597))))</f>
        <v/>
      </c>
      <c r="T597" s="33" t="n"/>
    </row>
    <row r="598">
      <c r="A598" s="26">
        <f>IF($B598="","",ROW()-3)</f>
        <v/>
      </c>
      <c r="B598" s="27" t="n"/>
      <c r="C598" s="27" t="n"/>
      <c r="D598" s="28" t="n"/>
      <c r="E598" s="29" t="n"/>
      <c r="F598" s="30" t="n"/>
      <c r="G598" s="31" t="n"/>
      <c r="H598" s="31" t="n"/>
      <c r="I598" s="31" t="n"/>
      <c r="J598" s="31" t="n"/>
      <c r="K598" s="31" t="n"/>
      <c r="L598" s="31" t="n"/>
      <c r="M598" s="31" t="n"/>
      <c r="N598" s="31" t="n"/>
      <c r="O598" s="31" t="n"/>
      <c r="P598" s="31" t="n"/>
      <c r="Q598" s="31" t="n"/>
      <c r="R598" s="31" t="n"/>
      <c r="S598" s="32">
        <f>IF($F598="","",IF(IFERROR(VLOOKUP($F598,'维度字典'!$M$2:$N$50,2,0),"求和")="手工录入","",IF(IFERROR(VLOOKUP($F598,'维度字典'!$M$2:$N$50,2,0),"求和")="最新值",IFERROR(LOOKUP(9.99E+307,G598:R598),""),SUM(G598:R598))))</f>
        <v/>
      </c>
      <c r="T598" s="33" t="n"/>
    </row>
    <row r="599">
      <c r="A599" s="26">
        <f>IF($B599="","",ROW()-3)</f>
        <v/>
      </c>
      <c r="B599" s="27" t="n"/>
      <c r="C599" s="27" t="n"/>
      <c r="D599" s="28" t="n"/>
      <c r="E599" s="29" t="n"/>
      <c r="F599" s="30" t="n"/>
      <c r="G599" s="31" t="n"/>
      <c r="H599" s="31" t="n"/>
      <c r="I599" s="31" t="n"/>
      <c r="J599" s="31" t="n"/>
      <c r="K599" s="31" t="n"/>
      <c r="L599" s="31" t="n"/>
      <c r="M599" s="31" t="n"/>
      <c r="N599" s="31" t="n"/>
      <c r="O599" s="31" t="n"/>
      <c r="P599" s="31" t="n"/>
      <c r="Q599" s="31" t="n"/>
      <c r="R599" s="31" t="n"/>
      <c r="S599" s="32">
        <f>IF($F599="","",IF(IFERROR(VLOOKUP($F599,'维度字典'!$M$2:$N$50,2,0),"求和")="手工录入","",IF(IFERROR(VLOOKUP($F599,'维度字典'!$M$2:$N$50,2,0),"求和")="最新值",IFERROR(LOOKUP(9.99E+307,G599:R599),""),SUM(G599:R599))))</f>
        <v/>
      </c>
      <c r="T599" s="33" t="n"/>
    </row>
    <row r="600">
      <c r="A600" s="26">
        <f>IF($B600="","",ROW()-3)</f>
        <v/>
      </c>
      <c r="B600" s="27" t="n"/>
      <c r="C600" s="27" t="n"/>
      <c r="D600" s="28" t="n"/>
      <c r="E600" s="29" t="n"/>
      <c r="F600" s="30" t="n"/>
      <c r="G600" s="31" t="n"/>
      <c r="H600" s="31" t="n"/>
      <c r="I600" s="31" t="n"/>
      <c r="J600" s="31" t="n"/>
      <c r="K600" s="31" t="n"/>
      <c r="L600" s="31" t="n"/>
      <c r="M600" s="31" t="n"/>
      <c r="N600" s="31" t="n"/>
      <c r="O600" s="31" t="n"/>
      <c r="P600" s="31" t="n"/>
      <c r="Q600" s="31" t="n"/>
      <c r="R600" s="31" t="n"/>
      <c r="S600" s="32">
        <f>IF($F600="","",IF(IFERROR(VLOOKUP($F600,'维度字典'!$M$2:$N$50,2,0),"求和")="手工录入","",IF(IFERROR(VLOOKUP($F600,'维度字典'!$M$2:$N$50,2,0),"求和")="最新值",IFERROR(LOOKUP(9.99E+307,G600:R600),""),SUM(G600:R600))))</f>
        <v/>
      </c>
      <c r="T600" s="33" t="n"/>
    </row>
    <row r="601">
      <c r="A601" s="26">
        <f>IF($B601="","",ROW()-3)</f>
        <v/>
      </c>
      <c r="B601" s="27" t="n"/>
      <c r="C601" s="27" t="n"/>
      <c r="D601" s="28" t="n"/>
      <c r="E601" s="29" t="n"/>
      <c r="F601" s="30" t="n"/>
      <c r="G601" s="31" t="n"/>
      <c r="H601" s="31" t="n"/>
      <c r="I601" s="31" t="n"/>
      <c r="J601" s="31" t="n"/>
      <c r="K601" s="31" t="n"/>
      <c r="L601" s="31" t="n"/>
      <c r="M601" s="31" t="n"/>
      <c r="N601" s="31" t="n"/>
      <c r="O601" s="31" t="n"/>
      <c r="P601" s="31" t="n"/>
      <c r="Q601" s="31" t="n"/>
      <c r="R601" s="31" t="n"/>
      <c r="S601" s="32">
        <f>IF($F601="","",IF(IFERROR(VLOOKUP($F601,'维度字典'!$M$2:$N$50,2,0),"求和")="手工录入","",IF(IFERROR(VLOOKUP($F601,'维度字典'!$M$2:$N$50,2,0),"求和")="最新值",IFERROR(LOOKUP(9.99E+307,G601:R601),""),SUM(G601:R601))))</f>
        <v/>
      </c>
      <c r="T601" s="33" t="n"/>
    </row>
    <row r="602">
      <c r="A602" s="26">
        <f>IF($B602="","",ROW()-3)</f>
        <v/>
      </c>
      <c r="B602" s="27" t="n"/>
      <c r="C602" s="27" t="n"/>
      <c r="D602" s="28" t="n"/>
      <c r="E602" s="29" t="n"/>
      <c r="F602" s="30" t="n"/>
      <c r="G602" s="31" t="n"/>
      <c r="H602" s="31" t="n"/>
      <c r="I602" s="31" t="n"/>
      <c r="J602" s="31" t="n"/>
      <c r="K602" s="31" t="n"/>
      <c r="L602" s="31" t="n"/>
      <c r="M602" s="31" t="n"/>
      <c r="N602" s="31" t="n"/>
      <c r="O602" s="31" t="n"/>
      <c r="P602" s="31" t="n"/>
      <c r="Q602" s="31" t="n"/>
      <c r="R602" s="31" t="n"/>
      <c r="S602" s="32">
        <f>IF($F602="","",IF(IFERROR(VLOOKUP($F602,'维度字典'!$M$2:$N$50,2,0),"求和")="手工录入","",IF(IFERROR(VLOOKUP($F602,'维度字典'!$M$2:$N$50,2,0),"求和")="最新值",IFERROR(LOOKUP(9.99E+307,G602:R602),""),SUM(G602:R602))))</f>
        <v/>
      </c>
      <c r="T602" s="33" t="n"/>
    </row>
    <row r="603">
      <c r="A603" s="26">
        <f>IF($B603="","",ROW()-3)</f>
        <v/>
      </c>
      <c r="B603" s="27" t="n"/>
      <c r="C603" s="27" t="n"/>
      <c r="D603" s="28" t="n"/>
      <c r="E603" s="29" t="n"/>
      <c r="F603" s="30" t="n"/>
      <c r="G603" s="31" t="n"/>
      <c r="H603" s="31" t="n"/>
      <c r="I603" s="31" t="n"/>
      <c r="J603" s="31" t="n"/>
      <c r="K603" s="31" t="n"/>
      <c r="L603" s="31" t="n"/>
      <c r="M603" s="31" t="n"/>
      <c r="N603" s="31" t="n"/>
      <c r="O603" s="31" t="n"/>
      <c r="P603" s="31" t="n"/>
      <c r="Q603" s="31" t="n"/>
      <c r="R603" s="31" t="n"/>
      <c r="S603" s="32">
        <f>IF($F603="","",IF(IFERROR(VLOOKUP($F603,'维度字典'!$M$2:$N$50,2,0),"求和")="手工录入","",IF(IFERROR(VLOOKUP($F603,'维度字典'!$M$2:$N$50,2,0),"求和")="最新值",IFERROR(LOOKUP(9.99E+307,G603:R603),""),SUM(G603:R603))))</f>
        <v/>
      </c>
      <c r="T603" s="33" t="n"/>
    </row>
    <row r="604">
      <c r="A604" s="26">
        <f>IF($B604="","",ROW()-3)</f>
        <v/>
      </c>
      <c r="B604" s="27" t="n"/>
      <c r="C604" s="27" t="n"/>
      <c r="D604" s="28" t="n"/>
      <c r="E604" s="29" t="n"/>
      <c r="F604" s="30" t="n"/>
      <c r="G604" s="31" t="n"/>
      <c r="H604" s="31" t="n"/>
      <c r="I604" s="31" t="n"/>
      <c r="J604" s="31" t="n"/>
      <c r="K604" s="31" t="n"/>
      <c r="L604" s="31" t="n"/>
      <c r="M604" s="31" t="n"/>
      <c r="N604" s="31" t="n"/>
      <c r="O604" s="31" t="n"/>
      <c r="P604" s="31" t="n"/>
      <c r="Q604" s="31" t="n"/>
      <c r="R604" s="31" t="n"/>
      <c r="S604" s="32">
        <f>IF($F604="","",IF(IFERROR(VLOOKUP($F604,'维度字典'!$M$2:$N$50,2,0),"求和")="手工录入","",IF(IFERROR(VLOOKUP($F604,'维度字典'!$M$2:$N$50,2,0),"求和")="最新值",IFERROR(LOOKUP(9.99E+307,G604:R604),""),SUM(G604:R604))))</f>
        <v/>
      </c>
      <c r="T604" s="33" t="n"/>
    </row>
    <row r="605">
      <c r="A605" s="26">
        <f>IF($B605="","",ROW()-3)</f>
        <v/>
      </c>
      <c r="B605" s="27" t="n"/>
      <c r="C605" s="27" t="n"/>
      <c r="D605" s="28" t="n"/>
      <c r="E605" s="29" t="n"/>
      <c r="F605" s="30" t="n"/>
      <c r="G605" s="31" t="n"/>
      <c r="H605" s="31" t="n"/>
      <c r="I605" s="31" t="n"/>
      <c r="J605" s="31" t="n"/>
      <c r="K605" s="31" t="n"/>
      <c r="L605" s="31" t="n"/>
      <c r="M605" s="31" t="n"/>
      <c r="N605" s="31" t="n"/>
      <c r="O605" s="31" t="n"/>
      <c r="P605" s="31" t="n"/>
      <c r="Q605" s="31" t="n"/>
      <c r="R605" s="31" t="n"/>
      <c r="S605" s="32">
        <f>IF($F605="","",IF(IFERROR(VLOOKUP($F605,'维度字典'!$M$2:$N$50,2,0),"求和")="手工录入","",IF(IFERROR(VLOOKUP($F605,'维度字典'!$M$2:$N$50,2,0),"求和")="最新值",IFERROR(LOOKUP(9.99E+307,G605:R605),""),SUM(G605:R605))))</f>
        <v/>
      </c>
      <c r="T605" s="33" t="n"/>
    </row>
    <row r="606">
      <c r="A606" s="26">
        <f>IF($B606="","",ROW()-3)</f>
        <v/>
      </c>
      <c r="B606" s="27" t="n"/>
      <c r="C606" s="27" t="n"/>
      <c r="D606" s="28" t="n"/>
      <c r="E606" s="29" t="n"/>
      <c r="F606" s="30" t="n"/>
      <c r="G606" s="31" t="n"/>
      <c r="H606" s="31" t="n"/>
      <c r="I606" s="31" t="n"/>
      <c r="J606" s="31" t="n"/>
      <c r="K606" s="31" t="n"/>
      <c r="L606" s="31" t="n"/>
      <c r="M606" s="31" t="n"/>
      <c r="N606" s="31" t="n"/>
      <c r="O606" s="31" t="n"/>
      <c r="P606" s="31" t="n"/>
      <c r="Q606" s="31" t="n"/>
      <c r="R606" s="31" t="n"/>
      <c r="S606" s="32">
        <f>IF($F606="","",IF(IFERROR(VLOOKUP($F606,'维度字典'!$M$2:$N$50,2,0),"求和")="手工录入","",IF(IFERROR(VLOOKUP($F606,'维度字典'!$M$2:$N$50,2,0),"求和")="最新值",IFERROR(LOOKUP(9.99E+307,G606:R606),""),SUM(G606:R606))))</f>
        <v/>
      </c>
      <c r="T606" s="33" t="n"/>
    </row>
    <row r="607">
      <c r="A607" s="26">
        <f>IF($B607="","",ROW()-3)</f>
        <v/>
      </c>
      <c r="B607" s="27" t="n"/>
      <c r="C607" s="27" t="n"/>
      <c r="D607" s="28" t="n"/>
      <c r="E607" s="29" t="n"/>
      <c r="F607" s="30" t="n"/>
      <c r="G607" s="31" t="n"/>
      <c r="H607" s="31" t="n"/>
      <c r="I607" s="31" t="n"/>
      <c r="J607" s="31" t="n"/>
      <c r="K607" s="31" t="n"/>
      <c r="L607" s="31" t="n"/>
      <c r="M607" s="31" t="n"/>
      <c r="N607" s="31" t="n"/>
      <c r="O607" s="31" t="n"/>
      <c r="P607" s="31" t="n"/>
      <c r="Q607" s="31" t="n"/>
      <c r="R607" s="31" t="n"/>
      <c r="S607" s="32">
        <f>IF($F607="","",IF(IFERROR(VLOOKUP($F607,'维度字典'!$M$2:$N$50,2,0),"求和")="手工录入","",IF(IFERROR(VLOOKUP($F607,'维度字典'!$M$2:$N$50,2,0),"求和")="最新值",IFERROR(LOOKUP(9.99E+307,G607:R607),""),SUM(G607:R607))))</f>
        <v/>
      </c>
      <c r="T607" s="33" t="n"/>
    </row>
    <row r="608">
      <c r="A608" s="26">
        <f>IF($B608="","",ROW()-3)</f>
        <v/>
      </c>
      <c r="B608" s="27" t="n"/>
      <c r="C608" s="27" t="n"/>
      <c r="D608" s="28" t="n"/>
      <c r="E608" s="29" t="n"/>
      <c r="F608" s="30" t="n"/>
      <c r="G608" s="31" t="n"/>
      <c r="H608" s="31" t="n"/>
      <c r="I608" s="31" t="n"/>
      <c r="J608" s="31" t="n"/>
      <c r="K608" s="31" t="n"/>
      <c r="L608" s="31" t="n"/>
      <c r="M608" s="31" t="n"/>
      <c r="N608" s="31" t="n"/>
      <c r="O608" s="31" t="n"/>
      <c r="P608" s="31" t="n"/>
      <c r="Q608" s="31" t="n"/>
      <c r="R608" s="31" t="n"/>
      <c r="S608" s="32">
        <f>IF($F608="","",IF(IFERROR(VLOOKUP($F608,'维度字典'!$M$2:$N$50,2,0),"求和")="手工录入","",IF(IFERROR(VLOOKUP($F608,'维度字典'!$M$2:$N$50,2,0),"求和")="最新值",IFERROR(LOOKUP(9.99E+307,G608:R608),""),SUM(G608:R608))))</f>
        <v/>
      </c>
      <c r="T608" s="33" t="n"/>
    </row>
    <row r="609">
      <c r="A609" s="26">
        <f>IF($B609="","",ROW()-3)</f>
        <v/>
      </c>
      <c r="B609" s="27" t="n"/>
      <c r="C609" s="27" t="n"/>
      <c r="D609" s="28" t="n"/>
      <c r="E609" s="29" t="n"/>
      <c r="F609" s="30" t="n"/>
      <c r="G609" s="31" t="n"/>
      <c r="H609" s="31" t="n"/>
      <c r="I609" s="31" t="n"/>
      <c r="J609" s="31" t="n"/>
      <c r="K609" s="31" t="n"/>
      <c r="L609" s="31" t="n"/>
      <c r="M609" s="31" t="n"/>
      <c r="N609" s="31" t="n"/>
      <c r="O609" s="31" t="n"/>
      <c r="P609" s="31" t="n"/>
      <c r="Q609" s="31" t="n"/>
      <c r="R609" s="31" t="n"/>
      <c r="S609" s="32">
        <f>IF($F609="","",IF(IFERROR(VLOOKUP($F609,'维度字典'!$M$2:$N$50,2,0),"求和")="手工录入","",IF(IFERROR(VLOOKUP($F609,'维度字典'!$M$2:$N$50,2,0),"求和")="最新值",IFERROR(LOOKUP(9.99E+307,G609:R609),""),SUM(G609:R609))))</f>
        <v/>
      </c>
      <c r="T609" s="33" t="n"/>
    </row>
    <row r="610">
      <c r="A610" s="26">
        <f>IF($B610="","",ROW()-3)</f>
        <v/>
      </c>
      <c r="B610" s="27" t="n"/>
      <c r="C610" s="27" t="n"/>
      <c r="D610" s="28" t="n"/>
      <c r="E610" s="29" t="n"/>
      <c r="F610" s="30" t="n"/>
      <c r="G610" s="31" t="n"/>
      <c r="H610" s="31" t="n"/>
      <c r="I610" s="31" t="n"/>
      <c r="J610" s="31" t="n"/>
      <c r="K610" s="31" t="n"/>
      <c r="L610" s="31" t="n"/>
      <c r="M610" s="31" t="n"/>
      <c r="N610" s="31" t="n"/>
      <c r="O610" s="31" t="n"/>
      <c r="P610" s="31" t="n"/>
      <c r="Q610" s="31" t="n"/>
      <c r="R610" s="31" t="n"/>
      <c r="S610" s="32">
        <f>IF($F610="","",IF(IFERROR(VLOOKUP($F610,'维度字典'!$M$2:$N$50,2,0),"求和")="手工录入","",IF(IFERROR(VLOOKUP($F610,'维度字典'!$M$2:$N$50,2,0),"求和")="最新值",IFERROR(LOOKUP(9.99E+307,G610:R610),""),SUM(G610:R610))))</f>
        <v/>
      </c>
      <c r="T610" s="33" t="n"/>
    </row>
    <row r="611">
      <c r="A611" s="26">
        <f>IF($B611="","",ROW()-3)</f>
        <v/>
      </c>
      <c r="B611" s="27" t="n"/>
      <c r="C611" s="27" t="n"/>
      <c r="D611" s="28" t="n"/>
      <c r="E611" s="29" t="n"/>
      <c r="F611" s="30" t="n"/>
      <c r="G611" s="31" t="n"/>
      <c r="H611" s="31" t="n"/>
      <c r="I611" s="31" t="n"/>
      <c r="J611" s="31" t="n"/>
      <c r="K611" s="31" t="n"/>
      <c r="L611" s="31" t="n"/>
      <c r="M611" s="31" t="n"/>
      <c r="N611" s="31" t="n"/>
      <c r="O611" s="31" t="n"/>
      <c r="P611" s="31" t="n"/>
      <c r="Q611" s="31" t="n"/>
      <c r="R611" s="31" t="n"/>
      <c r="S611" s="32">
        <f>IF($F611="","",IF(IFERROR(VLOOKUP($F611,'维度字典'!$M$2:$N$50,2,0),"求和")="手工录入","",IF(IFERROR(VLOOKUP($F611,'维度字典'!$M$2:$N$50,2,0),"求和")="最新值",IFERROR(LOOKUP(9.99E+307,G611:R611),""),SUM(G611:R611))))</f>
        <v/>
      </c>
      <c r="T611" s="33" t="n"/>
    </row>
    <row r="612">
      <c r="A612" s="26">
        <f>IF($B612="","",ROW()-3)</f>
        <v/>
      </c>
      <c r="B612" s="27" t="n"/>
      <c r="C612" s="27" t="n"/>
      <c r="D612" s="28" t="n"/>
      <c r="E612" s="29" t="n"/>
      <c r="F612" s="30" t="n"/>
      <c r="G612" s="31" t="n"/>
      <c r="H612" s="31" t="n"/>
      <c r="I612" s="31" t="n"/>
      <c r="J612" s="31" t="n"/>
      <c r="K612" s="31" t="n"/>
      <c r="L612" s="31" t="n"/>
      <c r="M612" s="31" t="n"/>
      <c r="N612" s="31" t="n"/>
      <c r="O612" s="31" t="n"/>
      <c r="P612" s="31" t="n"/>
      <c r="Q612" s="31" t="n"/>
      <c r="R612" s="31" t="n"/>
      <c r="S612" s="32">
        <f>IF($F612="","",IF(IFERROR(VLOOKUP($F612,'维度字典'!$M$2:$N$50,2,0),"求和")="手工录入","",IF(IFERROR(VLOOKUP($F612,'维度字典'!$M$2:$N$50,2,0),"求和")="最新值",IFERROR(LOOKUP(9.99E+307,G612:R612),""),SUM(G612:R612))))</f>
        <v/>
      </c>
      <c r="T612" s="33" t="n"/>
    </row>
    <row r="613">
      <c r="A613" s="26">
        <f>IF($B613="","",ROW()-3)</f>
        <v/>
      </c>
      <c r="B613" s="27" t="n"/>
      <c r="C613" s="27" t="n"/>
      <c r="D613" s="28" t="n"/>
      <c r="E613" s="29" t="n"/>
      <c r="F613" s="30" t="n"/>
      <c r="G613" s="31" t="n"/>
      <c r="H613" s="31" t="n"/>
      <c r="I613" s="31" t="n"/>
      <c r="J613" s="31" t="n"/>
      <c r="K613" s="31" t="n"/>
      <c r="L613" s="31" t="n"/>
      <c r="M613" s="31" t="n"/>
      <c r="N613" s="31" t="n"/>
      <c r="O613" s="31" t="n"/>
      <c r="P613" s="31" t="n"/>
      <c r="Q613" s="31" t="n"/>
      <c r="R613" s="31" t="n"/>
      <c r="S613" s="32">
        <f>IF($F613="","",IF(IFERROR(VLOOKUP($F613,'维度字典'!$M$2:$N$50,2,0),"求和")="手工录入","",IF(IFERROR(VLOOKUP($F613,'维度字典'!$M$2:$N$50,2,0),"求和")="最新值",IFERROR(LOOKUP(9.99E+307,G613:R613),""),SUM(G613:R613))))</f>
        <v/>
      </c>
      <c r="T613" s="33" t="n"/>
    </row>
    <row r="614">
      <c r="A614" s="26">
        <f>IF($B614="","",ROW()-3)</f>
        <v/>
      </c>
      <c r="B614" s="27" t="n"/>
      <c r="C614" s="27" t="n"/>
      <c r="D614" s="28" t="n"/>
      <c r="E614" s="29" t="n"/>
      <c r="F614" s="30" t="n"/>
      <c r="G614" s="31" t="n"/>
      <c r="H614" s="31" t="n"/>
      <c r="I614" s="31" t="n"/>
      <c r="J614" s="31" t="n"/>
      <c r="K614" s="31" t="n"/>
      <c r="L614" s="31" t="n"/>
      <c r="M614" s="31" t="n"/>
      <c r="N614" s="31" t="n"/>
      <c r="O614" s="31" t="n"/>
      <c r="P614" s="31" t="n"/>
      <c r="Q614" s="31" t="n"/>
      <c r="R614" s="31" t="n"/>
      <c r="S614" s="32">
        <f>IF($F614="","",IF(IFERROR(VLOOKUP($F614,'维度字典'!$M$2:$N$50,2,0),"求和")="手工录入","",IF(IFERROR(VLOOKUP($F614,'维度字典'!$M$2:$N$50,2,0),"求和")="最新值",IFERROR(LOOKUP(9.99E+307,G614:R614),""),SUM(G614:R614))))</f>
        <v/>
      </c>
      <c r="T614" s="33" t="n"/>
    </row>
    <row r="615">
      <c r="A615" s="26">
        <f>IF($B615="","",ROW()-3)</f>
        <v/>
      </c>
      <c r="B615" s="27" t="n"/>
      <c r="C615" s="27" t="n"/>
      <c r="D615" s="28" t="n"/>
      <c r="E615" s="29" t="n"/>
      <c r="F615" s="30" t="n"/>
      <c r="G615" s="31" t="n"/>
      <c r="H615" s="31" t="n"/>
      <c r="I615" s="31" t="n"/>
      <c r="J615" s="31" t="n"/>
      <c r="K615" s="31" t="n"/>
      <c r="L615" s="31" t="n"/>
      <c r="M615" s="31" t="n"/>
      <c r="N615" s="31" t="n"/>
      <c r="O615" s="31" t="n"/>
      <c r="P615" s="31" t="n"/>
      <c r="Q615" s="31" t="n"/>
      <c r="R615" s="31" t="n"/>
      <c r="S615" s="32">
        <f>IF($F615="","",IF(IFERROR(VLOOKUP($F615,'维度字典'!$M$2:$N$50,2,0),"求和")="手工录入","",IF(IFERROR(VLOOKUP($F615,'维度字典'!$M$2:$N$50,2,0),"求和")="最新值",IFERROR(LOOKUP(9.99E+307,G615:R615),""),SUM(G615:R615))))</f>
        <v/>
      </c>
      <c r="T615" s="33" t="n"/>
    </row>
    <row r="616">
      <c r="A616" s="26">
        <f>IF($B616="","",ROW()-3)</f>
        <v/>
      </c>
      <c r="B616" s="27" t="n"/>
      <c r="C616" s="27" t="n"/>
      <c r="D616" s="28" t="n"/>
      <c r="E616" s="29" t="n"/>
      <c r="F616" s="30" t="n"/>
      <c r="G616" s="31" t="n"/>
      <c r="H616" s="31" t="n"/>
      <c r="I616" s="31" t="n"/>
      <c r="J616" s="31" t="n"/>
      <c r="K616" s="31" t="n"/>
      <c r="L616" s="31" t="n"/>
      <c r="M616" s="31" t="n"/>
      <c r="N616" s="31" t="n"/>
      <c r="O616" s="31" t="n"/>
      <c r="P616" s="31" t="n"/>
      <c r="Q616" s="31" t="n"/>
      <c r="R616" s="31" t="n"/>
      <c r="S616" s="32">
        <f>IF($F616="","",IF(IFERROR(VLOOKUP($F616,'维度字典'!$M$2:$N$50,2,0),"求和")="手工录入","",IF(IFERROR(VLOOKUP($F616,'维度字典'!$M$2:$N$50,2,0),"求和")="最新值",IFERROR(LOOKUP(9.99E+307,G616:R616),""),SUM(G616:R616))))</f>
        <v/>
      </c>
      <c r="T616" s="33" t="n"/>
    </row>
    <row r="617">
      <c r="A617" s="26">
        <f>IF($B617="","",ROW()-3)</f>
        <v/>
      </c>
      <c r="B617" s="27" t="n"/>
      <c r="C617" s="27" t="n"/>
      <c r="D617" s="28" t="n"/>
      <c r="E617" s="29" t="n"/>
      <c r="F617" s="30" t="n"/>
      <c r="G617" s="31" t="n"/>
      <c r="H617" s="31" t="n"/>
      <c r="I617" s="31" t="n"/>
      <c r="J617" s="31" t="n"/>
      <c r="K617" s="31" t="n"/>
      <c r="L617" s="31" t="n"/>
      <c r="M617" s="31" t="n"/>
      <c r="N617" s="31" t="n"/>
      <c r="O617" s="31" t="n"/>
      <c r="P617" s="31" t="n"/>
      <c r="Q617" s="31" t="n"/>
      <c r="R617" s="31" t="n"/>
      <c r="S617" s="32">
        <f>IF($F617="","",IF(IFERROR(VLOOKUP($F617,'维度字典'!$M$2:$N$50,2,0),"求和")="手工录入","",IF(IFERROR(VLOOKUP($F617,'维度字典'!$M$2:$N$50,2,0),"求和")="最新值",IFERROR(LOOKUP(9.99E+307,G617:R617),""),SUM(G617:R617))))</f>
        <v/>
      </c>
      <c r="T617" s="33" t="n"/>
    </row>
    <row r="618">
      <c r="A618" s="26">
        <f>IF($B618="","",ROW()-3)</f>
        <v/>
      </c>
      <c r="B618" s="27" t="n"/>
      <c r="C618" s="27" t="n"/>
      <c r="D618" s="28" t="n"/>
      <c r="E618" s="29" t="n"/>
      <c r="F618" s="30" t="n"/>
      <c r="G618" s="31" t="n"/>
      <c r="H618" s="31" t="n"/>
      <c r="I618" s="31" t="n"/>
      <c r="J618" s="31" t="n"/>
      <c r="K618" s="31" t="n"/>
      <c r="L618" s="31" t="n"/>
      <c r="M618" s="31" t="n"/>
      <c r="N618" s="31" t="n"/>
      <c r="O618" s="31" t="n"/>
      <c r="P618" s="31" t="n"/>
      <c r="Q618" s="31" t="n"/>
      <c r="R618" s="31" t="n"/>
      <c r="S618" s="32">
        <f>IF($F618="","",IF(IFERROR(VLOOKUP($F618,'维度字典'!$M$2:$N$50,2,0),"求和")="手工录入","",IF(IFERROR(VLOOKUP($F618,'维度字典'!$M$2:$N$50,2,0),"求和")="最新值",IFERROR(LOOKUP(9.99E+307,G618:R618),""),SUM(G618:R618))))</f>
        <v/>
      </c>
      <c r="T618" s="33" t="n"/>
    </row>
    <row r="619">
      <c r="A619" s="26">
        <f>IF($B619="","",ROW()-3)</f>
        <v/>
      </c>
      <c r="B619" s="27" t="n"/>
      <c r="C619" s="27" t="n"/>
      <c r="D619" s="28" t="n"/>
      <c r="E619" s="29" t="n"/>
      <c r="F619" s="30" t="n"/>
      <c r="G619" s="31" t="n"/>
      <c r="H619" s="31" t="n"/>
      <c r="I619" s="31" t="n"/>
      <c r="J619" s="31" t="n"/>
      <c r="K619" s="31" t="n"/>
      <c r="L619" s="31" t="n"/>
      <c r="M619" s="31" t="n"/>
      <c r="N619" s="31" t="n"/>
      <c r="O619" s="31" t="n"/>
      <c r="P619" s="31" t="n"/>
      <c r="Q619" s="31" t="n"/>
      <c r="R619" s="31" t="n"/>
      <c r="S619" s="32">
        <f>IF($F619="","",IF(IFERROR(VLOOKUP($F619,'维度字典'!$M$2:$N$50,2,0),"求和")="手工录入","",IF(IFERROR(VLOOKUP($F619,'维度字典'!$M$2:$N$50,2,0),"求和")="最新值",IFERROR(LOOKUP(9.99E+307,G619:R619),""),SUM(G619:R619))))</f>
        <v/>
      </c>
      <c r="T619" s="33" t="n"/>
    </row>
    <row r="620">
      <c r="A620" s="26">
        <f>IF($B620="","",ROW()-3)</f>
        <v/>
      </c>
      <c r="B620" s="27" t="n"/>
      <c r="C620" s="27" t="n"/>
      <c r="D620" s="28" t="n"/>
      <c r="E620" s="29" t="n"/>
      <c r="F620" s="30" t="n"/>
      <c r="G620" s="31" t="n"/>
      <c r="H620" s="31" t="n"/>
      <c r="I620" s="31" t="n"/>
      <c r="J620" s="31" t="n"/>
      <c r="K620" s="31" t="n"/>
      <c r="L620" s="31" t="n"/>
      <c r="M620" s="31" t="n"/>
      <c r="N620" s="31" t="n"/>
      <c r="O620" s="31" t="n"/>
      <c r="P620" s="31" t="n"/>
      <c r="Q620" s="31" t="n"/>
      <c r="R620" s="31" t="n"/>
      <c r="S620" s="32">
        <f>IF($F620="","",IF(IFERROR(VLOOKUP($F620,'维度字典'!$M$2:$N$50,2,0),"求和")="手工录入","",IF(IFERROR(VLOOKUP($F620,'维度字典'!$M$2:$N$50,2,0),"求和")="最新值",IFERROR(LOOKUP(9.99E+307,G620:R620),""),SUM(G620:R620))))</f>
        <v/>
      </c>
      <c r="T620" s="33" t="n"/>
    </row>
    <row r="621">
      <c r="A621" s="26">
        <f>IF($B621="","",ROW()-3)</f>
        <v/>
      </c>
      <c r="B621" s="27" t="n"/>
      <c r="C621" s="27" t="n"/>
      <c r="D621" s="28" t="n"/>
      <c r="E621" s="29" t="n"/>
      <c r="F621" s="30" t="n"/>
      <c r="G621" s="31" t="n"/>
      <c r="H621" s="31" t="n"/>
      <c r="I621" s="31" t="n"/>
      <c r="J621" s="31" t="n"/>
      <c r="K621" s="31" t="n"/>
      <c r="L621" s="31" t="n"/>
      <c r="M621" s="31" t="n"/>
      <c r="N621" s="31" t="n"/>
      <c r="O621" s="31" t="n"/>
      <c r="P621" s="31" t="n"/>
      <c r="Q621" s="31" t="n"/>
      <c r="R621" s="31" t="n"/>
      <c r="S621" s="32">
        <f>IF($F621="","",IF(IFERROR(VLOOKUP($F621,'维度字典'!$M$2:$N$50,2,0),"求和")="手工录入","",IF(IFERROR(VLOOKUP($F621,'维度字典'!$M$2:$N$50,2,0),"求和")="最新值",IFERROR(LOOKUP(9.99E+307,G621:R621),""),SUM(G621:R621))))</f>
        <v/>
      </c>
      <c r="T621" s="33" t="n"/>
    </row>
    <row r="622">
      <c r="A622" s="26">
        <f>IF($B622="","",ROW()-3)</f>
        <v/>
      </c>
      <c r="B622" s="27" t="n"/>
      <c r="C622" s="27" t="n"/>
      <c r="D622" s="28" t="n"/>
      <c r="E622" s="29" t="n"/>
      <c r="F622" s="30" t="n"/>
      <c r="G622" s="31" t="n"/>
      <c r="H622" s="31" t="n"/>
      <c r="I622" s="31" t="n"/>
      <c r="J622" s="31" t="n"/>
      <c r="K622" s="31" t="n"/>
      <c r="L622" s="31" t="n"/>
      <c r="M622" s="31" t="n"/>
      <c r="N622" s="31" t="n"/>
      <c r="O622" s="31" t="n"/>
      <c r="P622" s="31" t="n"/>
      <c r="Q622" s="31" t="n"/>
      <c r="R622" s="31" t="n"/>
      <c r="S622" s="32">
        <f>IF($F622="","",IF(IFERROR(VLOOKUP($F622,'维度字典'!$M$2:$N$50,2,0),"求和")="手工录入","",IF(IFERROR(VLOOKUP($F622,'维度字典'!$M$2:$N$50,2,0),"求和")="最新值",IFERROR(LOOKUP(9.99E+307,G622:R622),""),SUM(G622:R622))))</f>
        <v/>
      </c>
      <c r="T622" s="33" t="n"/>
    </row>
    <row r="623">
      <c r="A623" s="26">
        <f>IF($B623="","",ROW()-3)</f>
        <v/>
      </c>
      <c r="B623" s="27" t="n"/>
      <c r="C623" s="27" t="n"/>
      <c r="D623" s="28" t="n"/>
      <c r="E623" s="29" t="n"/>
      <c r="F623" s="30" t="n"/>
      <c r="G623" s="31" t="n"/>
      <c r="H623" s="31" t="n"/>
      <c r="I623" s="31" t="n"/>
      <c r="J623" s="31" t="n"/>
      <c r="K623" s="31" t="n"/>
      <c r="L623" s="31" t="n"/>
      <c r="M623" s="31" t="n"/>
      <c r="N623" s="31" t="n"/>
      <c r="O623" s="31" t="n"/>
      <c r="P623" s="31" t="n"/>
      <c r="Q623" s="31" t="n"/>
      <c r="R623" s="31" t="n"/>
      <c r="S623" s="32">
        <f>IF($F623="","",IF(IFERROR(VLOOKUP($F623,'维度字典'!$M$2:$N$50,2,0),"求和")="手工录入","",IF(IFERROR(VLOOKUP($F623,'维度字典'!$M$2:$N$50,2,0),"求和")="最新值",IFERROR(LOOKUP(9.99E+307,G623:R623),""),SUM(G623:R623))))</f>
        <v/>
      </c>
      <c r="T623" s="33" t="n"/>
    </row>
    <row r="624">
      <c r="A624" s="26">
        <f>IF($B624="","",ROW()-3)</f>
        <v/>
      </c>
      <c r="B624" s="27" t="n"/>
      <c r="C624" s="27" t="n"/>
      <c r="D624" s="28" t="n"/>
      <c r="E624" s="29" t="n"/>
      <c r="F624" s="30" t="n"/>
      <c r="G624" s="31" t="n"/>
      <c r="H624" s="31" t="n"/>
      <c r="I624" s="31" t="n"/>
      <c r="J624" s="31" t="n"/>
      <c r="K624" s="31" t="n"/>
      <c r="L624" s="31" t="n"/>
      <c r="M624" s="31" t="n"/>
      <c r="N624" s="31" t="n"/>
      <c r="O624" s="31" t="n"/>
      <c r="P624" s="31" t="n"/>
      <c r="Q624" s="31" t="n"/>
      <c r="R624" s="31" t="n"/>
      <c r="S624" s="32">
        <f>IF($F624="","",IF(IFERROR(VLOOKUP($F624,'维度字典'!$M$2:$N$50,2,0),"求和")="手工录入","",IF(IFERROR(VLOOKUP($F624,'维度字典'!$M$2:$N$50,2,0),"求和")="最新值",IFERROR(LOOKUP(9.99E+307,G624:R624),""),SUM(G624:R624))))</f>
        <v/>
      </c>
      <c r="T624" s="33" t="n"/>
    </row>
    <row r="625">
      <c r="A625" s="26">
        <f>IF($B625="","",ROW()-3)</f>
        <v/>
      </c>
      <c r="B625" s="27" t="n"/>
      <c r="C625" s="27" t="n"/>
      <c r="D625" s="28" t="n"/>
      <c r="E625" s="29" t="n"/>
      <c r="F625" s="30" t="n"/>
      <c r="G625" s="31" t="n"/>
      <c r="H625" s="31" t="n"/>
      <c r="I625" s="31" t="n"/>
      <c r="J625" s="31" t="n"/>
      <c r="K625" s="31" t="n"/>
      <c r="L625" s="31" t="n"/>
      <c r="M625" s="31" t="n"/>
      <c r="N625" s="31" t="n"/>
      <c r="O625" s="31" t="n"/>
      <c r="P625" s="31" t="n"/>
      <c r="Q625" s="31" t="n"/>
      <c r="R625" s="31" t="n"/>
      <c r="S625" s="32">
        <f>IF($F625="","",IF(IFERROR(VLOOKUP($F625,'维度字典'!$M$2:$N$50,2,0),"求和")="手工录入","",IF(IFERROR(VLOOKUP($F625,'维度字典'!$M$2:$N$50,2,0),"求和")="最新值",IFERROR(LOOKUP(9.99E+307,G625:R625),""),SUM(G625:R625))))</f>
        <v/>
      </c>
      <c r="T625" s="33" t="n"/>
    </row>
    <row r="626">
      <c r="A626" s="26">
        <f>IF($B626="","",ROW()-3)</f>
        <v/>
      </c>
      <c r="B626" s="27" t="n"/>
      <c r="C626" s="27" t="n"/>
      <c r="D626" s="28" t="n"/>
      <c r="E626" s="29" t="n"/>
      <c r="F626" s="30" t="n"/>
      <c r="G626" s="31" t="n"/>
      <c r="H626" s="31" t="n"/>
      <c r="I626" s="31" t="n"/>
      <c r="J626" s="31" t="n"/>
      <c r="K626" s="31" t="n"/>
      <c r="L626" s="31" t="n"/>
      <c r="M626" s="31" t="n"/>
      <c r="N626" s="31" t="n"/>
      <c r="O626" s="31" t="n"/>
      <c r="P626" s="31" t="n"/>
      <c r="Q626" s="31" t="n"/>
      <c r="R626" s="31" t="n"/>
      <c r="S626" s="32">
        <f>IF($F626="","",IF(IFERROR(VLOOKUP($F626,'维度字典'!$M$2:$N$50,2,0),"求和")="手工录入","",IF(IFERROR(VLOOKUP($F626,'维度字典'!$M$2:$N$50,2,0),"求和")="最新值",IFERROR(LOOKUP(9.99E+307,G626:R626),""),SUM(G626:R626))))</f>
        <v/>
      </c>
      <c r="T626" s="33" t="n"/>
    </row>
    <row r="627">
      <c r="A627" s="26">
        <f>IF($B627="","",ROW()-3)</f>
        <v/>
      </c>
      <c r="B627" s="27" t="n"/>
      <c r="C627" s="27" t="n"/>
      <c r="D627" s="28" t="n"/>
      <c r="E627" s="29" t="n"/>
      <c r="F627" s="30" t="n"/>
      <c r="G627" s="31" t="n"/>
      <c r="H627" s="31" t="n"/>
      <c r="I627" s="31" t="n"/>
      <c r="J627" s="31" t="n"/>
      <c r="K627" s="31" t="n"/>
      <c r="L627" s="31" t="n"/>
      <c r="M627" s="31" t="n"/>
      <c r="N627" s="31" t="n"/>
      <c r="O627" s="31" t="n"/>
      <c r="P627" s="31" t="n"/>
      <c r="Q627" s="31" t="n"/>
      <c r="R627" s="31" t="n"/>
      <c r="S627" s="32">
        <f>IF($F627="","",IF(IFERROR(VLOOKUP($F627,'维度字典'!$M$2:$N$50,2,0),"求和")="手工录入","",IF(IFERROR(VLOOKUP($F627,'维度字典'!$M$2:$N$50,2,0),"求和")="最新值",IFERROR(LOOKUP(9.99E+307,G627:R627),""),SUM(G627:R627))))</f>
        <v/>
      </c>
      <c r="T627" s="33" t="n"/>
    </row>
    <row r="628">
      <c r="A628" s="26">
        <f>IF($B628="","",ROW()-3)</f>
        <v/>
      </c>
      <c r="B628" s="27" t="n"/>
      <c r="C628" s="27" t="n"/>
      <c r="D628" s="28" t="n"/>
      <c r="E628" s="29" t="n"/>
      <c r="F628" s="30" t="n"/>
      <c r="G628" s="31" t="n"/>
      <c r="H628" s="31" t="n"/>
      <c r="I628" s="31" t="n"/>
      <c r="J628" s="31" t="n"/>
      <c r="K628" s="31" t="n"/>
      <c r="L628" s="31" t="n"/>
      <c r="M628" s="31" t="n"/>
      <c r="N628" s="31" t="n"/>
      <c r="O628" s="31" t="n"/>
      <c r="P628" s="31" t="n"/>
      <c r="Q628" s="31" t="n"/>
      <c r="R628" s="31" t="n"/>
      <c r="S628" s="32">
        <f>IF($F628="","",IF(IFERROR(VLOOKUP($F628,'维度字典'!$M$2:$N$50,2,0),"求和")="手工录入","",IF(IFERROR(VLOOKUP($F628,'维度字典'!$M$2:$N$50,2,0),"求和")="最新值",IFERROR(LOOKUP(9.99E+307,G628:R628),""),SUM(G628:R628))))</f>
        <v/>
      </c>
      <c r="T628" s="33" t="n"/>
    </row>
    <row r="629">
      <c r="A629" s="26">
        <f>IF($B629="","",ROW()-3)</f>
        <v/>
      </c>
      <c r="B629" s="27" t="n"/>
      <c r="C629" s="27" t="n"/>
      <c r="D629" s="28" t="n"/>
      <c r="E629" s="29" t="n"/>
      <c r="F629" s="30" t="n"/>
      <c r="G629" s="31" t="n"/>
      <c r="H629" s="31" t="n"/>
      <c r="I629" s="31" t="n"/>
      <c r="J629" s="31" t="n"/>
      <c r="K629" s="31" t="n"/>
      <c r="L629" s="31" t="n"/>
      <c r="M629" s="31" t="n"/>
      <c r="N629" s="31" t="n"/>
      <c r="O629" s="31" t="n"/>
      <c r="P629" s="31" t="n"/>
      <c r="Q629" s="31" t="n"/>
      <c r="R629" s="31" t="n"/>
      <c r="S629" s="32">
        <f>IF($F629="","",IF(IFERROR(VLOOKUP($F629,'维度字典'!$M$2:$N$50,2,0),"求和")="手工录入","",IF(IFERROR(VLOOKUP($F629,'维度字典'!$M$2:$N$50,2,0),"求和")="最新值",IFERROR(LOOKUP(9.99E+307,G629:R629),""),SUM(G629:R629))))</f>
        <v/>
      </c>
      <c r="T629" s="33" t="n"/>
    </row>
    <row r="630">
      <c r="A630" s="26">
        <f>IF($B630="","",ROW()-3)</f>
        <v/>
      </c>
      <c r="B630" s="27" t="n"/>
      <c r="C630" s="27" t="n"/>
      <c r="D630" s="28" t="n"/>
      <c r="E630" s="29" t="n"/>
      <c r="F630" s="30" t="n"/>
      <c r="G630" s="31" t="n"/>
      <c r="H630" s="31" t="n"/>
      <c r="I630" s="31" t="n"/>
      <c r="J630" s="31" t="n"/>
      <c r="K630" s="31" t="n"/>
      <c r="L630" s="31" t="n"/>
      <c r="M630" s="31" t="n"/>
      <c r="N630" s="31" t="n"/>
      <c r="O630" s="31" t="n"/>
      <c r="P630" s="31" t="n"/>
      <c r="Q630" s="31" t="n"/>
      <c r="R630" s="31" t="n"/>
      <c r="S630" s="32">
        <f>IF($F630="","",IF(IFERROR(VLOOKUP($F630,'维度字典'!$M$2:$N$50,2,0),"求和")="手工录入","",IF(IFERROR(VLOOKUP($F630,'维度字典'!$M$2:$N$50,2,0),"求和")="最新值",IFERROR(LOOKUP(9.99E+307,G630:R630),""),SUM(G630:R630))))</f>
        <v/>
      </c>
      <c r="T630" s="33" t="n"/>
    </row>
    <row r="631">
      <c r="A631" s="26">
        <f>IF($B631="","",ROW()-3)</f>
        <v/>
      </c>
      <c r="B631" s="27" t="n"/>
      <c r="C631" s="27" t="n"/>
      <c r="D631" s="28" t="n"/>
      <c r="E631" s="29" t="n"/>
      <c r="F631" s="30" t="n"/>
      <c r="G631" s="31" t="n"/>
      <c r="H631" s="31" t="n"/>
      <c r="I631" s="31" t="n"/>
      <c r="J631" s="31" t="n"/>
      <c r="K631" s="31" t="n"/>
      <c r="L631" s="31" t="n"/>
      <c r="M631" s="31" t="n"/>
      <c r="N631" s="31" t="n"/>
      <c r="O631" s="31" t="n"/>
      <c r="P631" s="31" t="n"/>
      <c r="Q631" s="31" t="n"/>
      <c r="R631" s="31" t="n"/>
      <c r="S631" s="32">
        <f>IF($F631="","",IF(IFERROR(VLOOKUP($F631,'维度字典'!$M$2:$N$50,2,0),"求和")="手工录入","",IF(IFERROR(VLOOKUP($F631,'维度字典'!$M$2:$N$50,2,0),"求和")="最新值",IFERROR(LOOKUP(9.99E+307,G631:R631),""),SUM(G631:R631))))</f>
        <v/>
      </c>
      <c r="T631" s="33" t="n"/>
    </row>
    <row r="632">
      <c r="A632" s="26">
        <f>IF($B632="","",ROW()-3)</f>
        <v/>
      </c>
      <c r="B632" s="27" t="n"/>
      <c r="C632" s="27" t="n"/>
      <c r="D632" s="28" t="n"/>
      <c r="E632" s="29" t="n"/>
      <c r="F632" s="30" t="n"/>
      <c r="G632" s="31" t="n"/>
      <c r="H632" s="31" t="n"/>
      <c r="I632" s="31" t="n"/>
      <c r="J632" s="31" t="n"/>
      <c r="K632" s="31" t="n"/>
      <c r="L632" s="31" t="n"/>
      <c r="M632" s="31" t="n"/>
      <c r="N632" s="31" t="n"/>
      <c r="O632" s="31" t="n"/>
      <c r="P632" s="31" t="n"/>
      <c r="Q632" s="31" t="n"/>
      <c r="R632" s="31" t="n"/>
      <c r="S632" s="32">
        <f>IF($F632="","",IF(IFERROR(VLOOKUP($F632,'维度字典'!$M$2:$N$50,2,0),"求和")="手工录入","",IF(IFERROR(VLOOKUP($F632,'维度字典'!$M$2:$N$50,2,0),"求和")="最新值",IFERROR(LOOKUP(9.99E+307,G632:R632),""),SUM(G632:R632))))</f>
        <v/>
      </c>
      <c r="T632" s="33" t="n"/>
    </row>
    <row r="633">
      <c r="A633" s="26">
        <f>IF($B633="","",ROW()-3)</f>
        <v/>
      </c>
      <c r="B633" s="27" t="n"/>
      <c r="C633" s="27" t="n"/>
      <c r="D633" s="28" t="n"/>
      <c r="E633" s="29" t="n"/>
      <c r="F633" s="30" t="n"/>
      <c r="G633" s="31" t="n"/>
      <c r="H633" s="31" t="n"/>
      <c r="I633" s="31" t="n"/>
      <c r="J633" s="31" t="n"/>
      <c r="K633" s="31" t="n"/>
      <c r="L633" s="31" t="n"/>
      <c r="M633" s="31" t="n"/>
      <c r="N633" s="31" t="n"/>
      <c r="O633" s="31" t="n"/>
      <c r="P633" s="31" t="n"/>
      <c r="Q633" s="31" t="n"/>
      <c r="R633" s="31" t="n"/>
      <c r="S633" s="32">
        <f>IF($F633="","",IF(IFERROR(VLOOKUP($F633,'维度字典'!$M$2:$N$50,2,0),"求和")="手工录入","",IF(IFERROR(VLOOKUP($F633,'维度字典'!$M$2:$N$50,2,0),"求和")="最新值",IFERROR(LOOKUP(9.99E+307,G633:R633),""),SUM(G633:R633))))</f>
        <v/>
      </c>
      <c r="T633" s="33" t="n"/>
    </row>
    <row r="634">
      <c r="A634" s="26">
        <f>IF($B634="","",ROW()-3)</f>
        <v/>
      </c>
      <c r="B634" s="27" t="n"/>
      <c r="C634" s="27" t="n"/>
      <c r="D634" s="28" t="n"/>
      <c r="E634" s="29" t="n"/>
      <c r="F634" s="30" t="n"/>
      <c r="G634" s="31" t="n"/>
      <c r="H634" s="31" t="n"/>
      <c r="I634" s="31" t="n"/>
      <c r="J634" s="31" t="n"/>
      <c r="K634" s="31" t="n"/>
      <c r="L634" s="31" t="n"/>
      <c r="M634" s="31" t="n"/>
      <c r="N634" s="31" t="n"/>
      <c r="O634" s="31" t="n"/>
      <c r="P634" s="31" t="n"/>
      <c r="Q634" s="31" t="n"/>
      <c r="R634" s="31" t="n"/>
      <c r="S634" s="32">
        <f>IF($F634="","",IF(IFERROR(VLOOKUP($F634,'维度字典'!$M$2:$N$50,2,0),"求和")="手工录入","",IF(IFERROR(VLOOKUP($F634,'维度字典'!$M$2:$N$50,2,0),"求和")="最新值",IFERROR(LOOKUP(9.99E+307,G634:R634),""),SUM(G634:R634))))</f>
        <v/>
      </c>
      <c r="T634" s="33" t="n"/>
    </row>
    <row r="635">
      <c r="A635" s="26">
        <f>IF($B635="","",ROW()-3)</f>
        <v/>
      </c>
      <c r="B635" s="27" t="n"/>
      <c r="C635" s="27" t="n"/>
      <c r="D635" s="28" t="n"/>
      <c r="E635" s="29" t="n"/>
      <c r="F635" s="30" t="n"/>
      <c r="G635" s="31" t="n"/>
      <c r="H635" s="31" t="n"/>
      <c r="I635" s="31" t="n"/>
      <c r="J635" s="31" t="n"/>
      <c r="K635" s="31" t="n"/>
      <c r="L635" s="31" t="n"/>
      <c r="M635" s="31" t="n"/>
      <c r="N635" s="31" t="n"/>
      <c r="O635" s="31" t="n"/>
      <c r="P635" s="31" t="n"/>
      <c r="Q635" s="31" t="n"/>
      <c r="R635" s="31" t="n"/>
      <c r="S635" s="32">
        <f>IF($F635="","",IF(IFERROR(VLOOKUP($F635,'维度字典'!$M$2:$N$50,2,0),"求和")="手工录入","",IF(IFERROR(VLOOKUP($F635,'维度字典'!$M$2:$N$50,2,0),"求和")="最新值",IFERROR(LOOKUP(9.99E+307,G635:R635),""),SUM(G635:R635))))</f>
        <v/>
      </c>
      <c r="T635" s="33" t="n"/>
    </row>
    <row r="636">
      <c r="A636" s="26">
        <f>IF($B636="","",ROW()-3)</f>
        <v/>
      </c>
      <c r="B636" s="27" t="n"/>
      <c r="C636" s="27" t="n"/>
      <c r="D636" s="28" t="n"/>
      <c r="E636" s="29" t="n"/>
      <c r="F636" s="30" t="n"/>
      <c r="G636" s="31" t="n"/>
      <c r="H636" s="31" t="n"/>
      <c r="I636" s="31" t="n"/>
      <c r="J636" s="31" t="n"/>
      <c r="K636" s="31" t="n"/>
      <c r="L636" s="31" t="n"/>
      <c r="M636" s="31" t="n"/>
      <c r="N636" s="31" t="n"/>
      <c r="O636" s="31" t="n"/>
      <c r="P636" s="31" t="n"/>
      <c r="Q636" s="31" t="n"/>
      <c r="R636" s="31" t="n"/>
      <c r="S636" s="32">
        <f>IF($F636="","",IF(IFERROR(VLOOKUP($F636,'维度字典'!$M$2:$N$50,2,0),"求和")="手工录入","",IF(IFERROR(VLOOKUP($F636,'维度字典'!$M$2:$N$50,2,0),"求和")="最新值",IFERROR(LOOKUP(9.99E+307,G636:R636),""),SUM(G636:R636))))</f>
        <v/>
      </c>
      <c r="T636" s="33" t="n"/>
    </row>
    <row r="637">
      <c r="A637" s="26">
        <f>IF($B637="","",ROW()-3)</f>
        <v/>
      </c>
      <c r="B637" s="27" t="n"/>
      <c r="C637" s="27" t="n"/>
      <c r="D637" s="28" t="n"/>
      <c r="E637" s="29" t="n"/>
      <c r="F637" s="30" t="n"/>
      <c r="G637" s="31" t="n"/>
      <c r="H637" s="31" t="n"/>
      <c r="I637" s="31" t="n"/>
      <c r="J637" s="31" t="n"/>
      <c r="K637" s="31" t="n"/>
      <c r="L637" s="31" t="n"/>
      <c r="M637" s="31" t="n"/>
      <c r="N637" s="31" t="n"/>
      <c r="O637" s="31" t="n"/>
      <c r="P637" s="31" t="n"/>
      <c r="Q637" s="31" t="n"/>
      <c r="R637" s="31" t="n"/>
      <c r="S637" s="32">
        <f>IF($F637="","",IF(IFERROR(VLOOKUP($F637,'维度字典'!$M$2:$N$50,2,0),"求和")="手工录入","",IF(IFERROR(VLOOKUP($F637,'维度字典'!$M$2:$N$50,2,0),"求和")="最新值",IFERROR(LOOKUP(9.99E+307,G637:R637),""),SUM(G637:R637))))</f>
        <v/>
      </c>
      <c r="T637" s="33" t="n"/>
    </row>
    <row r="638">
      <c r="A638" s="26">
        <f>IF($B638="","",ROW()-3)</f>
        <v/>
      </c>
      <c r="B638" s="27" t="n"/>
      <c r="C638" s="27" t="n"/>
      <c r="D638" s="28" t="n"/>
      <c r="E638" s="29" t="n"/>
      <c r="F638" s="30" t="n"/>
      <c r="G638" s="31" t="n"/>
      <c r="H638" s="31" t="n"/>
      <c r="I638" s="31" t="n"/>
      <c r="J638" s="31" t="n"/>
      <c r="K638" s="31" t="n"/>
      <c r="L638" s="31" t="n"/>
      <c r="M638" s="31" t="n"/>
      <c r="N638" s="31" t="n"/>
      <c r="O638" s="31" t="n"/>
      <c r="P638" s="31" t="n"/>
      <c r="Q638" s="31" t="n"/>
      <c r="R638" s="31" t="n"/>
      <c r="S638" s="32">
        <f>IF($F638="","",IF(IFERROR(VLOOKUP($F638,'维度字典'!$M$2:$N$50,2,0),"求和")="手工录入","",IF(IFERROR(VLOOKUP($F638,'维度字典'!$M$2:$N$50,2,0),"求和")="最新值",IFERROR(LOOKUP(9.99E+307,G638:R638),""),SUM(G638:R638))))</f>
        <v/>
      </c>
      <c r="T638" s="33" t="n"/>
    </row>
    <row r="639">
      <c r="A639" s="26">
        <f>IF($B639="","",ROW()-3)</f>
        <v/>
      </c>
      <c r="B639" s="27" t="n"/>
      <c r="C639" s="27" t="n"/>
      <c r="D639" s="28" t="n"/>
      <c r="E639" s="29" t="n"/>
      <c r="F639" s="30" t="n"/>
      <c r="G639" s="31" t="n"/>
      <c r="H639" s="31" t="n"/>
      <c r="I639" s="31" t="n"/>
      <c r="J639" s="31" t="n"/>
      <c r="K639" s="31" t="n"/>
      <c r="L639" s="31" t="n"/>
      <c r="M639" s="31" t="n"/>
      <c r="N639" s="31" t="n"/>
      <c r="O639" s="31" t="n"/>
      <c r="P639" s="31" t="n"/>
      <c r="Q639" s="31" t="n"/>
      <c r="R639" s="31" t="n"/>
      <c r="S639" s="32">
        <f>IF($F639="","",IF(IFERROR(VLOOKUP($F639,'维度字典'!$M$2:$N$50,2,0),"求和")="手工录入","",IF(IFERROR(VLOOKUP($F639,'维度字典'!$M$2:$N$50,2,0),"求和")="最新值",IFERROR(LOOKUP(9.99E+307,G639:R639),""),SUM(G639:R639))))</f>
        <v/>
      </c>
      <c r="T639" s="33" t="n"/>
    </row>
    <row r="640">
      <c r="A640" s="26">
        <f>IF($B640="","",ROW()-3)</f>
        <v/>
      </c>
      <c r="B640" s="27" t="n"/>
      <c r="C640" s="27" t="n"/>
      <c r="D640" s="28" t="n"/>
      <c r="E640" s="29" t="n"/>
      <c r="F640" s="30" t="n"/>
      <c r="G640" s="31" t="n"/>
      <c r="H640" s="31" t="n"/>
      <c r="I640" s="31" t="n"/>
      <c r="J640" s="31" t="n"/>
      <c r="K640" s="31" t="n"/>
      <c r="L640" s="31" t="n"/>
      <c r="M640" s="31" t="n"/>
      <c r="N640" s="31" t="n"/>
      <c r="O640" s="31" t="n"/>
      <c r="P640" s="31" t="n"/>
      <c r="Q640" s="31" t="n"/>
      <c r="R640" s="31" t="n"/>
      <c r="S640" s="32">
        <f>IF($F640="","",IF(IFERROR(VLOOKUP($F640,'维度字典'!$M$2:$N$50,2,0),"求和")="手工录入","",IF(IFERROR(VLOOKUP($F640,'维度字典'!$M$2:$N$50,2,0),"求和")="最新值",IFERROR(LOOKUP(9.99E+307,G640:R640),""),SUM(G640:R640))))</f>
        <v/>
      </c>
      <c r="T640" s="33" t="n"/>
    </row>
    <row r="641">
      <c r="A641" s="26">
        <f>IF($B641="","",ROW()-3)</f>
        <v/>
      </c>
      <c r="B641" s="27" t="n"/>
      <c r="C641" s="27" t="n"/>
      <c r="D641" s="28" t="n"/>
      <c r="E641" s="29" t="n"/>
      <c r="F641" s="30" t="n"/>
      <c r="G641" s="31" t="n"/>
      <c r="H641" s="31" t="n"/>
      <c r="I641" s="31" t="n"/>
      <c r="J641" s="31" t="n"/>
      <c r="K641" s="31" t="n"/>
      <c r="L641" s="31" t="n"/>
      <c r="M641" s="31" t="n"/>
      <c r="N641" s="31" t="n"/>
      <c r="O641" s="31" t="n"/>
      <c r="P641" s="31" t="n"/>
      <c r="Q641" s="31" t="n"/>
      <c r="R641" s="31" t="n"/>
      <c r="S641" s="32">
        <f>IF($F641="","",IF(IFERROR(VLOOKUP($F641,'维度字典'!$M$2:$N$50,2,0),"求和")="手工录入","",IF(IFERROR(VLOOKUP($F641,'维度字典'!$M$2:$N$50,2,0),"求和")="最新值",IFERROR(LOOKUP(9.99E+307,G641:R641),""),SUM(G641:R641))))</f>
        <v/>
      </c>
      <c r="T641" s="33" t="n"/>
    </row>
    <row r="642">
      <c r="A642" s="26">
        <f>IF($B642="","",ROW()-3)</f>
        <v/>
      </c>
      <c r="B642" s="27" t="n"/>
      <c r="C642" s="27" t="n"/>
      <c r="D642" s="28" t="n"/>
      <c r="E642" s="29" t="n"/>
      <c r="F642" s="30" t="n"/>
      <c r="G642" s="31" t="n"/>
      <c r="H642" s="31" t="n"/>
      <c r="I642" s="31" t="n"/>
      <c r="J642" s="31" t="n"/>
      <c r="K642" s="31" t="n"/>
      <c r="L642" s="31" t="n"/>
      <c r="M642" s="31" t="n"/>
      <c r="N642" s="31" t="n"/>
      <c r="O642" s="31" t="n"/>
      <c r="P642" s="31" t="n"/>
      <c r="Q642" s="31" t="n"/>
      <c r="R642" s="31" t="n"/>
      <c r="S642" s="32">
        <f>IF($F642="","",IF(IFERROR(VLOOKUP($F642,'维度字典'!$M$2:$N$50,2,0),"求和")="手工录入","",IF(IFERROR(VLOOKUP($F642,'维度字典'!$M$2:$N$50,2,0),"求和")="最新值",IFERROR(LOOKUP(9.99E+307,G642:R642),""),SUM(G642:R642))))</f>
        <v/>
      </c>
      <c r="T642" s="33" t="n"/>
    </row>
    <row r="643">
      <c r="A643" s="26">
        <f>IF($B643="","",ROW()-3)</f>
        <v/>
      </c>
      <c r="B643" s="27" t="n"/>
      <c r="C643" s="27" t="n"/>
      <c r="D643" s="28" t="n"/>
      <c r="E643" s="29" t="n"/>
      <c r="F643" s="30" t="n"/>
      <c r="G643" s="31" t="n"/>
      <c r="H643" s="31" t="n"/>
      <c r="I643" s="31" t="n"/>
      <c r="J643" s="31" t="n"/>
      <c r="K643" s="31" t="n"/>
      <c r="L643" s="31" t="n"/>
      <c r="M643" s="31" t="n"/>
      <c r="N643" s="31" t="n"/>
      <c r="O643" s="31" t="n"/>
      <c r="P643" s="31" t="n"/>
      <c r="Q643" s="31" t="n"/>
      <c r="R643" s="31" t="n"/>
      <c r="S643" s="32">
        <f>IF($F643="","",IF(IFERROR(VLOOKUP($F643,'维度字典'!$M$2:$N$50,2,0),"求和")="手工录入","",IF(IFERROR(VLOOKUP($F643,'维度字典'!$M$2:$N$50,2,0),"求和")="最新值",IFERROR(LOOKUP(9.99E+307,G643:R643),""),SUM(G643:R643))))</f>
        <v/>
      </c>
      <c r="T643" s="33" t="n"/>
    </row>
    <row r="644">
      <c r="A644" s="26">
        <f>IF($B644="","",ROW()-3)</f>
        <v/>
      </c>
      <c r="B644" s="27" t="n"/>
      <c r="C644" s="27" t="n"/>
      <c r="D644" s="28" t="n"/>
      <c r="E644" s="29" t="n"/>
      <c r="F644" s="30" t="n"/>
      <c r="G644" s="31" t="n"/>
      <c r="H644" s="31" t="n"/>
      <c r="I644" s="31" t="n"/>
      <c r="J644" s="31" t="n"/>
      <c r="K644" s="31" t="n"/>
      <c r="L644" s="31" t="n"/>
      <c r="M644" s="31" t="n"/>
      <c r="N644" s="31" t="n"/>
      <c r="O644" s="31" t="n"/>
      <c r="P644" s="31" t="n"/>
      <c r="Q644" s="31" t="n"/>
      <c r="R644" s="31" t="n"/>
      <c r="S644" s="32">
        <f>IF($F644="","",IF(IFERROR(VLOOKUP($F644,'维度字典'!$M$2:$N$50,2,0),"求和")="手工录入","",IF(IFERROR(VLOOKUP($F644,'维度字典'!$M$2:$N$50,2,0),"求和")="最新值",IFERROR(LOOKUP(9.99E+307,G644:R644),""),SUM(G644:R644))))</f>
        <v/>
      </c>
      <c r="T644" s="33" t="n"/>
    </row>
    <row r="645">
      <c r="A645" s="26">
        <f>IF($B645="","",ROW()-3)</f>
        <v/>
      </c>
      <c r="B645" s="27" t="n"/>
      <c r="C645" s="27" t="n"/>
      <c r="D645" s="28" t="n"/>
      <c r="E645" s="29" t="n"/>
      <c r="F645" s="30" t="n"/>
      <c r="G645" s="31" t="n"/>
      <c r="H645" s="31" t="n"/>
      <c r="I645" s="31" t="n"/>
      <c r="J645" s="31" t="n"/>
      <c r="K645" s="31" t="n"/>
      <c r="L645" s="31" t="n"/>
      <c r="M645" s="31" t="n"/>
      <c r="N645" s="31" t="n"/>
      <c r="O645" s="31" t="n"/>
      <c r="P645" s="31" t="n"/>
      <c r="Q645" s="31" t="n"/>
      <c r="R645" s="31" t="n"/>
      <c r="S645" s="32">
        <f>IF($F645="","",IF(IFERROR(VLOOKUP($F645,'维度字典'!$M$2:$N$50,2,0),"求和")="手工录入","",IF(IFERROR(VLOOKUP($F645,'维度字典'!$M$2:$N$50,2,0),"求和")="最新值",IFERROR(LOOKUP(9.99E+307,G645:R645),""),SUM(G645:R645))))</f>
        <v/>
      </c>
      <c r="T645" s="33" t="n"/>
    </row>
    <row r="646">
      <c r="A646" s="26">
        <f>IF($B646="","",ROW()-3)</f>
        <v/>
      </c>
      <c r="B646" s="27" t="n"/>
      <c r="C646" s="27" t="n"/>
      <c r="D646" s="28" t="n"/>
      <c r="E646" s="29" t="n"/>
      <c r="F646" s="30" t="n"/>
      <c r="G646" s="31" t="n"/>
      <c r="H646" s="31" t="n"/>
      <c r="I646" s="31" t="n"/>
      <c r="J646" s="31" t="n"/>
      <c r="K646" s="31" t="n"/>
      <c r="L646" s="31" t="n"/>
      <c r="M646" s="31" t="n"/>
      <c r="N646" s="31" t="n"/>
      <c r="O646" s="31" t="n"/>
      <c r="P646" s="31" t="n"/>
      <c r="Q646" s="31" t="n"/>
      <c r="R646" s="31" t="n"/>
      <c r="S646" s="32">
        <f>IF($F646="","",IF(IFERROR(VLOOKUP($F646,'维度字典'!$M$2:$N$50,2,0),"求和")="手工录入","",IF(IFERROR(VLOOKUP($F646,'维度字典'!$M$2:$N$50,2,0),"求和")="最新值",IFERROR(LOOKUP(9.99E+307,G646:R646),""),SUM(G646:R646))))</f>
        <v/>
      </c>
      <c r="T646" s="33" t="n"/>
    </row>
    <row r="647">
      <c r="A647" s="26">
        <f>IF($B647="","",ROW()-3)</f>
        <v/>
      </c>
      <c r="B647" s="27" t="n"/>
      <c r="C647" s="27" t="n"/>
      <c r="D647" s="28" t="n"/>
      <c r="E647" s="29" t="n"/>
      <c r="F647" s="30" t="n"/>
      <c r="G647" s="31" t="n"/>
      <c r="H647" s="31" t="n"/>
      <c r="I647" s="31" t="n"/>
      <c r="J647" s="31" t="n"/>
      <c r="K647" s="31" t="n"/>
      <c r="L647" s="31" t="n"/>
      <c r="M647" s="31" t="n"/>
      <c r="N647" s="31" t="n"/>
      <c r="O647" s="31" t="n"/>
      <c r="P647" s="31" t="n"/>
      <c r="Q647" s="31" t="n"/>
      <c r="R647" s="31" t="n"/>
      <c r="S647" s="32">
        <f>IF($F647="","",IF(IFERROR(VLOOKUP($F647,'维度字典'!$M$2:$N$50,2,0),"求和")="手工录入","",IF(IFERROR(VLOOKUP($F647,'维度字典'!$M$2:$N$50,2,0),"求和")="最新值",IFERROR(LOOKUP(9.99E+307,G647:R647),""),SUM(G647:R647))))</f>
        <v/>
      </c>
      <c r="T647" s="33" t="n"/>
    </row>
    <row r="648">
      <c r="A648" s="26">
        <f>IF($B648="","",ROW()-3)</f>
        <v/>
      </c>
      <c r="B648" s="27" t="n"/>
      <c r="C648" s="27" t="n"/>
      <c r="D648" s="28" t="n"/>
      <c r="E648" s="29" t="n"/>
      <c r="F648" s="30" t="n"/>
      <c r="G648" s="31" t="n"/>
      <c r="H648" s="31" t="n"/>
      <c r="I648" s="31" t="n"/>
      <c r="J648" s="31" t="n"/>
      <c r="K648" s="31" t="n"/>
      <c r="L648" s="31" t="n"/>
      <c r="M648" s="31" t="n"/>
      <c r="N648" s="31" t="n"/>
      <c r="O648" s="31" t="n"/>
      <c r="P648" s="31" t="n"/>
      <c r="Q648" s="31" t="n"/>
      <c r="R648" s="31" t="n"/>
      <c r="S648" s="32">
        <f>IF($F648="","",IF(IFERROR(VLOOKUP($F648,'维度字典'!$M$2:$N$50,2,0),"求和")="手工录入","",IF(IFERROR(VLOOKUP($F648,'维度字典'!$M$2:$N$50,2,0),"求和")="最新值",IFERROR(LOOKUP(9.99E+307,G648:R648),""),SUM(G648:R648))))</f>
        <v/>
      </c>
      <c r="T648" s="33" t="n"/>
    </row>
    <row r="649">
      <c r="A649" s="26">
        <f>IF($B649="","",ROW()-3)</f>
        <v/>
      </c>
      <c r="B649" s="27" t="n"/>
      <c r="C649" s="27" t="n"/>
      <c r="D649" s="28" t="n"/>
      <c r="E649" s="29" t="n"/>
      <c r="F649" s="30" t="n"/>
      <c r="G649" s="31" t="n"/>
      <c r="H649" s="31" t="n"/>
      <c r="I649" s="31" t="n"/>
      <c r="J649" s="31" t="n"/>
      <c r="K649" s="31" t="n"/>
      <c r="L649" s="31" t="n"/>
      <c r="M649" s="31" t="n"/>
      <c r="N649" s="31" t="n"/>
      <c r="O649" s="31" t="n"/>
      <c r="P649" s="31" t="n"/>
      <c r="Q649" s="31" t="n"/>
      <c r="R649" s="31" t="n"/>
      <c r="S649" s="32">
        <f>IF($F649="","",IF(IFERROR(VLOOKUP($F649,'维度字典'!$M$2:$N$50,2,0),"求和")="手工录入","",IF(IFERROR(VLOOKUP($F649,'维度字典'!$M$2:$N$50,2,0),"求和")="最新值",IFERROR(LOOKUP(9.99E+307,G649:R649),""),SUM(G649:R649))))</f>
        <v/>
      </c>
      <c r="T649" s="33" t="n"/>
    </row>
    <row r="650">
      <c r="A650" s="26">
        <f>IF($B650="","",ROW()-3)</f>
        <v/>
      </c>
      <c r="B650" s="27" t="n"/>
      <c r="C650" s="27" t="n"/>
      <c r="D650" s="28" t="n"/>
      <c r="E650" s="29" t="n"/>
      <c r="F650" s="30" t="n"/>
      <c r="G650" s="31" t="n"/>
      <c r="H650" s="31" t="n"/>
      <c r="I650" s="31" t="n"/>
      <c r="J650" s="31" t="n"/>
      <c r="K650" s="31" t="n"/>
      <c r="L650" s="31" t="n"/>
      <c r="M650" s="31" t="n"/>
      <c r="N650" s="31" t="n"/>
      <c r="O650" s="31" t="n"/>
      <c r="P650" s="31" t="n"/>
      <c r="Q650" s="31" t="n"/>
      <c r="R650" s="31" t="n"/>
      <c r="S650" s="32">
        <f>IF($F650="","",IF(IFERROR(VLOOKUP($F650,'维度字典'!$M$2:$N$50,2,0),"求和")="手工录入","",IF(IFERROR(VLOOKUP($F650,'维度字典'!$M$2:$N$50,2,0),"求和")="最新值",IFERROR(LOOKUP(9.99E+307,G650:R650),""),SUM(G650:R650))))</f>
        <v/>
      </c>
      <c r="T650" s="33" t="n"/>
    </row>
    <row r="651">
      <c r="A651" s="26">
        <f>IF($B651="","",ROW()-3)</f>
        <v/>
      </c>
      <c r="B651" s="27" t="n"/>
      <c r="C651" s="27" t="n"/>
      <c r="D651" s="28" t="n"/>
      <c r="E651" s="29" t="n"/>
      <c r="F651" s="30" t="n"/>
      <c r="G651" s="31" t="n"/>
      <c r="H651" s="31" t="n"/>
      <c r="I651" s="31" t="n"/>
      <c r="J651" s="31" t="n"/>
      <c r="K651" s="31" t="n"/>
      <c r="L651" s="31" t="n"/>
      <c r="M651" s="31" t="n"/>
      <c r="N651" s="31" t="n"/>
      <c r="O651" s="31" t="n"/>
      <c r="P651" s="31" t="n"/>
      <c r="Q651" s="31" t="n"/>
      <c r="R651" s="31" t="n"/>
      <c r="S651" s="32">
        <f>IF($F651="","",IF(IFERROR(VLOOKUP($F651,'维度字典'!$M$2:$N$50,2,0),"求和")="手工录入","",IF(IFERROR(VLOOKUP($F651,'维度字典'!$M$2:$N$50,2,0),"求和")="最新值",IFERROR(LOOKUP(9.99E+307,G651:R651),""),SUM(G651:R651))))</f>
        <v/>
      </c>
      <c r="T651" s="33" t="n"/>
    </row>
    <row r="652">
      <c r="A652" s="26">
        <f>IF($B652="","",ROW()-3)</f>
        <v/>
      </c>
      <c r="B652" s="27" t="n"/>
      <c r="C652" s="27" t="n"/>
      <c r="D652" s="28" t="n"/>
      <c r="E652" s="29" t="n"/>
      <c r="F652" s="30" t="n"/>
      <c r="G652" s="31" t="n"/>
      <c r="H652" s="31" t="n"/>
      <c r="I652" s="31" t="n"/>
      <c r="J652" s="31" t="n"/>
      <c r="K652" s="31" t="n"/>
      <c r="L652" s="31" t="n"/>
      <c r="M652" s="31" t="n"/>
      <c r="N652" s="31" t="n"/>
      <c r="O652" s="31" t="n"/>
      <c r="P652" s="31" t="n"/>
      <c r="Q652" s="31" t="n"/>
      <c r="R652" s="31" t="n"/>
      <c r="S652" s="32">
        <f>IF($F652="","",IF(IFERROR(VLOOKUP($F652,'维度字典'!$M$2:$N$50,2,0),"求和")="手工录入","",IF(IFERROR(VLOOKUP($F652,'维度字典'!$M$2:$N$50,2,0),"求和")="最新值",IFERROR(LOOKUP(9.99E+307,G652:R652),""),SUM(G652:R652))))</f>
        <v/>
      </c>
      <c r="T652" s="33" t="n"/>
    </row>
    <row r="653">
      <c r="A653" s="26">
        <f>IF($B653="","",ROW()-3)</f>
        <v/>
      </c>
      <c r="B653" s="27" t="n"/>
      <c r="C653" s="27" t="n"/>
      <c r="D653" s="28" t="n"/>
      <c r="E653" s="29" t="n"/>
      <c r="F653" s="30" t="n"/>
      <c r="G653" s="31" t="n"/>
      <c r="H653" s="31" t="n"/>
      <c r="I653" s="31" t="n"/>
      <c r="J653" s="31" t="n"/>
      <c r="K653" s="31" t="n"/>
      <c r="L653" s="31" t="n"/>
      <c r="M653" s="31" t="n"/>
      <c r="N653" s="31" t="n"/>
      <c r="O653" s="31" t="n"/>
      <c r="P653" s="31" t="n"/>
      <c r="Q653" s="31" t="n"/>
      <c r="R653" s="31" t="n"/>
      <c r="S653" s="32">
        <f>IF($F653="","",IF(IFERROR(VLOOKUP($F653,'维度字典'!$M$2:$N$50,2,0),"求和")="手工录入","",IF(IFERROR(VLOOKUP($F653,'维度字典'!$M$2:$N$50,2,0),"求和")="最新值",IFERROR(LOOKUP(9.99E+307,G653:R653),""),SUM(G653:R653))))</f>
        <v/>
      </c>
      <c r="T653" s="33" t="n"/>
    </row>
    <row r="654">
      <c r="A654" s="26">
        <f>IF($B654="","",ROW()-3)</f>
        <v/>
      </c>
      <c r="B654" s="27" t="n"/>
      <c r="C654" s="27" t="n"/>
      <c r="D654" s="28" t="n"/>
      <c r="E654" s="29" t="n"/>
      <c r="F654" s="30" t="n"/>
      <c r="G654" s="31" t="n"/>
      <c r="H654" s="31" t="n"/>
      <c r="I654" s="31" t="n"/>
      <c r="J654" s="31" t="n"/>
      <c r="K654" s="31" t="n"/>
      <c r="L654" s="31" t="n"/>
      <c r="M654" s="31" t="n"/>
      <c r="N654" s="31" t="n"/>
      <c r="O654" s="31" t="n"/>
      <c r="P654" s="31" t="n"/>
      <c r="Q654" s="31" t="n"/>
      <c r="R654" s="31" t="n"/>
      <c r="S654" s="32">
        <f>IF($F654="","",IF(IFERROR(VLOOKUP($F654,'维度字典'!$M$2:$N$50,2,0),"求和")="手工录入","",IF(IFERROR(VLOOKUP($F654,'维度字典'!$M$2:$N$50,2,0),"求和")="最新值",IFERROR(LOOKUP(9.99E+307,G654:R654),""),SUM(G654:R654))))</f>
        <v/>
      </c>
      <c r="T654" s="33" t="n"/>
    </row>
    <row r="655">
      <c r="A655" s="26">
        <f>IF($B655="","",ROW()-3)</f>
        <v/>
      </c>
      <c r="B655" s="27" t="n"/>
      <c r="C655" s="27" t="n"/>
      <c r="D655" s="28" t="n"/>
      <c r="E655" s="29" t="n"/>
      <c r="F655" s="30" t="n"/>
      <c r="G655" s="31" t="n"/>
      <c r="H655" s="31" t="n"/>
      <c r="I655" s="31" t="n"/>
      <c r="J655" s="31" t="n"/>
      <c r="K655" s="31" t="n"/>
      <c r="L655" s="31" t="n"/>
      <c r="M655" s="31" t="n"/>
      <c r="N655" s="31" t="n"/>
      <c r="O655" s="31" t="n"/>
      <c r="P655" s="31" t="n"/>
      <c r="Q655" s="31" t="n"/>
      <c r="R655" s="31" t="n"/>
      <c r="S655" s="32">
        <f>IF($F655="","",IF(IFERROR(VLOOKUP($F655,'维度字典'!$M$2:$N$50,2,0),"求和")="手工录入","",IF(IFERROR(VLOOKUP($F655,'维度字典'!$M$2:$N$50,2,0),"求和")="最新值",IFERROR(LOOKUP(9.99E+307,G655:R655),""),SUM(G655:R655))))</f>
        <v/>
      </c>
      <c r="T655" s="33" t="n"/>
    </row>
    <row r="656">
      <c r="A656" s="26">
        <f>IF($B656="","",ROW()-3)</f>
        <v/>
      </c>
      <c r="B656" s="27" t="n"/>
      <c r="C656" s="27" t="n"/>
      <c r="D656" s="28" t="n"/>
      <c r="E656" s="29" t="n"/>
      <c r="F656" s="30" t="n"/>
      <c r="G656" s="31" t="n"/>
      <c r="H656" s="31" t="n"/>
      <c r="I656" s="31" t="n"/>
      <c r="J656" s="31" t="n"/>
      <c r="K656" s="31" t="n"/>
      <c r="L656" s="31" t="n"/>
      <c r="M656" s="31" t="n"/>
      <c r="N656" s="31" t="n"/>
      <c r="O656" s="31" t="n"/>
      <c r="P656" s="31" t="n"/>
      <c r="Q656" s="31" t="n"/>
      <c r="R656" s="31" t="n"/>
      <c r="S656" s="32">
        <f>IF($F656="","",IF(IFERROR(VLOOKUP($F656,'维度字典'!$M$2:$N$50,2,0),"求和")="手工录入","",IF(IFERROR(VLOOKUP($F656,'维度字典'!$M$2:$N$50,2,0),"求和")="最新值",IFERROR(LOOKUP(9.99E+307,G656:R656),""),SUM(G656:R656))))</f>
        <v/>
      </c>
      <c r="T656" s="33" t="n"/>
    </row>
    <row r="657">
      <c r="A657" s="26">
        <f>IF($B657="","",ROW()-3)</f>
        <v/>
      </c>
      <c r="B657" s="27" t="n"/>
      <c r="C657" s="27" t="n"/>
      <c r="D657" s="28" t="n"/>
      <c r="E657" s="29" t="n"/>
      <c r="F657" s="30" t="n"/>
      <c r="G657" s="31" t="n"/>
      <c r="H657" s="31" t="n"/>
      <c r="I657" s="31" t="n"/>
      <c r="J657" s="31" t="n"/>
      <c r="K657" s="31" t="n"/>
      <c r="L657" s="31" t="n"/>
      <c r="M657" s="31" t="n"/>
      <c r="N657" s="31" t="n"/>
      <c r="O657" s="31" t="n"/>
      <c r="P657" s="31" t="n"/>
      <c r="Q657" s="31" t="n"/>
      <c r="R657" s="31" t="n"/>
      <c r="S657" s="32">
        <f>IF($F657="","",IF(IFERROR(VLOOKUP($F657,'维度字典'!$M$2:$N$50,2,0),"求和")="手工录入","",IF(IFERROR(VLOOKUP($F657,'维度字典'!$M$2:$N$50,2,0),"求和")="最新值",IFERROR(LOOKUP(9.99E+307,G657:R657),""),SUM(G657:R657))))</f>
        <v/>
      </c>
      <c r="T657" s="33" t="n"/>
    </row>
    <row r="658">
      <c r="A658" s="26">
        <f>IF($B658="","",ROW()-3)</f>
        <v/>
      </c>
      <c r="B658" s="27" t="n"/>
      <c r="C658" s="27" t="n"/>
      <c r="D658" s="28" t="n"/>
      <c r="E658" s="29" t="n"/>
      <c r="F658" s="30" t="n"/>
      <c r="G658" s="31" t="n"/>
      <c r="H658" s="31" t="n"/>
      <c r="I658" s="31" t="n"/>
      <c r="J658" s="31" t="n"/>
      <c r="K658" s="31" t="n"/>
      <c r="L658" s="31" t="n"/>
      <c r="M658" s="31" t="n"/>
      <c r="N658" s="31" t="n"/>
      <c r="O658" s="31" t="n"/>
      <c r="P658" s="31" t="n"/>
      <c r="Q658" s="31" t="n"/>
      <c r="R658" s="31" t="n"/>
      <c r="S658" s="32">
        <f>IF($F658="","",IF(IFERROR(VLOOKUP($F658,'维度字典'!$M$2:$N$50,2,0),"求和")="手工录入","",IF(IFERROR(VLOOKUP($F658,'维度字典'!$M$2:$N$50,2,0),"求和")="最新值",IFERROR(LOOKUP(9.99E+307,G658:R658),""),SUM(G658:R658))))</f>
        <v/>
      </c>
      <c r="T658" s="33" t="n"/>
    </row>
    <row r="659">
      <c r="A659" s="26">
        <f>IF($B659="","",ROW()-3)</f>
        <v/>
      </c>
      <c r="B659" s="27" t="n"/>
      <c r="C659" s="27" t="n"/>
      <c r="D659" s="28" t="n"/>
      <c r="E659" s="29" t="n"/>
      <c r="F659" s="30" t="n"/>
      <c r="G659" s="31" t="n"/>
      <c r="H659" s="31" t="n"/>
      <c r="I659" s="31" t="n"/>
      <c r="J659" s="31" t="n"/>
      <c r="K659" s="31" t="n"/>
      <c r="L659" s="31" t="n"/>
      <c r="M659" s="31" t="n"/>
      <c r="N659" s="31" t="n"/>
      <c r="O659" s="31" t="n"/>
      <c r="P659" s="31" t="n"/>
      <c r="Q659" s="31" t="n"/>
      <c r="R659" s="31" t="n"/>
      <c r="S659" s="32">
        <f>IF($F659="","",IF(IFERROR(VLOOKUP($F659,'维度字典'!$M$2:$N$50,2,0),"求和")="手工录入","",IF(IFERROR(VLOOKUP($F659,'维度字典'!$M$2:$N$50,2,0),"求和")="最新值",IFERROR(LOOKUP(9.99E+307,G659:R659),""),SUM(G659:R659))))</f>
        <v/>
      </c>
      <c r="T659" s="33" t="n"/>
    </row>
    <row r="660">
      <c r="A660" s="26">
        <f>IF($B660="","",ROW()-3)</f>
        <v/>
      </c>
      <c r="B660" s="27" t="n"/>
      <c r="C660" s="27" t="n"/>
      <c r="D660" s="28" t="n"/>
      <c r="E660" s="29" t="n"/>
      <c r="F660" s="30" t="n"/>
      <c r="G660" s="31" t="n"/>
      <c r="H660" s="31" t="n"/>
      <c r="I660" s="31" t="n"/>
      <c r="J660" s="31" t="n"/>
      <c r="K660" s="31" t="n"/>
      <c r="L660" s="31" t="n"/>
      <c r="M660" s="31" t="n"/>
      <c r="N660" s="31" t="n"/>
      <c r="O660" s="31" t="n"/>
      <c r="P660" s="31" t="n"/>
      <c r="Q660" s="31" t="n"/>
      <c r="R660" s="31" t="n"/>
      <c r="S660" s="32">
        <f>IF($F660="","",IF(IFERROR(VLOOKUP($F660,'维度字典'!$M$2:$N$50,2,0),"求和")="手工录入","",IF(IFERROR(VLOOKUP($F660,'维度字典'!$M$2:$N$50,2,0),"求和")="最新值",IFERROR(LOOKUP(9.99E+307,G660:R660),""),SUM(G660:R660))))</f>
        <v/>
      </c>
      <c r="T660" s="33" t="n"/>
    </row>
    <row r="661">
      <c r="A661" s="26">
        <f>IF($B661="","",ROW()-3)</f>
        <v/>
      </c>
      <c r="B661" s="27" t="n"/>
      <c r="C661" s="27" t="n"/>
      <c r="D661" s="28" t="n"/>
      <c r="E661" s="29" t="n"/>
      <c r="F661" s="30" t="n"/>
      <c r="G661" s="31" t="n"/>
      <c r="H661" s="31" t="n"/>
      <c r="I661" s="31" t="n"/>
      <c r="J661" s="31" t="n"/>
      <c r="K661" s="31" t="n"/>
      <c r="L661" s="31" t="n"/>
      <c r="M661" s="31" t="n"/>
      <c r="N661" s="31" t="n"/>
      <c r="O661" s="31" t="n"/>
      <c r="P661" s="31" t="n"/>
      <c r="Q661" s="31" t="n"/>
      <c r="R661" s="31" t="n"/>
      <c r="S661" s="32">
        <f>IF($F661="","",IF(IFERROR(VLOOKUP($F661,'维度字典'!$M$2:$N$50,2,0),"求和")="手工录入","",IF(IFERROR(VLOOKUP($F661,'维度字典'!$M$2:$N$50,2,0),"求和")="最新值",IFERROR(LOOKUP(9.99E+307,G661:R661),""),SUM(G661:R661))))</f>
        <v/>
      </c>
      <c r="T661" s="33" t="n"/>
    </row>
    <row r="662">
      <c r="A662" s="26">
        <f>IF($B662="","",ROW()-3)</f>
        <v/>
      </c>
      <c r="B662" s="27" t="n"/>
      <c r="C662" s="27" t="n"/>
      <c r="D662" s="28" t="n"/>
      <c r="E662" s="29" t="n"/>
      <c r="F662" s="30" t="n"/>
      <c r="G662" s="31" t="n"/>
      <c r="H662" s="31" t="n"/>
      <c r="I662" s="31" t="n"/>
      <c r="J662" s="31" t="n"/>
      <c r="K662" s="31" t="n"/>
      <c r="L662" s="31" t="n"/>
      <c r="M662" s="31" t="n"/>
      <c r="N662" s="31" t="n"/>
      <c r="O662" s="31" t="n"/>
      <c r="P662" s="31" t="n"/>
      <c r="Q662" s="31" t="n"/>
      <c r="R662" s="31" t="n"/>
      <c r="S662" s="32">
        <f>IF($F662="","",IF(IFERROR(VLOOKUP($F662,'维度字典'!$M$2:$N$50,2,0),"求和")="手工录入","",IF(IFERROR(VLOOKUP($F662,'维度字典'!$M$2:$N$50,2,0),"求和")="最新值",IFERROR(LOOKUP(9.99E+307,G662:R662),""),SUM(G662:R662))))</f>
        <v/>
      </c>
      <c r="T662" s="33" t="n"/>
    </row>
    <row r="663">
      <c r="A663" s="26">
        <f>IF($B663="","",ROW()-3)</f>
        <v/>
      </c>
      <c r="B663" s="27" t="n"/>
      <c r="C663" s="27" t="n"/>
      <c r="D663" s="28" t="n"/>
      <c r="E663" s="29" t="n"/>
      <c r="F663" s="30" t="n"/>
      <c r="G663" s="31" t="n"/>
      <c r="H663" s="31" t="n"/>
      <c r="I663" s="31" t="n"/>
      <c r="J663" s="31" t="n"/>
      <c r="K663" s="31" t="n"/>
      <c r="L663" s="31" t="n"/>
      <c r="M663" s="31" t="n"/>
      <c r="N663" s="31" t="n"/>
      <c r="O663" s="31" t="n"/>
      <c r="P663" s="31" t="n"/>
      <c r="Q663" s="31" t="n"/>
      <c r="R663" s="31" t="n"/>
      <c r="S663" s="32">
        <f>IF($F663="","",IF(IFERROR(VLOOKUP($F663,'维度字典'!$M$2:$N$50,2,0),"求和")="手工录入","",IF(IFERROR(VLOOKUP($F663,'维度字典'!$M$2:$N$50,2,0),"求和")="最新值",IFERROR(LOOKUP(9.99E+307,G663:R663),""),SUM(G663:R663))))</f>
        <v/>
      </c>
      <c r="T663" s="33" t="n"/>
    </row>
    <row r="664">
      <c r="A664" s="26">
        <f>IF($B664="","",ROW()-3)</f>
        <v/>
      </c>
      <c r="B664" s="27" t="n"/>
      <c r="C664" s="27" t="n"/>
      <c r="D664" s="28" t="n"/>
      <c r="E664" s="29" t="n"/>
      <c r="F664" s="30" t="n"/>
      <c r="G664" s="31" t="n"/>
      <c r="H664" s="31" t="n"/>
      <c r="I664" s="31" t="n"/>
      <c r="J664" s="31" t="n"/>
      <c r="K664" s="31" t="n"/>
      <c r="L664" s="31" t="n"/>
      <c r="M664" s="31" t="n"/>
      <c r="N664" s="31" t="n"/>
      <c r="O664" s="31" t="n"/>
      <c r="P664" s="31" t="n"/>
      <c r="Q664" s="31" t="n"/>
      <c r="R664" s="31" t="n"/>
      <c r="S664" s="32">
        <f>IF($F664="","",IF(IFERROR(VLOOKUP($F664,'维度字典'!$M$2:$N$50,2,0),"求和")="手工录入","",IF(IFERROR(VLOOKUP($F664,'维度字典'!$M$2:$N$50,2,0),"求和")="最新值",IFERROR(LOOKUP(9.99E+307,G664:R664),""),SUM(G664:R664))))</f>
        <v/>
      </c>
      <c r="T664" s="33" t="n"/>
    </row>
    <row r="665">
      <c r="A665" s="26">
        <f>IF($B665="","",ROW()-3)</f>
        <v/>
      </c>
      <c r="B665" s="27" t="n"/>
      <c r="C665" s="27" t="n"/>
      <c r="D665" s="28" t="n"/>
      <c r="E665" s="29" t="n"/>
      <c r="F665" s="30" t="n"/>
      <c r="G665" s="31" t="n"/>
      <c r="H665" s="31" t="n"/>
      <c r="I665" s="31" t="n"/>
      <c r="J665" s="31" t="n"/>
      <c r="K665" s="31" t="n"/>
      <c r="L665" s="31" t="n"/>
      <c r="M665" s="31" t="n"/>
      <c r="N665" s="31" t="n"/>
      <c r="O665" s="31" t="n"/>
      <c r="P665" s="31" t="n"/>
      <c r="Q665" s="31" t="n"/>
      <c r="R665" s="31" t="n"/>
      <c r="S665" s="32">
        <f>IF($F665="","",IF(IFERROR(VLOOKUP($F665,'维度字典'!$M$2:$N$50,2,0),"求和")="手工录入","",IF(IFERROR(VLOOKUP($F665,'维度字典'!$M$2:$N$50,2,0),"求和")="最新值",IFERROR(LOOKUP(9.99E+307,G665:R665),""),SUM(G665:R665))))</f>
        <v/>
      </c>
      <c r="T665" s="33" t="n"/>
    </row>
    <row r="666">
      <c r="A666" s="26">
        <f>IF($B666="","",ROW()-3)</f>
        <v/>
      </c>
      <c r="B666" s="27" t="n"/>
      <c r="C666" s="27" t="n"/>
      <c r="D666" s="28" t="n"/>
      <c r="E666" s="29" t="n"/>
      <c r="F666" s="30" t="n"/>
      <c r="G666" s="31" t="n"/>
      <c r="H666" s="31" t="n"/>
      <c r="I666" s="31" t="n"/>
      <c r="J666" s="31" t="n"/>
      <c r="K666" s="31" t="n"/>
      <c r="L666" s="31" t="n"/>
      <c r="M666" s="31" t="n"/>
      <c r="N666" s="31" t="n"/>
      <c r="O666" s="31" t="n"/>
      <c r="P666" s="31" t="n"/>
      <c r="Q666" s="31" t="n"/>
      <c r="R666" s="31" t="n"/>
      <c r="S666" s="32">
        <f>IF($F666="","",IF(IFERROR(VLOOKUP($F666,'维度字典'!$M$2:$N$50,2,0),"求和")="手工录入","",IF(IFERROR(VLOOKUP($F666,'维度字典'!$M$2:$N$50,2,0),"求和")="最新值",IFERROR(LOOKUP(9.99E+307,G666:R666),""),SUM(G666:R666))))</f>
        <v/>
      </c>
      <c r="T666" s="33" t="n"/>
    </row>
    <row r="667">
      <c r="A667" s="26">
        <f>IF($B667="","",ROW()-3)</f>
        <v/>
      </c>
      <c r="B667" s="27" t="n"/>
      <c r="C667" s="27" t="n"/>
      <c r="D667" s="28" t="n"/>
      <c r="E667" s="29" t="n"/>
      <c r="F667" s="30" t="n"/>
      <c r="G667" s="31" t="n"/>
      <c r="H667" s="31" t="n"/>
      <c r="I667" s="31" t="n"/>
      <c r="J667" s="31" t="n"/>
      <c r="K667" s="31" t="n"/>
      <c r="L667" s="31" t="n"/>
      <c r="M667" s="31" t="n"/>
      <c r="N667" s="31" t="n"/>
      <c r="O667" s="31" t="n"/>
      <c r="P667" s="31" t="n"/>
      <c r="Q667" s="31" t="n"/>
      <c r="R667" s="31" t="n"/>
      <c r="S667" s="32">
        <f>IF($F667="","",IF(IFERROR(VLOOKUP($F667,'维度字典'!$M$2:$N$50,2,0),"求和")="手工录入","",IF(IFERROR(VLOOKUP($F667,'维度字典'!$M$2:$N$50,2,0),"求和")="最新值",IFERROR(LOOKUP(9.99E+307,G667:R667),""),SUM(G667:R667))))</f>
        <v/>
      </c>
      <c r="T667" s="33" t="n"/>
    </row>
    <row r="668">
      <c r="A668" s="26">
        <f>IF($B668="","",ROW()-3)</f>
        <v/>
      </c>
      <c r="B668" s="27" t="n"/>
      <c r="C668" s="27" t="n"/>
      <c r="D668" s="28" t="n"/>
      <c r="E668" s="29" t="n"/>
      <c r="F668" s="30" t="n"/>
      <c r="G668" s="31" t="n"/>
      <c r="H668" s="31" t="n"/>
      <c r="I668" s="31" t="n"/>
      <c r="J668" s="31" t="n"/>
      <c r="K668" s="31" t="n"/>
      <c r="L668" s="31" t="n"/>
      <c r="M668" s="31" t="n"/>
      <c r="N668" s="31" t="n"/>
      <c r="O668" s="31" t="n"/>
      <c r="P668" s="31" t="n"/>
      <c r="Q668" s="31" t="n"/>
      <c r="R668" s="31" t="n"/>
      <c r="S668" s="32">
        <f>IF($F668="","",IF(IFERROR(VLOOKUP($F668,'维度字典'!$M$2:$N$50,2,0),"求和")="手工录入","",IF(IFERROR(VLOOKUP($F668,'维度字典'!$M$2:$N$50,2,0),"求和")="最新值",IFERROR(LOOKUP(9.99E+307,G668:R668),""),SUM(G668:R668))))</f>
        <v/>
      </c>
      <c r="T668" s="33" t="n"/>
    </row>
    <row r="669">
      <c r="A669" s="26">
        <f>IF($B669="","",ROW()-3)</f>
        <v/>
      </c>
      <c r="B669" s="27" t="n"/>
      <c r="C669" s="27" t="n"/>
      <c r="D669" s="28" t="n"/>
      <c r="E669" s="29" t="n"/>
      <c r="F669" s="30" t="n"/>
      <c r="G669" s="31" t="n"/>
      <c r="H669" s="31" t="n"/>
      <c r="I669" s="31" t="n"/>
      <c r="J669" s="31" t="n"/>
      <c r="K669" s="31" t="n"/>
      <c r="L669" s="31" t="n"/>
      <c r="M669" s="31" t="n"/>
      <c r="N669" s="31" t="n"/>
      <c r="O669" s="31" t="n"/>
      <c r="P669" s="31" t="n"/>
      <c r="Q669" s="31" t="n"/>
      <c r="R669" s="31" t="n"/>
      <c r="S669" s="32">
        <f>IF($F669="","",IF(IFERROR(VLOOKUP($F669,'维度字典'!$M$2:$N$50,2,0),"求和")="手工录入","",IF(IFERROR(VLOOKUP($F669,'维度字典'!$M$2:$N$50,2,0),"求和")="最新值",IFERROR(LOOKUP(9.99E+307,G669:R669),""),SUM(G669:R669))))</f>
        <v/>
      </c>
      <c r="T669" s="33" t="n"/>
    </row>
    <row r="670">
      <c r="A670" s="26">
        <f>IF($B670="","",ROW()-3)</f>
        <v/>
      </c>
      <c r="B670" s="27" t="n"/>
      <c r="C670" s="27" t="n"/>
      <c r="D670" s="28" t="n"/>
      <c r="E670" s="29" t="n"/>
      <c r="F670" s="30" t="n"/>
      <c r="G670" s="31" t="n"/>
      <c r="H670" s="31" t="n"/>
      <c r="I670" s="31" t="n"/>
      <c r="J670" s="31" t="n"/>
      <c r="K670" s="31" t="n"/>
      <c r="L670" s="31" t="n"/>
      <c r="M670" s="31" t="n"/>
      <c r="N670" s="31" t="n"/>
      <c r="O670" s="31" t="n"/>
      <c r="P670" s="31" t="n"/>
      <c r="Q670" s="31" t="n"/>
      <c r="R670" s="31" t="n"/>
      <c r="S670" s="32">
        <f>IF($F670="","",IF(IFERROR(VLOOKUP($F670,'维度字典'!$M$2:$N$50,2,0),"求和")="手工录入","",IF(IFERROR(VLOOKUP($F670,'维度字典'!$M$2:$N$50,2,0),"求和")="最新值",IFERROR(LOOKUP(9.99E+307,G670:R670),""),SUM(G670:R670))))</f>
        <v/>
      </c>
      <c r="T670" s="33" t="n"/>
    </row>
    <row r="671">
      <c r="A671" s="26">
        <f>IF($B671="","",ROW()-3)</f>
        <v/>
      </c>
      <c r="B671" s="27" t="n"/>
      <c r="C671" s="27" t="n"/>
      <c r="D671" s="28" t="n"/>
      <c r="E671" s="29" t="n"/>
      <c r="F671" s="30" t="n"/>
      <c r="G671" s="31" t="n"/>
      <c r="H671" s="31" t="n"/>
      <c r="I671" s="31" t="n"/>
      <c r="J671" s="31" t="n"/>
      <c r="K671" s="31" t="n"/>
      <c r="L671" s="31" t="n"/>
      <c r="M671" s="31" t="n"/>
      <c r="N671" s="31" t="n"/>
      <c r="O671" s="31" t="n"/>
      <c r="P671" s="31" t="n"/>
      <c r="Q671" s="31" t="n"/>
      <c r="R671" s="31" t="n"/>
      <c r="S671" s="32">
        <f>IF($F671="","",IF(IFERROR(VLOOKUP($F671,'维度字典'!$M$2:$N$50,2,0),"求和")="手工录入","",IF(IFERROR(VLOOKUP($F671,'维度字典'!$M$2:$N$50,2,0),"求和")="最新值",IFERROR(LOOKUP(9.99E+307,G671:R671),""),SUM(G671:R671))))</f>
        <v/>
      </c>
      <c r="T671" s="33" t="n"/>
    </row>
    <row r="672">
      <c r="A672" s="26">
        <f>IF($B672="","",ROW()-3)</f>
        <v/>
      </c>
      <c r="B672" s="27" t="n"/>
      <c r="C672" s="27" t="n"/>
      <c r="D672" s="28" t="n"/>
      <c r="E672" s="29" t="n"/>
      <c r="F672" s="30" t="n"/>
      <c r="G672" s="31" t="n"/>
      <c r="H672" s="31" t="n"/>
      <c r="I672" s="31" t="n"/>
      <c r="J672" s="31" t="n"/>
      <c r="K672" s="31" t="n"/>
      <c r="L672" s="31" t="n"/>
      <c r="M672" s="31" t="n"/>
      <c r="N672" s="31" t="n"/>
      <c r="O672" s="31" t="n"/>
      <c r="P672" s="31" t="n"/>
      <c r="Q672" s="31" t="n"/>
      <c r="R672" s="31" t="n"/>
      <c r="S672" s="32">
        <f>IF($F672="","",IF(IFERROR(VLOOKUP($F672,'维度字典'!$M$2:$N$50,2,0),"求和")="手工录入","",IF(IFERROR(VLOOKUP($F672,'维度字典'!$M$2:$N$50,2,0),"求和")="最新值",IFERROR(LOOKUP(9.99E+307,G672:R672),""),SUM(G672:R672))))</f>
        <v/>
      </c>
      <c r="T672" s="33" t="n"/>
    </row>
    <row r="673">
      <c r="A673" s="26">
        <f>IF($B673="","",ROW()-3)</f>
        <v/>
      </c>
      <c r="B673" s="27" t="n"/>
      <c r="C673" s="27" t="n"/>
      <c r="D673" s="28" t="n"/>
      <c r="E673" s="29" t="n"/>
      <c r="F673" s="30" t="n"/>
      <c r="G673" s="31" t="n"/>
      <c r="H673" s="31" t="n"/>
      <c r="I673" s="31" t="n"/>
      <c r="J673" s="31" t="n"/>
      <c r="K673" s="31" t="n"/>
      <c r="L673" s="31" t="n"/>
      <c r="M673" s="31" t="n"/>
      <c r="N673" s="31" t="n"/>
      <c r="O673" s="31" t="n"/>
      <c r="P673" s="31" t="n"/>
      <c r="Q673" s="31" t="n"/>
      <c r="R673" s="31" t="n"/>
      <c r="S673" s="32">
        <f>IF($F673="","",IF(IFERROR(VLOOKUP($F673,'维度字典'!$M$2:$N$50,2,0),"求和")="手工录入","",IF(IFERROR(VLOOKUP($F673,'维度字典'!$M$2:$N$50,2,0),"求和")="最新值",IFERROR(LOOKUP(9.99E+307,G673:R673),""),SUM(G673:R673))))</f>
        <v/>
      </c>
      <c r="T673" s="33" t="n"/>
    </row>
    <row r="674">
      <c r="A674" s="26">
        <f>IF($B674="","",ROW()-3)</f>
        <v/>
      </c>
      <c r="B674" s="27" t="n"/>
      <c r="C674" s="27" t="n"/>
      <c r="D674" s="28" t="n"/>
      <c r="E674" s="29" t="n"/>
      <c r="F674" s="30" t="n"/>
      <c r="G674" s="31" t="n"/>
      <c r="H674" s="31" t="n"/>
      <c r="I674" s="31" t="n"/>
      <c r="J674" s="31" t="n"/>
      <c r="K674" s="31" t="n"/>
      <c r="L674" s="31" t="n"/>
      <c r="M674" s="31" t="n"/>
      <c r="N674" s="31" t="n"/>
      <c r="O674" s="31" t="n"/>
      <c r="P674" s="31" t="n"/>
      <c r="Q674" s="31" t="n"/>
      <c r="R674" s="31" t="n"/>
      <c r="S674" s="32">
        <f>IF($F674="","",IF(IFERROR(VLOOKUP($F674,'维度字典'!$M$2:$N$50,2,0),"求和")="手工录入","",IF(IFERROR(VLOOKUP($F674,'维度字典'!$M$2:$N$50,2,0),"求和")="最新值",IFERROR(LOOKUP(9.99E+307,G674:R674),""),SUM(G674:R674))))</f>
        <v/>
      </c>
      <c r="T674" s="33" t="n"/>
    </row>
    <row r="675">
      <c r="A675" s="26">
        <f>IF($B675="","",ROW()-3)</f>
        <v/>
      </c>
      <c r="B675" s="27" t="n"/>
      <c r="C675" s="27" t="n"/>
      <c r="D675" s="28" t="n"/>
      <c r="E675" s="29" t="n"/>
      <c r="F675" s="30" t="n"/>
      <c r="G675" s="31" t="n"/>
      <c r="H675" s="31" t="n"/>
      <c r="I675" s="31" t="n"/>
      <c r="J675" s="31" t="n"/>
      <c r="K675" s="31" t="n"/>
      <c r="L675" s="31" t="n"/>
      <c r="M675" s="31" t="n"/>
      <c r="N675" s="31" t="n"/>
      <c r="O675" s="31" t="n"/>
      <c r="P675" s="31" t="n"/>
      <c r="Q675" s="31" t="n"/>
      <c r="R675" s="31" t="n"/>
      <c r="S675" s="32">
        <f>IF($F675="","",IF(IFERROR(VLOOKUP($F675,'维度字典'!$M$2:$N$50,2,0),"求和")="手工录入","",IF(IFERROR(VLOOKUP($F675,'维度字典'!$M$2:$N$50,2,0),"求和")="最新值",IFERROR(LOOKUP(9.99E+307,G675:R675),""),SUM(G675:R675))))</f>
        <v/>
      </c>
      <c r="T675" s="33" t="n"/>
    </row>
    <row r="676">
      <c r="A676" s="26">
        <f>IF($B676="","",ROW()-3)</f>
        <v/>
      </c>
      <c r="B676" s="27" t="n"/>
      <c r="C676" s="27" t="n"/>
      <c r="D676" s="28" t="n"/>
      <c r="E676" s="29" t="n"/>
      <c r="F676" s="30" t="n"/>
      <c r="G676" s="31" t="n"/>
      <c r="H676" s="31" t="n"/>
      <c r="I676" s="31" t="n"/>
      <c r="J676" s="31" t="n"/>
      <c r="K676" s="31" t="n"/>
      <c r="L676" s="31" t="n"/>
      <c r="M676" s="31" t="n"/>
      <c r="N676" s="31" t="n"/>
      <c r="O676" s="31" t="n"/>
      <c r="P676" s="31" t="n"/>
      <c r="Q676" s="31" t="n"/>
      <c r="R676" s="31" t="n"/>
      <c r="S676" s="32">
        <f>IF($F676="","",IF(IFERROR(VLOOKUP($F676,'维度字典'!$M$2:$N$50,2,0),"求和")="手工录入","",IF(IFERROR(VLOOKUP($F676,'维度字典'!$M$2:$N$50,2,0),"求和")="最新值",IFERROR(LOOKUP(9.99E+307,G676:R676),""),SUM(G676:R676))))</f>
        <v/>
      </c>
      <c r="T676" s="33" t="n"/>
    </row>
    <row r="677">
      <c r="A677" s="26">
        <f>IF($B677="","",ROW()-3)</f>
        <v/>
      </c>
      <c r="B677" s="27" t="n"/>
      <c r="C677" s="27" t="n"/>
      <c r="D677" s="28" t="n"/>
      <c r="E677" s="29" t="n"/>
      <c r="F677" s="30" t="n"/>
      <c r="G677" s="31" t="n"/>
      <c r="H677" s="31" t="n"/>
      <c r="I677" s="31" t="n"/>
      <c r="J677" s="31" t="n"/>
      <c r="K677" s="31" t="n"/>
      <c r="L677" s="31" t="n"/>
      <c r="M677" s="31" t="n"/>
      <c r="N677" s="31" t="n"/>
      <c r="O677" s="31" t="n"/>
      <c r="P677" s="31" t="n"/>
      <c r="Q677" s="31" t="n"/>
      <c r="R677" s="31" t="n"/>
      <c r="S677" s="32">
        <f>IF($F677="","",IF(IFERROR(VLOOKUP($F677,'维度字典'!$M$2:$N$50,2,0),"求和")="手工录入","",IF(IFERROR(VLOOKUP($F677,'维度字典'!$M$2:$N$50,2,0),"求和")="最新值",IFERROR(LOOKUP(9.99E+307,G677:R677),""),SUM(G677:R677))))</f>
        <v/>
      </c>
      <c r="T677" s="33" t="n"/>
    </row>
    <row r="678">
      <c r="A678" s="26">
        <f>IF($B678="","",ROW()-3)</f>
        <v/>
      </c>
      <c r="B678" s="27" t="n"/>
      <c r="C678" s="27" t="n"/>
      <c r="D678" s="28" t="n"/>
      <c r="E678" s="29" t="n"/>
      <c r="F678" s="30" t="n"/>
      <c r="G678" s="31" t="n"/>
      <c r="H678" s="31" t="n"/>
      <c r="I678" s="31" t="n"/>
      <c r="J678" s="31" t="n"/>
      <c r="K678" s="31" t="n"/>
      <c r="L678" s="31" t="n"/>
      <c r="M678" s="31" t="n"/>
      <c r="N678" s="31" t="n"/>
      <c r="O678" s="31" t="n"/>
      <c r="P678" s="31" t="n"/>
      <c r="Q678" s="31" t="n"/>
      <c r="R678" s="31" t="n"/>
      <c r="S678" s="32">
        <f>IF($F678="","",IF(IFERROR(VLOOKUP($F678,'维度字典'!$M$2:$N$50,2,0),"求和")="手工录入","",IF(IFERROR(VLOOKUP($F678,'维度字典'!$M$2:$N$50,2,0),"求和")="最新值",IFERROR(LOOKUP(9.99E+307,G678:R678),""),SUM(G678:R678))))</f>
        <v/>
      </c>
      <c r="T678" s="33" t="n"/>
    </row>
    <row r="679">
      <c r="A679" s="26">
        <f>IF($B679="","",ROW()-3)</f>
        <v/>
      </c>
      <c r="B679" s="27" t="n"/>
      <c r="C679" s="27" t="n"/>
      <c r="D679" s="28" t="n"/>
      <c r="E679" s="29" t="n"/>
      <c r="F679" s="30" t="n"/>
      <c r="G679" s="31" t="n"/>
      <c r="H679" s="31" t="n"/>
      <c r="I679" s="31" t="n"/>
      <c r="J679" s="31" t="n"/>
      <c r="K679" s="31" t="n"/>
      <c r="L679" s="31" t="n"/>
      <c r="M679" s="31" t="n"/>
      <c r="N679" s="31" t="n"/>
      <c r="O679" s="31" t="n"/>
      <c r="P679" s="31" t="n"/>
      <c r="Q679" s="31" t="n"/>
      <c r="R679" s="31" t="n"/>
      <c r="S679" s="32">
        <f>IF($F679="","",IF(IFERROR(VLOOKUP($F679,'维度字典'!$M$2:$N$50,2,0),"求和")="手工录入","",IF(IFERROR(VLOOKUP($F679,'维度字典'!$M$2:$N$50,2,0),"求和")="最新值",IFERROR(LOOKUP(9.99E+307,G679:R679),""),SUM(G679:R679))))</f>
        <v/>
      </c>
      <c r="T679" s="33" t="n"/>
    </row>
    <row r="680">
      <c r="A680" s="26">
        <f>IF($B680="","",ROW()-3)</f>
        <v/>
      </c>
      <c r="B680" s="27" t="n"/>
      <c r="C680" s="27" t="n"/>
      <c r="D680" s="28" t="n"/>
      <c r="E680" s="29" t="n"/>
      <c r="F680" s="30" t="n"/>
      <c r="G680" s="31" t="n"/>
      <c r="H680" s="31" t="n"/>
      <c r="I680" s="31" t="n"/>
      <c r="J680" s="31" t="n"/>
      <c r="K680" s="31" t="n"/>
      <c r="L680" s="31" t="n"/>
      <c r="M680" s="31" t="n"/>
      <c r="N680" s="31" t="n"/>
      <c r="O680" s="31" t="n"/>
      <c r="P680" s="31" t="n"/>
      <c r="Q680" s="31" t="n"/>
      <c r="R680" s="31" t="n"/>
      <c r="S680" s="32">
        <f>IF($F680="","",IF(IFERROR(VLOOKUP($F680,'维度字典'!$M$2:$N$50,2,0),"求和")="手工录入","",IF(IFERROR(VLOOKUP($F680,'维度字典'!$M$2:$N$50,2,0),"求和")="最新值",IFERROR(LOOKUP(9.99E+307,G680:R680),""),SUM(G680:R680))))</f>
        <v/>
      </c>
      <c r="T680" s="33" t="n"/>
    </row>
    <row r="681">
      <c r="A681" s="26">
        <f>IF($B681="","",ROW()-3)</f>
        <v/>
      </c>
      <c r="B681" s="27" t="n"/>
      <c r="C681" s="27" t="n"/>
      <c r="D681" s="28" t="n"/>
      <c r="E681" s="29" t="n"/>
      <c r="F681" s="30" t="n"/>
      <c r="G681" s="31" t="n"/>
      <c r="H681" s="31" t="n"/>
      <c r="I681" s="31" t="n"/>
      <c r="J681" s="31" t="n"/>
      <c r="K681" s="31" t="n"/>
      <c r="L681" s="31" t="n"/>
      <c r="M681" s="31" t="n"/>
      <c r="N681" s="31" t="n"/>
      <c r="O681" s="31" t="n"/>
      <c r="P681" s="31" t="n"/>
      <c r="Q681" s="31" t="n"/>
      <c r="R681" s="31" t="n"/>
      <c r="S681" s="32">
        <f>IF($F681="","",IF(IFERROR(VLOOKUP($F681,'维度字典'!$M$2:$N$50,2,0),"求和")="手工录入","",IF(IFERROR(VLOOKUP($F681,'维度字典'!$M$2:$N$50,2,0),"求和")="最新值",IFERROR(LOOKUP(9.99E+307,G681:R681),""),SUM(G681:R681))))</f>
        <v/>
      </c>
      <c r="T681" s="33" t="n"/>
    </row>
    <row r="682">
      <c r="A682" s="26">
        <f>IF($B682="","",ROW()-3)</f>
        <v/>
      </c>
      <c r="B682" s="27" t="n"/>
      <c r="C682" s="27" t="n"/>
      <c r="D682" s="28" t="n"/>
      <c r="E682" s="29" t="n"/>
      <c r="F682" s="30" t="n"/>
      <c r="G682" s="31" t="n"/>
      <c r="H682" s="31" t="n"/>
      <c r="I682" s="31" t="n"/>
      <c r="J682" s="31" t="n"/>
      <c r="K682" s="31" t="n"/>
      <c r="L682" s="31" t="n"/>
      <c r="M682" s="31" t="n"/>
      <c r="N682" s="31" t="n"/>
      <c r="O682" s="31" t="n"/>
      <c r="P682" s="31" t="n"/>
      <c r="Q682" s="31" t="n"/>
      <c r="R682" s="31" t="n"/>
      <c r="S682" s="32">
        <f>IF($F682="","",IF(IFERROR(VLOOKUP($F682,'维度字典'!$M$2:$N$50,2,0),"求和")="手工录入","",IF(IFERROR(VLOOKUP($F682,'维度字典'!$M$2:$N$50,2,0),"求和")="最新值",IFERROR(LOOKUP(9.99E+307,G682:R682),""),SUM(G682:R682))))</f>
        <v/>
      </c>
      <c r="T682" s="33" t="n"/>
    </row>
    <row r="683">
      <c r="A683" s="26">
        <f>IF($B683="","",ROW()-3)</f>
        <v/>
      </c>
      <c r="B683" s="27" t="n"/>
      <c r="C683" s="27" t="n"/>
      <c r="D683" s="28" t="n"/>
      <c r="E683" s="29" t="n"/>
      <c r="F683" s="30" t="n"/>
      <c r="G683" s="31" t="n"/>
      <c r="H683" s="31" t="n"/>
      <c r="I683" s="31" t="n"/>
      <c r="J683" s="31" t="n"/>
      <c r="K683" s="31" t="n"/>
      <c r="L683" s="31" t="n"/>
      <c r="M683" s="31" t="n"/>
      <c r="N683" s="31" t="n"/>
      <c r="O683" s="31" t="n"/>
      <c r="P683" s="31" t="n"/>
      <c r="Q683" s="31" t="n"/>
      <c r="R683" s="31" t="n"/>
      <c r="S683" s="32">
        <f>IF($F683="","",IF(IFERROR(VLOOKUP($F683,'维度字典'!$M$2:$N$50,2,0),"求和")="手工录入","",IF(IFERROR(VLOOKUP($F683,'维度字典'!$M$2:$N$50,2,0),"求和")="最新值",IFERROR(LOOKUP(9.99E+307,G683:R683),""),SUM(G683:R683))))</f>
        <v/>
      </c>
      <c r="T683" s="33" t="n"/>
    </row>
    <row r="684">
      <c r="A684" s="26">
        <f>IF($B684="","",ROW()-3)</f>
        <v/>
      </c>
      <c r="B684" s="27" t="n"/>
      <c r="C684" s="27" t="n"/>
      <c r="D684" s="28" t="n"/>
      <c r="E684" s="29" t="n"/>
      <c r="F684" s="30" t="n"/>
      <c r="G684" s="31" t="n"/>
      <c r="H684" s="31" t="n"/>
      <c r="I684" s="31" t="n"/>
      <c r="J684" s="31" t="n"/>
      <c r="K684" s="31" t="n"/>
      <c r="L684" s="31" t="n"/>
      <c r="M684" s="31" t="n"/>
      <c r="N684" s="31" t="n"/>
      <c r="O684" s="31" t="n"/>
      <c r="P684" s="31" t="n"/>
      <c r="Q684" s="31" t="n"/>
      <c r="R684" s="31" t="n"/>
      <c r="S684" s="32">
        <f>IF($F684="","",IF(IFERROR(VLOOKUP($F684,'维度字典'!$M$2:$N$50,2,0),"求和")="手工录入","",IF(IFERROR(VLOOKUP($F684,'维度字典'!$M$2:$N$50,2,0),"求和")="最新值",IFERROR(LOOKUP(9.99E+307,G684:R684),""),SUM(G684:R684))))</f>
        <v/>
      </c>
      <c r="T684" s="33" t="n"/>
    </row>
    <row r="685">
      <c r="A685" s="26">
        <f>IF($B685="","",ROW()-3)</f>
        <v/>
      </c>
      <c r="B685" s="27" t="n"/>
      <c r="C685" s="27" t="n"/>
      <c r="D685" s="28" t="n"/>
      <c r="E685" s="29" t="n"/>
      <c r="F685" s="30" t="n"/>
      <c r="G685" s="31" t="n"/>
      <c r="H685" s="31" t="n"/>
      <c r="I685" s="31" t="n"/>
      <c r="J685" s="31" t="n"/>
      <c r="K685" s="31" t="n"/>
      <c r="L685" s="31" t="n"/>
      <c r="M685" s="31" t="n"/>
      <c r="N685" s="31" t="n"/>
      <c r="O685" s="31" t="n"/>
      <c r="P685" s="31" t="n"/>
      <c r="Q685" s="31" t="n"/>
      <c r="R685" s="31" t="n"/>
      <c r="S685" s="32">
        <f>IF($F685="","",IF(IFERROR(VLOOKUP($F685,'维度字典'!$M$2:$N$50,2,0),"求和")="手工录入","",IF(IFERROR(VLOOKUP($F685,'维度字典'!$M$2:$N$50,2,0),"求和")="最新值",IFERROR(LOOKUP(9.99E+307,G685:R685),""),SUM(G685:R685))))</f>
        <v/>
      </c>
      <c r="T685" s="33" t="n"/>
    </row>
    <row r="686">
      <c r="A686" s="26">
        <f>IF($B686="","",ROW()-3)</f>
        <v/>
      </c>
      <c r="B686" s="27" t="n"/>
      <c r="C686" s="27" t="n"/>
      <c r="D686" s="28" t="n"/>
      <c r="E686" s="29" t="n"/>
      <c r="F686" s="30" t="n"/>
      <c r="G686" s="31" t="n"/>
      <c r="H686" s="31" t="n"/>
      <c r="I686" s="31" t="n"/>
      <c r="J686" s="31" t="n"/>
      <c r="K686" s="31" t="n"/>
      <c r="L686" s="31" t="n"/>
      <c r="M686" s="31" t="n"/>
      <c r="N686" s="31" t="n"/>
      <c r="O686" s="31" t="n"/>
      <c r="P686" s="31" t="n"/>
      <c r="Q686" s="31" t="n"/>
      <c r="R686" s="31" t="n"/>
      <c r="S686" s="32">
        <f>IF($F686="","",IF(IFERROR(VLOOKUP($F686,'维度字典'!$M$2:$N$50,2,0),"求和")="手工录入","",IF(IFERROR(VLOOKUP($F686,'维度字典'!$M$2:$N$50,2,0),"求和")="最新值",IFERROR(LOOKUP(9.99E+307,G686:R686),""),SUM(G686:R686))))</f>
        <v/>
      </c>
      <c r="T686" s="33" t="n"/>
    </row>
    <row r="687">
      <c r="A687" s="26">
        <f>IF($B687="","",ROW()-3)</f>
        <v/>
      </c>
      <c r="B687" s="27" t="n"/>
      <c r="C687" s="27" t="n"/>
      <c r="D687" s="28" t="n"/>
      <c r="E687" s="29" t="n"/>
      <c r="F687" s="30" t="n"/>
      <c r="G687" s="31" t="n"/>
      <c r="H687" s="31" t="n"/>
      <c r="I687" s="31" t="n"/>
      <c r="J687" s="31" t="n"/>
      <c r="K687" s="31" t="n"/>
      <c r="L687" s="31" t="n"/>
      <c r="M687" s="31" t="n"/>
      <c r="N687" s="31" t="n"/>
      <c r="O687" s="31" t="n"/>
      <c r="P687" s="31" t="n"/>
      <c r="Q687" s="31" t="n"/>
      <c r="R687" s="31" t="n"/>
      <c r="S687" s="32">
        <f>IF($F687="","",IF(IFERROR(VLOOKUP($F687,'维度字典'!$M$2:$N$50,2,0),"求和")="手工录入","",IF(IFERROR(VLOOKUP($F687,'维度字典'!$M$2:$N$50,2,0),"求和")="最新值",IFERROR(LOOKUP(9.99E+307,G687:R687),""),SUM(G687:R687))))</f>
        <v/>
      </c>
      <c r="T687" s="33" t="n"/>
    </row>
    <row r="688">
      <c r="A688" s="26">
        <f>IF($B688="","",ROW()-3)</f>
        <v/>
      </c>
      <c r="B688" s="27" t="n"/>
      <c r="C688" s="27" t="n"/>
      <c r="D688" s="28" t="n"/>
      <c r="E688" s="29" t="n"/>
      <c r="F688" s="30" t="n"/>
      <c r="G688" s="31" t="n"/>
      <c r="H688" s="31" t="n"/>
      <c r="I688" s="31" t="n"/>
      <c r="J688" s="31" t="n"/>
      <c r="K688" s="31" t="n"/>
      <c r="L688" s="31" t="n"/>
      <c r="M688" s="31" t="n"/>
      <c r="N688" s="31" t="n"/>
      <c r="O688" s="31" t="n"/>
      <c r="P688" s="31" t="n"/>
      <c r="Q688" s="31" t="n"/>
      <c r="R688" s="31" t="n"/>
      <c r="S688" s="32">
        <f>IF($F688="","",IF(IFERROR(VLOOKUP($F688,'维度字典'!$M$2:$N$50,2,0),"求和")="手工录入","",IF(IFERROR(VLOOKUP($F688,'维度字典'!$M$2:$N$50,2,0),"求和")="最新值",IFERROR(LOOKUP(9.99E+307,G688:R688),""),SUM(G688:R688))))</f>
        <v/>
      </c>
      <c r="T688" s="33" t="n"/>
    </row>
    <row r="689">
      <c r="A689" s="26">
        <f>IF($B689="","",ROW()-3)</f>
        <v/>
      </c>
      <c r="B689" s="27" t="n"/>
      <c r="C689" s="27" t="n"/>
      <c r="D689" s="28" t="n"/>
      <c r="E689" s="29" t="n"/>
      <c r="F689" s="30" t="n"/>
      <c r="G689" s="31" t="n"/>
      <c r="H689" s="31" t="n"/>
      <c r="I689" s="31" t="n"/>
      <c r="J689" s="31" t="n"/>
      <c r="K689" s="31" t="n"/>
      <c r="L689" s="31" t="n"/>
      <c r="M689" s="31" t="n"/>
      <c r="N689" s="31" t="n"/>
      <c r="O689" s="31" t="n"/>
      <c r="P689" s="31" t="n"/>
      <c r="Q689" s="31" t="n"/>
      <c r="R689" s="31" t="n"/>
      <c r="S689" s="32">
        <f>IF($F689="","",IF(IFERROR(VLOOKUP($F689,'维度字典'!$M$2:$N$50,2,0),"求和")="手工录入","",IF(IFERROR(VLOOKUP($F689,'维度字典'!$M$2:$N$50,2,0),"求和")="最新值",IFERROR(LOOKUP(9.99E+307,G689:R689),""),SUM(G689:R689))))</f>
        <v/>
      </c>
      <c r="T689" s="33" t="n"/>
    </row>
    <row r="690">
      <c r="A690" s="26">
        <f>IF($B690="","",ROW()-3)</f>
        <v/>
      </c>
      <c r="B690" s="27" t="n"/>
      <c r="C690" s="27" t="n"/>
      <c r="D690" s="28" t="n"/>
      <c r="E690" s="29" t="n"/>
      <c r="F690" s="30" t="n"/>
      <c r="G690" s="31" t="n"/>
      <c r="H690" s="31" t="n"/>
      <c r="I690" s="31" t="n"/>
      <c r="J690" s="31" t="n"/>
      <c r="K690" s="31" t="n"/>
      <c r="L690" s="31" t="n"/>
      <c r="M690" s="31" t="n"/>
      <c r="N690" s="31" t="n"/>
      <c r="O690" s="31" t="n"/>
      <c r="P690" s="31" t="n"/>
      <c r="Q690" s="31" t="n"/>
      <c r="R690" s="31" t="n"/>
      <c r="S690" s="32">
        <f>IF($F690="","",IF(IFERROR(VLOOKUP($F690,'维度字典'!$M$2:$N$50,2,0),"求和")="手工录入","",IF(IFERROR(VLOOKUP($F690,'维度字典'!$M$2:$N$50,2,0),"求和")="最新值",IFERROR(LOOKUP(9.99E+307,G690:R690),""),SUM(G690:R690))))</f>
        <v/>
      </c>
      <c r="T690" s="33" t="n"/>
    </row>
    <row r="691">
      <c r="A691" s="26">
        <f>IF($B691="","",ROW()-3)</f>
        <v/>
      </c>
      <c r="B691" s="27" t="n"/>
      <c r="C691" s="27" t="n"/>
      <c r="D691" s="28" t="n"/>
      <c r="E691" s="29" t="n"/>
      <c r="F691" s="30" t="n"/>
      <c r="G691" s="31" t="n"/>
      <c r="H691" s="31" t="n"/>
      <c r="I691" s="31" t="n"/>
      <c r="J691" s="31" t="n"/>
      <c r="K691" s="31" t="n"/>
      <c r="L691" s="31" t="n"/>
      <c r="M691" s="31" t="n"/>
      <c r="N691" s="31" t="n"/>
      <c r="O691" s="31" t="n"/>
      <c r="P691" s="31" t="n"/>
      <c r="Q691" s="31" t="n"/>
      <c r="R691" s="31" t="n"/>
      <c r="S691" s="32">
        <f>IF($F691="","",IF(IFERROR(VLOOKUP($F691,'维度字典'!$M$2:$N$50,2,0),"求和")="手工录入","",IF(IFERROR(VLOOKUP($F691,'维度字典'!$M$2:$N$50,2,0),"求和")="最新值",IFERROR(LOOKUP(9.99E+307,G691:R691),""),SUM(G691:R691))))</f>
        <v/>
      </c>
      <c r="T691" s="33" t="n"/>
    </row>
    <row r="692">
      <c r="A692" s="26">
        <f>IF($B692="","",ROW()-3)</f>
        <v/>
      </c>
      <c r="B692" s="27" t="n"/>
      <c r="C692" s="27" t="n"/>
      <c r="D692" s="28" t="n"/>
      <c r="E692" s="29" t="n"/>
      <c r="F692" s="30" t="n"/>
      <c r="G692" s="31" t="n"/>
      <c r="H692" s="31" t="n"/>
      <c r="I692" s="31" t="n"/>
      <c r="J692" s="31" t="n"/>
      <c r="K692" s="31" t="n"/>
      <c r="L692" s="31" t="n"/>
      <c r="M692" s="31" t="n"/>
      <c r="N692" s="31" t="n"/>
      <c r="O692" s="31" t="n"/>
      <c r="P692" s="31" t="n"/>
      <c r="Q692" s="31" t="n"/>
      <c r="R692" s="31" t="n"/>
      <c r="S692" s="32">
        <f>IF($F692="","",IF(IFERROR(VLOOKUP($F692,'维度字典'!$M$2:$N$50,2,0),"求和")="手工录入","",IF(IFERROR(VLOOKUP($F692,'维度字典'!$M$2:$N$50,2,0),"求和")="最新值",IFERROR(LOOKUP(9.99E+307,G692:R692),""),SUM(G692:R692))))</f>
        <v/>
      </c>
      <c r="T692" s="33" t="n"/>
    </row>
    <row r="693">
      <c r="A693" s="26">
        <f>IF($B693="","",ROW()-3)</f>
        <v/>
      </c>
      <c r="B693" s="27" t="n"/>
      <c r="C693" s="27" t="n"/>
      <c r="D693" s="28" t="n"/>
      <c r="E693" s="29" t="n"/>
      <c r="F693" s="30" t="n"/>
      <c r="G693" s="31" t="n"/>
      <c r="H693" s="31" t="n"/>
      <c r="I693" s="31" t="n"/>
      <c r="J693" s="31" t="n"/>
      <c r="K693" s="31" t="n"/>
      <c r="L693" s="31" t="n"/>
      <c r="M693" s="31" t="n"/>
      <c r="N693" s="31" t="n"/>
      <c r="O693" s="31" t="n"/>
      <c r="P693" s="31" t="n"/>
      <c r="Q693" s="31" t="n"/>
      <c r="R693" s="31" t="n"/>
      <c r="S693" s="32">
        <f>IF($F693="","",IF(IFERROR(VLOOKUP($F693,'维度字典'!$M$2:$N$50,2,0),"求和")="手工录入","",IF(IFERROR(VLOOKUP($F693,'维度字典'!$M$2:$N$50,2,0),"求和")="最新值",IFERROR(LOOKUP(9.99E+307,G693:R693),""),SUM(G693:R693))))</f>
        <v/>
      </c>
      <c r="T693" s="33" t="n"/>
    </row>
    <row r="694">
      <c r="A694" s="26">
        <f>IF($B694="","",ROW()-3)</f>
        <v/>
      </c>
      <c r="B694" s="27" t="n"/>
      <c r="C694" s="27" t="n"/>
      <c r="D694" s="28" t="n"/>
      <c r="E694" s="29" t="n"/>
      <c r="F694" s="30" t="n"/>
      <c r="G694" s="31" t="n"/>
      <c r="H694" s="31" t="n"/>
      <c r="I694" s="31" t="n"/>
      <c r="J694" s="31" t="n"/>
      <c r="K694" s="31" t="n"/>
      <c r="L694" s="31" t="n"/>
      <c r="M694" s="31" t="n"/>
      <c r="N694" s="31" t="n"/>
      <c r="O694" s="31" t="n"/>
      <c r="P694" s="31" t="n"/>
      <c r="Q694" s="31" t="n"/>
      <c r="R694" s="31" t="n"/>
      <c r="S694" s="32">
        <f>IF($F694="","",IF(IFERROR(VLOOKUP($F694,'维度字典'!$M$2:$N$50,2,0),"求和")="手工录入","",IF(IFERROR(VLOOKUP($F694,'维度字典'!$M$2:$N$50,2,0),"求和")="最新值",IFERROR(LOOKUP(9.99E+307,G694:R694),""),SUM(G694:R694))))</f>
        <v/>
      </c>
      <c r="T694" s="33" t="n"/>
    </row>
    <row r="695">
      <c r="A695" s="26">
        <f>IF($B695="","",ROW()-3)</f>
        <v/>
      </c>
      <c r="B695" s="27" t="n"/>
      <c r="C695" s="27" t="n"/>
      <c r="D695" s="28" t="n"/>
      <c r="E695" s="29" t="n"/>
      <c r="F695" s="30" t="n"/>
      <c r="G695" s="31" t="n"/>
      <c r="H695" s="31" t="n"/>
      <c r="I695" s="31" t="n"/>
      <c r="J695" s="31" t="n"/>
      <c r="K695" s="31" t="n"/>
      <c r="L695" s="31" t="n"/>
      <c r="M695" s="31" t="n"/>
      <c r="N695" s="31" t="n"/>
      <c r="O695" s="31" t="n"/>
      <c r="P695" s="31" t="n"/>
      <c r="Q695" s="31" t="n"/>
      <c r="R695" s="31" t="n"/>
      <c r="S695" s="32">
        <f>IF($F695="","",IF(IFERROR(VLOOKUP($F695,'维度字典'!$M$2:$N$50,2,0),"求和")="手工录入","",IF(IFERROR(VLOOKUP($F695,'维度字典'!$M$2:$N$50,2,0),"求和")="最新值",IFERROR(LOOKUP(9.99E+307,G695:R695),""),SUM(G695:R695))))</f>
        <v/>
      </c>
      <c r="T695" s="33" t="n"/>
    </row>
    <row r="696">
      <c r="A696" s="26">
        <f>IF($B696="","",ROW()-3)</f>
        <v/>
      </c>
      <c r="B696" s="27" t="n"/>
      <c r="C696" s="27" t="n"/>
      <c r="D696" s="28" t="n"/>
      <c r="E696" s="29" t="n"/>
      <c r="F696" s="30" t="n"/>
      <c r="G696" s="31" t="n"/>
      <c r="H696" s="31" t="n"/>
      <c r="I696" s="31" t="n"/>
      <c r="J696" s="31" t="n"/>
      <c r="K696" s="31" t="n"/>
      <c r="L696" s="31" t="n"/>
      <c r="M696" s="31" t="n"/>
      <c r="N696" s="31" t="n"/>
      <c r="O696" s="31" t="n"/>
      <c r="P696" s="31" t="n"/>
      <c r="Q696" s="31" t="n"/>
      <c r="R696" s="31" t="n"/>
      <c r="S696" s="32">
        <f>IF($F696="","",IF(IFERROR(VLOOKUP($F696,'维度字典'!$M$2:$N$50,2,0),"求和")="手工录入","",IF(IFERROR(VLOOKUP($F696,'维度字典'!$M$2:$N$50,2,0),"求和")="最新值",IFERROR(LOOKUP(9.99E+307,G696:R696),""),SUM(G696:R696))))</f>
        <v/>
      </c>
      <c r="T696" s="33" t="n"/>
    </row>
    <row r="697">
      <c r="A697" s="26">
        <f>IF($B697="","",ROW()-3)</f>
        <v/>
      </c>
      <c r="B697" s="27" t="n"/>
      <c r="C697" s="27" t="n"/>
      <c r="D697" s="28" t="n"/>
      <c r="E697" s="29" t="n"/>
      <c r="F697" s="30" t="n"/>
      <c r="G697" s="31" t="n"/>
      <c r="H697" s="31" t="n"/>
      <c r="I697" s="31" t="n"/>
      <c r="J697" s="31" t="n"/>
      <c r="K697" s="31" t="n"/>
      <c r="L697" s="31" t="n"/>
      <c r="M697" s="31" t="n"/>
      <c r="N697" s="31" t="n"/>
      <c r="O697" s="31" t="n"/>
      <c r="P697" s="31" t="n"/>
      <c r="Q697" s="31" t="n"/>
      <c r="R697" s="31" t="n"/>
      <c r="S697" s="32">
        <f>IF($F697="","",IF(IFERROR(VLOOKUP($F697,'维度字典'!$M$2:$N$50,2,0),"求和")="手工录入","",IF(IFERROR(VLOOKUP($F697,'维度字典'!$M$2:$N$50,2,0),"求和")="最新值",IFERROR(LOOKUP(9.99E+307,G697:R697),""),SUM(G697:R697))))</f>
        <v/>
      </c>
      <c r="T697" s="33" t="n"/>
    </row>
    <row r="698">
      <c r="A698" s="26">
        <f>IF($B698="","",ROW()-3)</f>
        <v/>
      </c>
      <c r="B698" s="27" t="n"/>
      <c r="C698" s="27" t="n"/>
      <c r="D698" s="28" t="n"/>
      <c r="E698" s="29" t="n"/>
      <c r="F698" s="30" t="n"/>
      <c r="G698" s="31" t="n"/>
      <c r="H698" s="31" t="n"/>
      <c r="I698" s="31" t="n"/>
      <c r="J698" s="31" t="n"/>
      <c r="K698" s="31" t="n"/>
      <c r="L698" s="31" t="n"/>
      <c r="M698" s="31" t="n"/>
      <c r="N698" s="31" t="n"/>
      <c r="O698" s="31" t="n"/>
      <c r="P698" s="31" t="n"/>
      <c r="Q698" s="31" t="n"/>
      <c r="R698" s="31" t="n"/>
      <c r="S698" s="32">
        <f>IF($F698="","",IF(IFERROR(VLOOKUP($F698,'维度字典'!$M$2:$N$50,2,0),"求和")="手工录入","",IF(IFERROR(VLOOKUP($F698,'维度字典'!$M$2:$N$50,2,0),"求和")="最新值",IFERROR(LOOKUP(9.99E+307,G698:R698),""),SUM(G698:R698))))</f>
        <v/>
      </c>
      <c r="T698" s="33" t="n"/>
    </row>
    <row r="699">
      <c r="A699" s="26">
        <f>IF($B699="","",ROW()-3)</f>
        <v/>
      </c>
      <c r="B699" s="27" t="n"/>
      <c r="C699" s="27" t="n"/>
      <c r="D699" s="28" t="n"/>
      <c r="E699" s="29" t="n"/>
      <c r="F699" s="30" t="n"/>
      <c r="G699" s="31" t="n"/>
      <c r="H699" s="31" t="n"/>
      <c r="I699" s="31" t="n"/>
      <c r="J699" s="31" t="n"/>
      <c r="K699" s="31" t="n"/>
      <c r="L699" s="31" t="n"/>
      <c r="M699" s="31" t="n"/>
      <c r="N699" s="31" t="n"/>
      <c r="O699" s="31" t="n"/>
      <c r="P699" s="31" t="n"/>
      <c r="Q699" s="31" t="n"/>
      <c r="R699" s="31" t="n"/>
      <c r="S699" s="32">
        <f>IF($F699="","",IF(IFERROR(VLOOKUP($F699,'维度字典'!$M$2:$N$50,2,0),"求和")="手工录入","",IF(IFERROR(VLOOKUP($F699,'维度字典'!$M$2:$N$50,2,0),"求和")="最新值",IFERROR(LOOKUP(9.99E+307,G699:R699),""),SUM(G699:R699))))</f>
        <v/>
      </c>
      <c r="T699" s="33" t="n"/>
    </row>
    <row r="700">
      <c r="A700" s="26">
        <f>IF($B700="","",ROW()-3)</f>
        <v/>
      </c>
      <c r="B700" s="27" t="n"/>
      <c r="C700" s="27" t="n"/>
      <c r="D700" s="28" t="n"/>
      <c r="E700" s="29" t="n"/>
      <c r="F700" s="30" t="n"/>
      <c r="G700" s="31" t="n"/>
      <c r="H700" s="31" t="n"/>
      <c r="I700" s="31" t="n"/>
      <c r="J700" s="31" t="n"/>
      <c r="K700" s="31" t="n"/>
      <c r="L700" s="31" t="n"/>
      <c r="M700" s="31" t="n"/>
      <c r="N700" s="31" t="n"/>
      <c r="O700" s="31" t="n"/>
      <c r="P700" s="31" t="n"/>
      <c r="Q700" s="31" t="n"/>
      <c r="R700" s="31" t="n"/>
      <c r="S700" s="32">
        <f>IF($F700="","",IF(IFERROR(VLOOKUP($F700,'维度字典'!$M$2:$N$50,2,0),"求和")="手工录入","",IF(IFERROR(VLOOKUP($F700,'维度字典'!$M$2:$N$50,2,0),"求和")="最新值",IFERROR(LOOKUP(9.99E+307,G700:R700),""),SUM(G700:R700))))</f>
        <v/>
      </c>
      <c r="T700" s="33" t="n"/>
    </row>
    <row r="701">
      <c r="A701" s="26">
        <f>IF($B701="","",ROW()-3)</f>
        <v/>
      </c>
      <c r="B701" s="27" t="n"/>
      <c r="C701" s="27" t="n"/>
      <c r="D701" s="28" t="n"/>
      <c r="E701" s="29" t="n"/>
      <c r="F701" s="30" t="n"/>
      <c r="G701" s="31" t="n"/>
      <c r="H701" s="31" t="n"/>
      <c r="I701" s="31" t="n"/>
      <c r="J701" s="31" t="n"/>
      <c r="K701" s="31" t="n"/>
      <c r="L701" s="31" t="n"/>
      <c r="M701" s="31" t="n"/>
      <c r="N701" s="31" t="n"/>
      <c r="O701" s="31" t="n"/>
      <c r="P701" s="31" t="n"/>
      <c r="Q701" s="31" t="n"/>
      <c r="R701" s="31" t="n"/>
      <c r="S701" s="32">
        <f>IF($F701="","",IF(IFERROR(VLOOKUP($F701,'维度字典'!$M$2:$N$50,2,0),"求和")="手工录入","",IF(IFERROR(VLOOKUP($F701,'维度字典'!$M$2:$N$50,2,0),"求和")="最新值",IFERROR(LOOKUP(9.99E+307,G701:R701),""),SUM(G701:R701))))</f>
        <v/>
      </c>
      <c r="T701" s="33" t="n"/>
    </row>
    <row r="702">
      <c r="A702" s="26">
        <f>IF($B702="","",ROW()-3)</f>
        <v/>
      </c>
      <c r="B702" s="27" t="n"/>
      <c r="C702" s="27" t="n"/>
      <c r="D702" s="28" t="n"/>
      <c r="E702" s="29" t="n"/>
      <c r="F702" s="30" t="n"/>
      <c r="G702" s="31" t="n"/>
      <c r="H702" s="31" t="n"/>
      <c r="I702" s="31" t="n"/>
      <c r="J702" s="31" t="n"/>
      <c r="K702" s="31" t="n"/>
      <c r="L702" s="31" t="n"/>
      <c r="M702" s="31" t="n"/>
      <c r="N702" s="31" t="n"/>
      <c r="O702" s="31" t="n"/>
      <c r="P702" s="31" t="n"/>
      <c r="Q702" s="31" t="n"/>
      <c r="R702" s="31" t="n"/>
      <c r="S702" s="32">
        <f>IF($F702="","",IF(IFERROR(VLOOKUP($F702,'维度字典'!$M$2:$N$50,2,0),"求和")="手工录入","",IF(IFERROR(VLOOKUP($F702,'维度字典'!$M$2:$N$50,2,0),"求和")="最新值",IFERROR(LOOKUP(9.99E+307,G702:R702),""),SUM(G702:R702))))</f>
        <v/>
      </c>
      <c r="T702" s="33" t="n"/>
    </row>
    <row r="703">
      <c r="A703" s="26">
        <f>IF($B703="","",ROW()-3)</f>
        <v/>
      </c>
      <c r="B703" s="27" t="n"/>
      <c r="C703" s="27" t="n"/>
      <c r="D703" s="28" t="n"/>
      <c r="E703" s="29" t="n"/>
      <c r="F703" s="30" t="n"/>
      <c r="G703" s="31" t="n"/>
      <c r="H703" s="31" t="n"/>
      <c r="I703" s="31" t="n"/>
      <c r="J703" s="31" t="n"/>
      <c r="K703" s="31" t="n"/>
      <c r="L703" s="31" t="n"/>
      <c r="M703" s="31" t="n"/>
      <c r="N703" s="31" t="n"/>
      <c r="O703" s="31" t="n"/>
      <c r="P703" s="31" t="n"/>
      <c r="Q703" s="31" t="n"/>
      <c r="R703" s="31" t="n"/>
      <c r="S703" s="32">
        <f>IF($F703="","",IF(IFERROR(VLOOKUP($F703,'维度字典'!$M$2:$N$50,2,0),"求和")="手工录入","",IF(IFERROR(VLOOKUP($F703,'维度字典'!$M$2:$N$50,2,0),"求和")="最新值",IFERROR(LOOKUP(9.99E+307,G703:R703),""),SUM(G703:R703))))</f>
        <v/>
      </c>
      <c r="T703" s="33" t="n"/>
    </row>
    <row r="704">
      <c r="A704" s="26">
        <f>IF($B704="","",ROW()-3)</f>
        <v/>
      </c>
      <c r="B704" s="27" t="n"/>
      <c r="C704" s="27" t="n"/>
      <c r="D704" s="28" t="n"/>
      <c r="E704" s="29" t="n"/>
      <c r="F704" s="30" t="n"/>
      <c r="G704" s="31" t="n"/>
      <c r="H704" s="31" t="n"/>
      <c r="I704" s="31" t="n"/>
      <c r="J704" s="31" t="n"/>
      <c r="K704" s="31" t="n"/>
      <c r="L704" s="31" t="n"/>
      <c r="M704" s="31" t="n"/>
      <c r="N704" s="31" t="n"/>
      <c r="O704" s="31" t="n"/>
      <c r="P704" s="31" t="n"/>
      <c r="Q704" s="31" t="n"/>
      <c r="R704" s="31" t="n"/>
      <c r="S704" s="32">
        <f>IF($F704="","",IF(IFERROR(VLOOKUP($F704,'维度字典'!$M$2:$N$50,2,0),"求和")="手工录入","",IF(IFERROR(VLOOKUP($F704,'维度字典'!$M$2:$N$50,2,0),"求和")="最新值",IFERROR(LOOKUP(9.99E+307,G704:R704),""),SUM(G704:R704))))</f>
        <v/>
      </c>
      <c r="T704" s="33" t="n"/>
    </row>
    <row r="705">
      <c r="A705" s="26">
        <f>IF($B705="","",ROW()-3)</f>
        <v/>
      </c>
      <c r="B705" s="27" t="n"/>
      <c r="C705" s="27" t="n"/>
      <c r="D705" s="28" t="n"/>
      <c r="E705" s="29" t="n"/>
      <c r="F705" s="30" t="n"/>
      <c r="G705" s="31" t="n"/>
      <c r="H705" s="31" t="n"/>
      <c r="I705" s="31" t="n"/>
      <c r="J705" s="31" t="n"/>
      <c r="K705" s="31" t="n"/>
      <c r="L705" s="31" t="n"/>
      <c r="M705" s="31" t="n"/>
      <c r="N705" s="31" t="n"/>
      <c r="O705" s="31" t="n"/>
      <c r="P705" s="31" t="n"/>
      <c r="Q705" s="31" t="n"/>
      <c r="R705" s="31" t="n"/>
      <c r="S705" s="32">
        <f>IF($F705="","",IF(IFERROR(VLOOKUP($F705,'维度字典'!$M$2:$N$50,2,0),"求和")="手工录入","",IF(IFERROR(VLOOKUP($F705,'维度字典'!$M$2:$N$50,2,0),"求和")="最新值",IFERROR(LOOKUP(9.99E+307,G705:R705),""),SUM(G705:R705))))</f>
        <v/>
      </c>
      <c r="T705" s="33" t="n"/>
    </row>
    <row r="706">
      <c r="A706" s="26">
        <f>IF($B706="","",ROW()-3)</f>
        <v/>
      </c>
      <c r="B706" s="27" t="n"/>
      <c r="C706" s="27" t="n"/>
      <c r="D706" s="28" t="n"/>
      <c r="E706" s="29" t="n"/>
      <c r="F706" s="30" t="n"/>
      <c r="G706" s="31" t="n"/>
      <c r="H706" s="31" t="n"/>
      <c r="I706" s="31" t="n"/>
      <c r="J706" s="31" t="n"/>
      <c r="K706" s="31" t="n"/>
      <c r="L706" s="31" t="n"/>
      <c r="M706" s="31" t="n"/>
      <c r="N706" s="31" t="n"/>
      <c r="O706" s="31" t="n"/>
      <c r="P706" s="31" t="n"/>
      <c r="Q706" s="31" t="n"/>
      <c r="R706" s="31" t="n"/>
      <c r="S706" s="32">
        <f>IF($F706="","",IF(IFERROR(VLOOKUP($F706,'维度字典'!$M$2:$N$50,2,0),"求和")="手工录入","",IF(IFERROR(VLOOKUP($F706,'维度字典'!$M$2:$N$50,2,0),"求和")="最新值",IFERROR(LOOKUP(9.99E+307,G706:R706),""),SUM(G706:R706))))</f>
        <v/>
      </c>
      <c r="T706" s="33" t="n"/>
    </row>
    <row r="707">
      <c r="A707" s="26">
        <f>IF($B707="","",ROW()-3)</f>
        <v/>
      </c>
      <c r="B707" s="27" t="n"/>
      <c r="C707" s="27" t="n"/>
      <c r="D707" s="28" t="n"/>
      <c r="E707" s="29" t="n"/>
      <c r="F707" s="30" t="n"/>
      <c r="G707" s="31" t="n"/>
      <c r="H707" s="31" t="n"/>
      <c r="I707" s="31" t="n"/>
      <c r="J707" s="31" t="n"/>
      <c r="K707" s="31" t="n"/>
      <c r="L707" s="31" t="n"/>
      <c r="M707" s="31" t="n"/>
      <c r="N707" s="31" t="n"/>
      <c r="O707" s="31" t="n"/>
      <c r="P707" s="31" t="n"/>
      <c r="Q707" s="31" t="n"/>
      <c r="R707" s="31" t="n"/>
      <c r="S707" s="32">
        <f>IF($F707="","",IF(IFERROR(VLOOKUP($F707,'维度字典'!$M$2:$N$50,2,0),"求和")="手工录入","",IF(IFERROR(VLOOKUP($F707,'维度字典'!$M$2:$N$50,2,0),"求和")="最新值",IFERROR(LOOKUP(9.99E+307,G707:R707),""),SUM(G707:R707))))</f>
        <v/>
      </c>
      <c r="T707" s="33" t="n"/>
    </row>
    <row r="708">
      <c r="A708" s="26">
        <f>IF($B708="","",ROW()-3)</f>
        <v/>
      </c>
      <c r="B708" s="27" t="n"/>
      <c r="C708" s="27" t="n"/>
      <c r="D708" s="28" t="n"/>
      <c r="E708" s="29" t="n"/>
      <c r="F708" s="30" t="n"/>
      <c r="G708" s="31" t="n"/>
      <c r="H708" s="31" t="n"/>
      <c r="I708" s="31" t="n"/>
      <c r="J708" s="31" t="n"/>
      <c r="K708" s="31" t="n"/>
      <c r="L708" s="31" t="n"/>
      <c r="M708" s="31" t="n"/>
      <c r="N708" s="31" t="n"/>
      <c r="O708" s="31" t="n"/>
      <c r="P708" s="31" t="n"/>
      <c r="Q708" s="31" t="n"/>
      <c r="R708" s="31" t="n"/>
      <c r="S708" s="32">
        <f>IF($F708="","",IF(IFERROR(VLOOKUP($F708,'维度字典'!$M$2:$N$50,2,0),"求和")="手工录入","",IF(IFERROR(VLOOKUP($F708,'维度字典'!$M$2:$N$50,2,0),"求和")="最新值",IFERROR(LOOKUP(9.99E+307,G708:R708),""),SUM(G708:R708))))</f>
        <v/>
      </c>
      <c r="T708" s="33" t="n"/>
    </row>
    <row r="709">
      <c r="A709" s="26">
        <f>IF($B709="","",ROW()-3)</f>
        <v/>
      </c>
      <c r="B709" s="27" t="n"/>
      <c r="C709" s="27" t="n"/>
      <c r="D709" s="28" t="n"/>
      <c r="E709" s="29" t="n"/>
      <c r="F709" s="30" t="n"/>
      <c r="G709" s="31" t="n"/>
      <c r="H709" s="31" t="n"/>
      <c r="I709" s="31" t="n"/>
      <c r="J709" s="31" t="n"/>
      <c r="K709" s="31" t="n"/>
      <c r="L709" s="31" t="n"/>
      <c r="M709" s="31" t="n"/>
      <c r="N709" s="31" t="n"/>
      <c r="O709" s="31" t="n"/>
      <c r="P709" s="31" t="n"/>
      <c r="Q709" s="31" t="n"/>
      <c r="R709" s="31" t="n"/>
      <c r="S709" s="32">
        <f>IF($F709="","",IF(IFERROR(VLOOKUP($F709,'维度字典'!$M$2:$N$50,2,0),"求和")="手工录入","",IF(IFERROR(VLOOKUP($F709,'维度字典'!$M$2:$N$50,2,0),"求和")="最新值",IFERROR(LOOKUP(9.99E+307,G709:R709),""),SUM(G709:R709))))</f>
        <v/>
      </c>
      <c r="T709" s="33" t="n"/>
    </row>
    <row r="710">
      <c r="A710" s="26">
        <f>IF($B710="","",ROW()-3)</f>
        <v/>
      </c>
      <c r="B710" s="27" t="n"/>
      <c r="C710" s="27" t="n"/>
      <c r="D710" s="28" t="n"/>
      <c r="E710" s="29" t="n"/>
      <c r="F710" s="30" t="n"/>
      <c r="G710" s="31" t="n"/>
      <c r="H710" s="31" t="n"/>
      <c r="I710" s="31" t="n"/>
      <c r="J710" s="31" t="n"/>
      <c r="K710" s="31" t="n"/>
      <c r="L710" s="31" t="n"/>
      <c r="M710" s="31" t="n"/>
      <c r="N710" s="31" t="n"/>
      <c r="O710" s="31" t="n"/>
      <c r="P710" s="31" t="n"/>
      <c r="Q710" s="31" t="n"/>
      <c r="R710" s="31" t="n"/>
      <c r="S710" s="32">
        <f>IF($F710="","",IF(IFERROR(VLOOKUP($F710,'维度字典'!$M$2:$N$50,2,0),"求和")="手工录入","",IF(IFERROR(VLOOKUP($F710,'维度字典'!$M$2:$N$50,2,0),"求和")="最新值",IFERROR(LOOKUP(9.99E+307,G710:R710),""),SUM(G710:R710))))</f>
        <v/>
      </c>
      <c r="T710" s="33" t="n"/>
    </row>
    <row r="711">
      <c r="A711" s="26">
        <f>IF($B711="","",ROW()-3)</f>
        <v/>
      </c>
      <c r="B711" s="27" t="n"/>
      <c r="C711" s="27" t="n"/>
      <c r="D711" s="28" t="n"/>
      <c r="E711" s="29" t="n"/>
      <c r="F711" s="30" t="n"/>
      <c r="G711" s="31" t="n"/>
      <c r="H711" s="31" t="n"/>
      <c r="I711" s="31" t="n"/>
      <c r="J711" s="31" t="n"/>
      <c r="K711" s="31" t="n"/>
      <c r="L711" s="31" t="n"/>
      <c r="M711" s="31" t="n"/>
      <c r="N711" s="31" t="n"/>
      <c r="O711" s="31" t="n"/>
      <c r="P711" s="31" t="n"/>
      <c r="Q711" s="31" t="n"/>
      <c r="R711" s="31" t="n"/>
      <c r="S711" s="32">
        <f>IF($F711="","",IF(IFERROR(VLOOKUP($F711,'维度字典'!$M$2:$N$50,2,0),"求和")="手工录入","",IF(IFERROR(VLOOKUP($F711,'维度字典'!$M$2:$N$50,2,0),"求和")="最新值",IFERROR(LOOKUP(9.99E+307,G711:R711),""),SUM(G711:R711))))</f>
        <v/>
      </c>
      <c r="T711" s="33" t="n"/>
    </row>
    <row r="712">
      <c r="A712" s="26">
        <f>IF($B712="","",ROW()-3)</f>
        <v/>
      </c>
      <c r="B712" s="27" t="n"/>
      <c r="C712" s="27" t="n"/>
      <c r="D712" s="28" t="n"/>
      <c r="E712" s="29" t="n"/>
      <c r="F712" s="30" t="n"/>
      <c r="G712" s="31" t="n"/>
      <c r="H712" s="31" t="n"/>
      <c r="I712" s="31" t="n"/>
      <c r="J712" s="31" t="n"/>
      <c r="K712" s="31" t="n"/>
      <c r="L712" s="31" t="n"/>
      <c r="M712" s="31" t="n"/>
      <c r="N712" s="31" t="n"/>
      <c r="O712" s="31" t="n"/>
      <c r="P712" s="31" t="n"/>
      <c r="Q712" s="31" t="n"/>
      <c r="R712" s="31" t="n"/>
      <c r="S712" s="32">
        <f>IF($F712="","",IF(IFERROR(VLOOKUP($F712,'维度字典'!$M$2:$N$50,2,0),"求和")="手工录入","",IF(IFERROR(VLOOKUP($F712,'维度字典'!$M$2:$N$50,2,0),"求和")="最新值",IFERROR(LOOKUP(9.99E+307,G712:R712),""),SUM(G712:R712))))</f>
        <v/>
      </c>
      <c r="T712" s="33" t="n"/>
    </row>
    <row r="713">
      <c r="A713" s="26">
        <f>IF($B713="","",ROW()-3)</f>
        <v/>
      </c>
      <c r="B713" s="27" t="n"/>
      <c r="C713" s="27" t="n"/>
      <c r="D713" s="28" t="n"/>
      <c r="E713" s="29" t="n"/>
      <c r="F713" s="30" t="n"/>
      <c r="G713" s="31" t="n"/>
      <c r="H713" s="31" t="n"/>
      <c r="I713" s="31" t="n"/>
      <c r="J713" s="31" t="n"/>
      <c r="K713" s="31" t="n"/>
      <c r="L713" s="31" t="n"/>
      <c r="M713" s="31" t="n"/>
      <c r="N713" s="31" t="n"/>
      <c r="O713" s="31" t="n"/>
      <c r="P713" s="31" t="n"/>
      <c r="Q713" s="31" t="n"/>
      <c r="R713" s="31" t="n"/>
      <c r="S713" s="32">
        <f>IF($F713="","",IF(IFERROR(VLOOKUP($F713,'维度字典'!$M$2:$N$50,2,0),"求和")="手工录入","",IF(IFERROR(VLOOKUP($F713,'维度字典'!$M$2:$N$50,2,0),"求和")="最新值",IFERROR(LOOKUP(9.99E+307,G713:R713),""),SUM(G713:R713))))</f>
        <v/>
      </c>
      <c r="T713" s="33" t="n"/>
    </row>
    <row r="714">
      <c r="A714" s="26">
        <f>IF($B714="","",ROW()-3)</f>
        <v/>
      </c>
      <c r="B714" s="27" t="n"/>
      <c r="C714" s="27" t="n"/>
      <c r="D714" s="28" t="n"/>
      <c r="E714" s="29" t="n"/>
      <c r="F714" s="30" t="n"/>
      <c r="G714" s="31" t="n"/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n"/>
      <c r="R714" s="31" t="n"/>
      <c r="S714" s="32">
        <f>IF($F714="","",IF(IFERROR(VLOOKUP($F714,'维度字典'!$M$2:$N$50,2,0),"求和")="手工录入","",IF(IFERROR(VLOOKUP($F714,'维度字典'!$M$2:$N$50,2,0),"求和")="最新值",IFERROR(LOOKUP(9.99E+307,G714:R714),""),SUM(G714:R714))))</f>
        <v/>
      </c>
      <c r="T714" s="33" t="n"/>
    </row>
    <row r="715">
      <c r="A715" s="26">
        <f>IF($B715="","",ROW()-3)</f>
        <v/>
      </c>
      <c r="B715" s="27" t="n"/>
      <c r="C715" s="27" t="n"/>
      <c r="D715" s="28" t="n"/>
      <c r="E715" s="29" t="n"/>
      <c r="F715" s="30" t="n"/>
      <c r="G715" s="31" t="n"/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n"/>
      <c r="R715" s="31" t="n"/>
      <c r="S715" s="32">
        <f>IF($F715="","",IF(IFERROR(VLOOKUP($F715,'维度字典'!$M$2:$N$50,2,0),"求和")="手工录入","",IF(IFERROR(VLOOKUP($F715,'维度字典'!$M$2:$N$50,2,0),"求和")="最新值",IFERROR(LOOKUP(9.99E+307,G715:R715),""),SUM(G715:R715))))</f>
        <v/>
      </c>
      <c r="T715" s="33" t="n"/>
    </row>
    <row r="716">
      <c r="A716" s="26">
        <f>IF($B716="","",ROW()-3)</f>
        <v/>
      </c>
      <c r="B716" s="27" t="n"/>
      <c r="C716" s="27" t="n"/>
      <c r="D716" s="28" t="n"/>
      <c r="E716" s="29" t="n"/>
      <c r="F716" s="30" t="n"/>
      <c r="G716" s="31" t="n"/>
      <c r="H716" s="31" t="n"/>
      <c r="I716" s="31" t="n"/>
      <c r="J716" s="31" t="n"/>
      <c r="K716" s="31" t="n"/>
      <c r="L716" s="31" t="n"/>
      <c r="M716" s="31" t="n"/>
      <c r="N716" s="31" t="n"/>
      <c r="O716" s="31" t="n"/>
      <c r="P716" s="31" t="n"/>
      <c r="Q716" s="31" t="n"/>
      <c r="R716" s="31" t="n"/>
      <c r="S716" s="32">
        <f>IF($F716="","",IF(IFERROR(VLOOKUP($F716,'维度字典'!$M$2:$N$50,2,0),"求和")="手工录入","",IF(IFERROR(VLOOKUP($F716,'维度字典'!$M$2:$N$50,2,0),"求和")="最新值",IFERROR(LOOKUP(9.99E+307,G716:R716),""),SUM(G716:R716))))</f>
        <v/>
      </c>
      <c r="T716" s="33" t="n"/>
    </row>
    <row r="717">
      <c r="A717" s="26">
        <f>IF($B717="","",ROW()-3)</f>
        <v/>
      </c>
      <c r="B717" s="27" t="n"/>
      <c r="C717" s="27" t="n"/>
      <c r="D717" s="28" t="n"/>
      <c r="E717" s="29" t="n"/>
      <c r="F717" s="30" t="n"/>
      <c r="G717" s="31" t="n"/>
      <c r="H717" s="31" t="n"/>
      <c r="I717" s="31" t="n"/>
      <c r="J717" s="31" t="n"/>
      <c r="K717" s="31" t="n"/>
      <c r="L717" s="31" t="n"/>
      <c r="M717" s="31" t="n"/>
      <c r="N717" s="31" t="n"/>
      <c r="O717" s="31" t="n"/>
      <c r="P717" s="31" t="n"/>
      <c r="Q717" s="31" t="n"/>
      <c r="R717" s="31" t="n"/>
      <c r="S717" s="32">
        <f>IF($F717="","",IF(IFERROR(VLOOKUP($F717,'维度字典'!$M$2:$N$50,2,0),"求和")="手工录入","",IF(IFERROR(VLOOKUP($F717,'维度字典'!$M$2:$N$50,2,0),"求和")="最新值",IFERROR(LOOKUP(9.99E+307,G717:R717),""),SUM(G717:R717))))</f>
        <v/>
      </c>
      <c r="T717" s="33" t="n"/>
    </row>
    <row r="718">
      <c r="A718" s="26">
        <f>IF($B718="","",ROW()-3)</f>
        <v/>
      </c>
      <c r="B718" s="27" t="n"/>
      <c r="C718" s="27" t="n"/>
      <c r="D718" s="28" t="n"/>
      <c r="E718" s="29" t="n"/>
      <c r="F718" s="30" t="n"/>
      <c r="G718" s="31" t="n"/>
      <c r="H718" s="31" t="n"/>
      <c r="I718" s="31" t="n"/>
      <c r="J718" s="31" t="n"/>
      <c r="K718" s="31" t="n"/>
      <c r="L718" s="31" t="n"/>
      <c r="M718" s="31" t="n"/>
      <c r="N718" s="31" t="n"/>
      <c r="O718" s="31" t="n"/>
      <c r="P718" s="31" t="n"/>
      <c r="Q718" s="31" t="n"/>
      <c r="R718" s="31" t="n"/>
      <c r="S718" s="32">
        <f>IF($F718="","",IF(IFERROR(VLOOKUP($F718,'维度字典'!$M$2:$N$50,2,0),"求和")="手工录入","",IF(IFERROR(VLOOKUP($F718,'维度字典'!$M$2:$N$50,2,0),"求和")="最新值",IFERROR(LOOKUP(9.99E+307,G718:R718),""),SUM(G718:R718))))</f>
        <v/>
      </c>
      <c r="T718" s="33" t="n"/>
    </row>
    <row r="719">
      <c r="A719" s="26">
        <f>IF($B719="","",ROW()-3)</f>
        <v/>
      </c>
      <c r="B719" s="27" t="n"/>
      <c r="C719" s="27" t="n"/>
      <c r="D719" s="28" t="n"/>
      <c r="E719" s="29" t="n"/>
      <c r="F719" s="30" t="n"/>
      <c r="G719" s="31" t="n"/>
      <c r="H719" s="31" t="n"/>
      <c r="I719" s="31" t="n"/>
      <c r="J719" s="31" t="n"/>
      <c r="K719" s="31" t="n"/>
      <c r="L719" s="31" t="n"/>
      <c r="M719" s="31" t="n"/>
      <c r="N719" s="31" t="n"/>
      <c r="O719" s="31" t="n"/>
      <c r="P719" s="31" t="n"/>
      <c r="Q719" s="31" t="n"/>
      <c r="R719" s="31" t="n"/>
      <c r="S719" s="32">
        <f>IF($F719="","",IF(IFERROR(VLOOKUP($F719,'维度字典'!$M$2:$N$50,2,0),"求和")="手工录入","",IF(IFERROR(VLOOKUP($F719,'维度字典'!$M$2:$N$50,2,0),"求和")="最新值",IFERROR(LOOKUP(9.99E+307,G719:R719),""),SUM(G719:R719))))</f>
        <v/>
      </c>
      <c r="T719" s="33" t="n"/>
    </row>
    <row r="720">
      <c r="A720" s="26">
        <f>IF($B720="","",ROW()-3)</f>
        <v/>
      </c>
      <c r="B720" s="27" t="n"/>
      <c r="C720" s="27" t="n"/>
      <c r="D720" s="28" t="n"/>
      <c r="E720" s="29" t="n"/>
      <c r="F720" s="30" t="n"/>
      <c r="G720" s="31" t="n"/>
      <c r="H720" s="31" t="n"/>
      <c r="I720" s="31" t="n"/>
      <c r="J720" s="31" t="n"/>
      <c r="K720" s="31" t="n"/>
      <c r="L720" s="31" t="n"/>
      <c r="M720" s="31" t="n"/>
      <c r="N720" s="31" t="n"/>
      <c r="O720" s="31" t="n"/>
      <c r="P720" s="31" t="n"/>
      <c r="Q720" s="31" t="n"/>
      <c r="R720" s="31" t="n"/>
      <c r="S720" s="32">
        <f>IF($F720="","",IF(IFERROR(VLOOKUP($F720,'维度字典'!$M$2:$N$50,2,0),"求和")="手工录入","",IF(IFERROR(VLOOKUP($F720,'维度字典'!$M$2:$N$50,2,0),"求和")="最新值",IFERROR(LOOKUP(9.99E+307,G720:R720),""),SUM(G720:R720))))</f>
        <v/>
      </c>
      <c r="T720" s="33" t="n"/>
    </row>
    <row r="721">
      <c r="A721" s="26">
        <f>IF($B721="","",ROW()-3)</f>
        <v/>
      </c>
      <c r="B721" s="27" t="n"/>
      <c r="C721" s="27" t="n"/>
      <c r="D721" s="28" t="n"/>
      <c r="E721" s="29" t="n"/>
      <c r="F721" s="30" t="n"/>
      <c r="G721" s="31" t="n"/>
      <c r="H721" s="31" t="n"/>
      <c r="I721" s="31" t="n"/>
      <c r="J721" s="31" t="n"/>
      <c r="K721" s="31" t="n"/>
      <c r="L721" s="31" t="n"/>
      <c r="M721" s="31" t="n"/>
      <c r="N721" s="31" t="n"/>
      <c r="O721" s="31" t="n"/>
      <c r="P721" s="31" t="n"/>
      <c r="Q721" s="31" t="n"/>
      <c r="R721" s="31" t="n"/>
      <c r="S721" s="32">
        <f>IF($F721="","",IF(IFERROR(VLOOKUP($F721,'维度字典'!$M$2:$N$50,2,0),"求和")="手工录入","",IF(IFERROR(VLOOKUP($F721,'维度字典'!$M$2:$N$50,2,0),"求和")="最新值",IFERROR(LOOKUP(9.99E+307,G721:R721),""),SUM(G721:R721))))</f>
        <v/>
      </c>
      <c r="T721" s="33" t="n"/>
    </row>
    <row r="722">
      <c r="A722" s="26">
        <f>IF($B722="","",ROW()-3)</f>
        <v/>
      </c>
      <c r="B722" s="27" t="n"/>
      <c r="C722" s="27" t="n"/>
      <c r="D722" s="28" t="n"/>
      <c r="E722" s="29" t="n"/>
      <c r="F722" s="30" t="n"/>
      <c r="G722" s="31" t="n"/>
      <c r="H722" s="31" t="n"/>
      <c r="I722" s="31" t="n"/>
      <c r="J722" s="31" t="n"/>
      <c r="K722" s="31" t="n"/>
      <c r="L722" s="31" t="n"/>
      <c r="M722" s="31" t="n"/>
      <c r="N722" s="31" t="n"/>
      <c r="O722" s="31" t="n"/>
      <c r="P722" s="31" t="n"/>
      <c r="Q722" s="31" t="n"/>
      <c r="R722" s="31" t="n"/>
      <c r="S722" s="32">
        <f>IF($F722="","",IF(IFERROR(VLOOKUP($F722,'维度字典'!$M$2:$N$50,2,0),"求和")="手工录入","",IF(IFERROR(VLOOKUP($F722,'维度字典'!$M$2:$N$50,2,0),"求和")="最新值",IFERROR(LOOKUP(9.99E+307,G722:R722),""),SUM(G722:R722))))</f>
        <v/>
      </c>
      <c r="T722" s="33" t="n"/>
    </row>
    <row r="723">
      <c r="A723" s="26">
        <f>IF($B723="","",ROW()-3)</f>
        <v/>
      </c>
      <c r="B723" s="27" t="n"/>
      <c r="C723" s="27" t="n"/>
      <c r="D723" s="28" t="n"/>
      <c r="E723" s="29" t="n"/>
      <c r="F723" s="30" t="n"/>
      <c r="G723" s="31" t="n"/>
      <c r="H723" s="31" t="n"/>
      <c r="I723" s="31" t="n"/>
      <c r="J723" s="31" t="n"/>
      <c r="K723" s="31" t="n"/>
      <c r="L723" s="31" t="n"/>
      <c r="M723" s="31" t="n"/>
      <c r="N723" s="31" t="n"/>
      <c r="O723" s="31" t="n"/>
      <c r="P723" s="31" t="n"/>
      <c r="Q723" s="31" t="n"/>
      <c r="R723" s="31" t="n"/>
      <c r="S723" s="32">
        <f>IF($F723="","",IF(IFERROR(VLOOKUP($F723,'维度字典'!$M$2:$N$50,2,0),"求和")="手工录入","",IF(IFERROR(VLOOKUP($F723,'维度字典'!$M$2:$N$50,2,0),"求和")="最新值",IFERROR(LOOKUP(9.99E+307,G723:R723),""),SUM(G723:R723))))</f>
        <v/>
      </c>
      <c r="T723" s="33" t="n"/>
    </row>
    <row r="724">
      <c r="A724" s="26">
        <f>IF($B724="","",ROW()-3)</f>
        <v/>
      </c>
      <c r="B724" s="27" t="n"/>
      <c r="C724" s="27" t="n"/>
      <c r="D724" s="28" t="n"/>
      <c r="E724" s="29" t="n"/>
      <c r="F724" s="30" t="n"/>
      <c r="G724" s="31" t="n"/>
      <c r="H724" s="31" t="n"/>
      <c r="I724" s="31" t="n"/>
      <c r="J724" s="31" t="n"/>
      <c r="K724" s="31" t="n"/>
      <c r="L724" s="31" t="n"/>
      <c r="M724" s="31" t="n"/>
      <c r="N724" s="31" t="n"/>
      <c r="O724" s="31" t="n"/>
      <c r="P724" s="31" t="n"/>
      <c r="Q724" s="31" t="n"/>
      <c r="R724" s="31" t="n"/>
      <c r="S724" s="32">
        <f>IF($F724="","",IF(IFERROR(VLOOKUP($F724,'维度字典'!$M$2:$N$50,2,0),"求和")="手工录入","",IF(IFERROR(VLOOKUP($F724,'维度字典'!$M$2:$N$50,2,0),"求和")="最新值",IFERROR(LOOKUP(9.99E+307,G724:R724),""),SUM(G724:R724))))</f>
        <v/>
      </c>
      <c r="T724" s="33" t="n"/>
    </row>
    <row r="725">
      <c r="A725" s="26">
        <f>IF($B725="","",ROW()-3)</f>
        <v/>
      </c>
      <c r="B725" s="27" t="n"/>
      <c r="C725" s="27" t="n"/>
      <c r="D725" s="28" t="n"/>
      <c r="E725" s="29" t="n"/>
      <c r="F725" s="30" t="n"/>
      <c r="G725" s="31" t="n"/>
      <c r="H725" s="31" t="n"/>
      <c r="I725" s="31" t="n"/>
      <c r="J725" s="31" t="n"/>
      <c r="K725" s="31" t="n"/>
      <c r="L725" s="31" t="n"/>
      <c r="M725" s="31" t="n"/>
      <c r="N725" s="31" t="n"/>
      <c r="O725" s="31" t="n"/>
      <c r="P725" s="31" t="n"/>
      <c r="Q725" s="31" t="n"/>
      <c r="R725" s="31" t="n"/>
      <c r="S725" s="32">
        <f>IF($F725="","",IF(IFERROR(VLOOKUP($F725,'维度字典'!$M$2:$N$50,2,0),"求和")="手工录入","",IF(IFERROR(VLOOKUP($F725,'维度字典'!$M$2:$N$50,2,0),"求和")="最新值",IFERROR(LOOKUP(9.99E+307,G725:R725),""),SUM(G725:R725))))</f>
        <v/>
      </c>
      <c r="T725" s="33" t="n"/>
    </row>
    <row r="726">
      <c r="A726" s="26">
        <f>IF($B726="","",ROW()-3)</f>
        <v/>
      </c>
      <c r="B726" s="27" t="n"/>
      <c r="C726" s="27" t="n"/>
      <c r="D726" s="28" t="n"/>
      <c r="E726" s="29" t="n"/>
      <c r="F726" s="30" t="n"/>
      <c r="G726" s="31" t="n"/>
      <c r="H726" s="31" t="n"/>
      <c r="I726" s="31" t="n"/>
      <c r="J726" s="31" t="n"/>
      <c r="K726" s="31" t="n"/>
      <c r="L726" s="31" t="n"/>
      <c r="M726" s="31" t="n"/>
      <c r="N726" s="31" t="n"/>
      <c r="O726" s="31" t="n"/>
      <c r="P726" s="31" t="n"/>
      <c r="Q726" s="31" t="n"/>
      <c r="R726" s="31" t="n"/>
      <c r="S726" s="32">
        <f>IF($F726="","",IF(IFERROR(VLOOKUP($F726,'维度字典'!$M$2:$N$50,2,0),"求和")="手工录入","",IF(IFERROR(VLOOKUP($F726,'维度字典'!$M$2:$N$50,2,0),"求和")="最新值",IFERROR(LOOKUP(9.99E+307,G726:R726),""),SUM(G726:R726))))</f>
        <v/>
      </c>
      <c r="T726" s="33" t="n"/>
    </row>
    <row r="727">
      <c r="A727" s="26">
        <f>IF($B727="","",ROW()-3)</f>
        <v/>
      </c>
      <c r="B727" s="27" t="n"/>
      <c r="C727" s="27" t="n"/>
      <c r="D727" s="28" t="n"/>
      <c r="E727" s="29" t="n"/>
      <c r="F727" s="30" t="n"/>
      <c r="G727" s="31" t="n"/>
      <c r="H727" s="31" t="n"/>
      <c r="I727" s="31" t="n"/>
      <c r="J727" s="31" t="n"/>
      <c r="K727" s="31" t="n"/>
      <c r="L727" s="31" t="n"/>
      <c r="M727" s="31" t="n"/>
      <c r="N727" s="31" t="n"/>
      <c r="O727" s="31" t="n"/>
      <c r="P727" s="31" t="n"/>
      <c r="Q727" s="31" t="n"/>
      <c r="R727" s="31" t="n"/>
      <c r="S727" s="32">
        <f>IF($F727="","",IF(IFERROR(VLOOKUP($F727,'维度字典'!$M$2:$N$50,2,0),"求和")="手工录入","",IF(IFERROR(VLOOKUP($F727,'维度字典'!$M$2:$N$50,2,0),"求和")="最新值",IFERROR(LOOKUP(9.99E+307,G727:R727),""),SUM(G727:R727))))</f>
        <v/>
      </c>
      <c r="T727" s="33" t="n"/>
    </row>
    <row r="728">
      <c r="A728" s="26">
        <f>IF($B728="","",ROW()-3)</f>
        <v/>
      </c>
      <c r="B728" s="27" t="n"/>
      <c r="C728" s="27" t="n"/>
      <c r="D728" s="28" t="n"/>
      <c r="E728" s="29" t="n"/>
      <c r="F728" s="30" t="n"/>
      <c r="G728" s="31" t="n"/>
      <c r="H728" s="31" t="n"/>
      <c r="I728" s="31" t="n"/>
      <c r="J728" s="31" t="n"/>
      <c r="K728" s="31" t="n"/>
      <c r="L728" s="31" t="n"/>
      <c r="M728" s="31" t="n"/>
      <c r="N728" s="31" t="n"/>
      <c r="O728" s="31" t="n"/>
      <c r="P728" s="31" t="n"/>
      <c r="Q728" s="31" t="n"/>
      <c r="R728" s="31" t="n"/>
      <c r="S728" s="32">
        <f>IF($F728="","",IF(IFERROR(VLOOKUP($F728,'维度字典'!$M$2:$N$50,2,0),"求和")="手工录入","",IF(IFERROR(VLOOKUP($F728,'维度字典'!$M$2:$N$50,2,0),"求和")="最新值",IFERROR(LOOKUP(9.99E+307,G728:R728),""),SUM(G728:R728))))</f>
        <v/>
      </c>
      <c r="T728" s="33" t="n"/>
    </row>
    <row r="729">
      <c r="A729" s="26">
        <f>IF($B729="","",ROW()-3)</f>
        <v/>
      </c>
      <c r="B729" s="27" t="n"/>
      <c r="C729" s="27" t="n"/>
      <c r="D729" s="28" t="n"/>
      <c r="E729" s="29" t="n"/>
      <c r="F729" s="30" t="n"/>
      <c r="G729" s="31" t="n"/>
      <c r="H729" s="31" t="n"/>
      <c r="I729" s="31" t="n"/>
      <c r="J729" s="31" t="n"/>
      <c r="K729" s="31" t="n"/>
      <c r="L729" s="31" t="n"/>
      <c r="M729" s="31" t="n"/>
      <c r="N729" s="31" t="n"/>
      <c r="O729" s="31" t="n"/>
      <c r="P729" s="31" t="n"/>
      <c r="Q729" s="31" t="n"/>
      <c r="R729" s="31" t="n"/>
      <c r="S729" s="32">
        <f>IF($F729="","",IF(IFERROR(VLOOKUP($F729,'维度字典'!$M$2:$N$50,2,0),"求和")="手工录入","",IF(IFERROR(VLOOKUP($F729,'维度字典'!$M$2:$N$50,2,0),"求和")="最新值",IFERROR(LOOKUP(9.99E+307,G729:R729),""),SUM(G729:R729))))</f>
        <v/>
      </c>
      <c r="T729" s="33" t="n"/>
    </row>
    <row r="730">
      <c r="A730" s="26">
        <f>IF($B730="","",ROW()-3)</f>
        <v/>
      </c>
      <c r="B730" s="27" t="n"/>
      <c r="C730" s="27" t="n"/>
      <c r="D730" s="28" t="n"/>
      <c r="E730" s="29" t="n"/>
      <c r="F730" s="30" t="n"/>
      <c r="G730" s="31" t="n"/>
      <c r="H730" s="31" t="n"/>
      <c r="I730" s="31" t="n"/>
      <c r="J730" s="31" t="n"/>
      <c r="K730" s="31" t="n"/>
      <c r="L730" s="31" t="n"/>
      <c r="M730" s="31" t="n"/>
      <c r="N730" s="31" t="n"/>
      <c r="O730" s="31" t="n"/>
      <c r="P730" s="31" t="n"/>
      <c r="Q730" s="31" t="n"/>
      <c r="R730" s="31" t="n"/>
      <c r="S730" s="32">
        <f>IF($F730="","",IF(IFERROR(VLOOKUP($F730,'维度字典'!$M$2:$N$50,2,0),"求和")="手工录入","",IF(IFERROR(VLOOKUP($F730,'维度字典'!$M$2:$N$50,2,0),"求和")="最新值",IFERROR(LOOKUP(9.99E+307,G730:R730),""),SUM(G730:R730))))</f>
        <v/>
      </c>
      <c r="T730" s="33" t="n"/>
    </row>
    <row r="731">
      <c r="A731" s="26">
        <f>IF($B731="","",ROW()-3)</f>
        <v/>
      </c>
      <c r="B731" s="27" t="n"/>
      <c r="C731" s="27" t="n"/>
      <c r="D731" s="28" t="n"/>
      <c r="E731" s="29" t="n"/>
      <c r="F731" s="30" t="n"/>
      <c r="G731" s="31" t="n"/>
      <c r="H731" s="31" t="n"/>
      <c r="I731" s="31" t="n"/>
      <c r="J731" s="31" t="n"/>
      <c r="K731" s="31" t="n"/>
      <c r="L731" s="31" t="n"/>
      <c r="M731" s="31" t="n"/>
      <c r="N731" s="31" t="n"/>
      <c r="O731" s="31" t="n"/>
      <c r="P731" s="31" t="n"/>
      <c r="Q731" s="31" t="n"/>
      <c r="R731" s="31" t="n"/>
      <c r="S731" s="32">
        <f>IF($F731="","",IF(IFERROR(VLOOKUP($F731,'维度字典'!$M$2:$N$50,2,0),"求和")="手工录入","",IF(IFERROR(VLOOKUP($F731,'维度字典'!$M$2:$N$50,2,0),"求和")="最新值",IFERROR(LOOKUP(9.99E+307,G731:R731),""),SUM(G731:R731))))</f>
        <v/>
      </c>
      <c r="T731" s="33" t="n"/>
    </row>
    <row r="732">
      <c r="A732" s="26">
        <f>IF($B732="","",ROW()-3)</f>
        <v/>
      </c>
      <c r="B732" s="27" t="n"/>
      <c r="C732" s="27" t="n"/>
      <c r="D732" s="28" t="n"/>
      <c r="E732" s="29" t="n"/>
      <c r="F732" s="30" t="n"/>
      <c r="G732" s="31" t="n"/>
      <c r="H732" s="31" t="n"/>
      <c r="I732" s="31" t="n"/>
      <c r="J732" s="31" t="n"/>
      <c r="K732" s="31" t="n"/>
      <c r="L732" s="31" t="n"/>
      <c r="M732" s="31" t="n"/>
      <c r="N732" s="31" t="n"/>
      <c r="O732" s="31" t="n"/>
      <c r="P732" s="31" t="n"/>
      <c r="Q732" s="31" t="n"/>
      <c r="R732" s="31" t="n"/>
      <c r="S732" s="32">
        <f>IF($F732="","",IF(IFERROR(VLOOKUP($F732,'维度字典'!$M$2:$N$50,2,0),"求和")="手工录入","",IF(IFERROR(VLOOKUP($F732,'维度字典'!$M$2:$N$50,2,0),"求和")="最新值",IFERROR(LOOKUP(9.99E+307,G732:R732),""),SUM(G732:R732))))</f>
        <v/>
      </c>
      <c r="T732" s="33" t="n"/>
    </row>
    <row r="733">
      <c r="A733" s="26">
        <f>IF($B733="","",ROW()-3)</f>
        <v/>
      </c>
      <c r="B733" s="27" t="n"/>
      <c r="C733" s="27" t="n"/>
      <c r="D733" s="28" t="n"/>
      <c r="E733" s="29" t="n"/>
      <c r="F733" s="30" t="n"/>
      <c r="G733" s="31" t="n"/>
      <c r="H733" s="31" t="n"/>
      <c r="I733" s="31" t="n"/>
      <c r="J733" s="31" t="n"/>
      <c r="K733" s="31" t="n"/>
      <c r="L733" s="31" t="n"/>
      <c r="M733" s="31" t="n"/>
      <c r="N733" s="31" t="n"/>
      <c r="O733" s="31" t="n"/>
      <c r="P733" s="31" t="n"/>
      <c r="Q733" s="31" t="n"/>
      <c r="R733" s="31" t="n"/>
      <c r="S733" s="32">
        <f>IF($F733="","",IF(IFERROR(VLOOKUP($F733,'维度字典'!$M$2:$N$50,2,0),"求和")="手工录入","",IF(IFERROR(VLOOKUP($F733,'维度字典'!$M$2:$N$50,2,0),"求和")="最新值",IFERROR(LOOKUP(9.99E+307,G733:R733),""),SUM(G733:R733))))</f>
        <v/>
      </c>
      <c r="T733" s="33" t="n"/>
    </row>
    <row r="734">
      <c r="A734" s="26">
        <f>IF($B734="","",ROW()-3)</f>
        <v/>
      </c>
      <c r="B734" s="27" t="n"/>
      <c r="C734" s="27" t="n"/>
      <c r="D734" s="28" t="n"/>
      <c r="E734" s="29" t="n"/>
      <c r="F734" s="30" t="n"/>
      <c r="G734" s="31" t="n"/>
      <c r="H734" s="31" t="n"/>
      <c r="I734" s="31" t="n"/>
      <c r="J734" s="31" t="n"/>
      <c r="K734" s="31" t="n"/>
      <c r="L734" s="31" t="n"/>
      <c r="M734" s="31" t="n"/>
      <c r="N734" s="31" t="n"/>
      <c r="O734" s="31" t="n"/>
      <c r="P734" s="31" t="n"/>
      <c r="Q734" s="31" t="n"/>
      <c r="R734" s="31" t="n"/>
      <c r="S734" s="32">
        <f>IF($F734="","",IF(IFERROR(VLOOKUP($F734,'维度字典'!$M$2:$N$50,2,0),"求和")="手工录入","",IF(IFERROR(VLOOKUP($F734,'维度字典'!$M$2:$N$50,2,0),"求和")="最新值",IFERROR(LOOKUP(9.99E+307,G734:R734),""),SUM(G734:R734))))</f>
        <v/>
      </c>
      <c r="T734" s="33" t="n"/>
    </row>
    <row r="735">
      <c r="A735" s="26">
        <f>IF($B735="","",ROW()-3)</f>
        <v/>
      </c>
      <c r="B735" s="27" t="n"/>
      <c r="C735" s="27" t="n"/>
      <c r="D735" s="28" t="n"/>
      <c r="E735" s="29" t="n"/>
      <c r="F735" s="30" t="n"/>
      <c r="G735" s="31" t="n"/>
      <c r="H735" s="31" t="n"/>
      <c r="I735" s="31" t="n"/>
      <c r="J735" s="31" t="n"/>
      <c r="K735" s="31" t="n"/>
      <c r="L735" s="31" t="n"/>
      <c r="M735" s="31" t="n"/>
      <c r="N735" s="31" t="n"/>
      <c r="O735" s="31" t="n"/>
      <c r="P735" s="31" t="n"/>
      <c r="Q735" s="31" t="n"/>
      <c r="R735" s="31" t="n"/>
      <c r="S735" s="32">
        <f>IF($F735="","",IF(IFERROR(VLOOKUP($F735,'维度字典'!$M$2:$N$50,2,0),"求和")="手工录入","",IF(IFERROR(VLOOKUP($F735,'维度字典'!$M$2:$N$50,2,0),"求和")="最新值",IFERROR(LOOKUP(9.99E+307,G735:R735),""),SUM(G735:R735))))</f>
        <v/>
      </c>
      <c r="T735" s="33" t="n"/>
    </row>
    <row r="736">
      <c r="A736" s="26">
        <f>IF($B736="","",ROW()-3)</f>
        <v/>
      </c>
      <c r="B736" s="27" t="n"/>
      <c r="C736" s="27" t="n"/>
      <c r="D736" s="28" t="n"/>
      <c r="E736" s="29" t="n"/>
      <c r="F736" s="30" t="n"/>
      <c r="G736" s="31" t="n"/>
      <c r="H736" s="31" t="n"/>
      <c r="I736" s="31" t="n"/>
      <c r="J736" s="31" t="n"/>
      <c r="K736" s="31" t="n"/>
      <c r="L736" s="31" t="n"/>
      <c r="M736" s="31" t="n"/>
      <c r="N736" s="31" t="n"/>
      <c r="O736" s="31" t="n"/>
      <c r="P736" s="31" t="n"/>
      <c r="Q736" s="31" t="n"/>
      <c r="R736" s="31" t="n"/>
      <c r="S736" s="32">
        <f>IF($F736="","",IF(IFERROR(VLOOKUP($F736,'维度字典'!$M$2:$N$50,2,0),"求和")="手工录入","",IF(IFERROR(VLOOKUP($F736,'维度字典'!$M$2:$N$50,2,0),"求和")="最新值",IFERROR(LOOKUP(9.99E+307,G736:R736),""),SUM(G736:R736))))</f>
        <v/>
      </c>
      <c r="T736" s="33" t="n"/>
    </row>
    <row r="737">
      <c r="A737" s="26">
        <f>IF($B737="","",ROW()-3)</f>
        <v/>
      </c>
      <c r="B737" s="27" t="n"/>
      <c r="C737" s="27" t="n"/>
      <c r="D737" s="28" t="n"/>
      <c r="E737" s="29" t="n"/>
      <c r="F737" s="30" t="n"/>
      <c r="G737" s="31" t="n"/>
      <c r="H737" s="31" t="n"/>
      <c r="I737" s="31" t="n"/>
      <c r="J737" s="31" t="n"/>
      <c r="K737" s="31" t="n"/>
      <c r="L737" s="31" t="n"/>
      <c r="M737" s="31" t="n"/>
      <c r="N737" s="31" t="n"/>
      <c r="O737" s="31" t="n"/>
      <c r="P737" s="31" t="n"/>
      <c r="Q737" s="31" t="n"/>
      <c r="R737" s="31" t="n"/>
      <c r="S737" s="32">
        <f>IF($F737="","",IF(IFERROR(VLOOKUP($F737,'维度字典'!$M$2:$N$50,2,0),"求和")="手工录入","",IF(IFERROR(VLOOKUP($F737,'维度字典'!$M$2:$N$50,2,0),"求和")="最新值",IFERROR(LOOKUP(9.99E+307,G737:R737),""),SUM(G737:R737))))</f>
        <v/>
      </c>
      <c r="T737" s="33" t="n"/>
    </row>
    <row r="738">
      <c r="A738" s="26">
        <f>IF($B738="","",ROW()-3)</f>
        <v/>
      </c>
      <c r="B738" s="27" t="n"/>
      <c r="C738" s="27" t="n"/>
      <c r="D738" s="28" t="n"/>
      <c r="E738" s="29" t="n"/>
      <c r="F738" s="30" t="n"/>
      <c r="G738" s="31" t="n"/>
      <c r="H738" s="31" t="n"/>
      <c r="I738" s="31" t="n"/>
      <c r="J738" s="31" t="n"/>
      <c r="K738" s="31" t="n"/>
      <c r="L738" s="31" t="n"/>
      <c r="M738" s="31" t="n"/>
      <c r="N738" s="31" t="n"/>
      <c r="O738" s="31" t="n"/>
      <c r="P738" s="31" t="n"/>
      <c r="Q738" s="31" t="n"/>
      <c r="R738" s="31" t="n"/>
      <c r="S738" s="32">
        <f>IF($F738="","",IF(IFERROR(VLOOKUP($F738,'维度字典'!$M$2:$N$50,2,0),"求和")="手工录入","",IF(IFERROR(VLOOKUP($F738,'维度字典'!$M$2:$N$50,2,0),"求和")="最新值",IFERROR(LOOKUP(9.99E+307,G738:R738),""),SUM(G738:R738))))</f>
        <v/>
      </c>
      <c r="T738" s="33" t="n"/>
    </row>
    <row r="739">
      <c r="A739" s="26">
        <f>IF($B739="","",ROW()-3)</f>
        <v/>
      </c>
      <c r="B739" s="27" t="n"/>
      <c r="C739" s="27" t="n"/>
      <c r="D739" s="28" t="n"/>
      <c r="E739" s="29" t="n"/>
      <c r="F739" s="30" t="n"/>
      <c r="G739" s="31" t="n"/>
      <c r="H739" s="31" t="n"/>
      <c r="I739" s="31" t="n"/>
      <c r="J739" s="31" t="n"/>
      <c r="K739" s="31" t="n"/>
      <c r="L739" s="31" t="n"/>
      <c r="M739" s="31" t="n"/>
      <c r="N739" s="31" t="n"/>
      <c r="O739" s="31" t="n"/>
      <c r="P739" s="31" t="n"/>
      <c r="Q739" s="31" t="n"/>
      <c r="R739" s="31" t="n"/>
      <c r="S739" s="32">
        <f>IF($F739="","",IF(IFERROR(VLOOKUP($F739,'维度字典'!$M$2:$N$50,2,0),"求和")="手工录入","",IF(IFERROR(VLOOKUP($F739,'维度字典'!$M$2:$N$50,2,0),"求和")="最新值",IFERROR(LOOKUP(9.99E+307,G739:R739),""),SUM(G739:R739))))</f>
        <v/>
      </c>
      <c r="T739" s="33" t="n"/>
    </row>
    <row r="740">
      <c r="A740" s="26">
        <f>IF($B740="","",ROW()-3)</f>
        <v/>
      </c>
      <c r="B740" s="27" t="n"/>
      <c r="C740" s="27" t="n"/>
      <c r="D740" s="28" t="n"/>
      <c r="E740" s="29" t="n"/>
      <c r="F740" s="30" t="n"/>
      <c r="G740" s="31" t="n"/>
      <c r="H740" s="31" t="n"/>
      <c r="I740" s="31" t="n"/>
      <c r="J740" s="31" t="n"/>
      <c r="K740" s="31" t="n"/>
      <c r="L740" s="31" t="n"/>
      <c r="M740" s="31" t="n"/>
      <c r="N740" s="31" t="n"/>
      <c r="O740" s="31" t="n"/>
      <c r="P740" s="31" t="n"/>
      <c r="Q740" s="31" t="n"/>
      <c r="R740" s="31" t="n"/>
      <c r="S740" s="32">
        <f>IF($F740="","",IF(IFERROR(VLOOKUP($F740,'维度字典'!$M$2:$N$50,2,0),"求和")="手工录入","",IF(IFERROR(VLOOKUP($F740,'维度字典'!$M$2:$N$50,2,0),"求和")="最新值",IFERROR(LOOKUP(9.99E+307,G740:R740),""),SUM(G740:R740))))</f>
        <v/>
      </c>
      <c r="T740" s="33" t="n"/>
    </row>
    <row r="741">
      <c r="A741" s="26">
        <f>IF($B741="","",ROW()-3)</f>
        <v/>
      </c>
      <c r="B741" s="27" t="n"/>
      <c r="C741" s="27" t="n"/>
      <c r="D741" s="28" t="n"/>
      <c r="E741" s="29" t="n"/>
      <c r="F741" s="30" t="n"/>
      <c r="G741" s="31" t="n"/>
      <c r="H741" s="31" t="n"/>
      <c r="I741" s="31" t="n"/>
      <c r="J741" s="31" t="n"/>
      <c r="K741" s="31" t="n"/>
      <c r="L741" s="31" t="n"/>
      <c r="M741" s="31" t="n"/>
      <c r="N741" s="31" t="n"/>
      <c r="O741" s="31" t="n"/>
      <c r="P741" s="31" t="n"/>
      <c r="Q741" s="31" t="n"/>
      <c r="R741" s="31" t="n"/>
      <c r="S741" s="32">
        <f>IF($F741="","",IF(IFERROR(VLOOKUP($F741,'维度字典'!$M$2:$N$50,2,0),"求和")="手工录入","",IF(IFERROR(VLOOKUP($F741,'维度字典'!$M$2:$N$50,2,0),"求和")="最新值",IFERROR(LOOKUP(9.99E+307,G741:R741),""),SUM(G741:R741))))</f>
        <v/>
      </c>
      <c r="T741" s="33" t="n"/>
    </row>
    <row r="742">
      <c r="A742" s="26">
        <f>IF($B742="","",ROW()-3)</f>
        <v/>
      </c>
      <c r="B742" s="27" t="n"/>
      <c r="C742" s="27" t="n"/>
      <c r="D742" s="28" t="n"/>
      <c r="E742" s="29" t="n"/>
      <c r="F742" s="30" t="n"/>
      <c r="G742" s="31" t="n"/>
      <c r="H742" s="31" t="n"/>
      <c r="I742" s="31" t="n"/>
      <c r="J742" s="31" t="n"/>
      <c r="K742" s="31" t="n"/>
      <c r="L742" s="31" t="n"/>
      <c r="M742" s="31" t="n"/>
      <c r="N742" s="31" t="n"/>
      <c r="O742" s="31" t="n"/>
      <c r="P742" s="31" t="n"/>
      <c r="Q742" s="31" t="n"/>
      <c r="R742" s="31" t="n"/>
      <c r="S742" s="32">
        <f>IF($F742="","",IF(IFERROR(VLOOKUP($F742,'维度字典'!$M$2:$N$50,2,0),"求和")="手工录入","",IF(IFERROR(VLOOKUP($F742,'维度字典'!$M$2:$N$50,2,0),"求和")="最新值",IFERROR(LOOKUP(9.99E+307,G742:R742),""),SUM(G742:R742))))</f>
        <v/>
      </c>
      <c r="T742" s="33" t="n"/>
    </row>
    <row r="743">
      <c r="A743" s="26">
        <f>IF($B743="","",ROW()-3)</f>
        <v/>
      </c>
      <c r="B743" s="27" t="n"/>
      <c r="C743" s="27" t="n"/>
      <c r="D743" s="28" t="n"/>
      <c r="E743" s="29" t="n"/>
      <c r="F743" s="30" t="n"/>
      <c r="G743" s="31" t="n"/>
      <c r="H743" s="31" t="n"/>
      <c r="I743" s="31" t="n"/>
      <c r="J743" s="31" t="n"/>
      <c r="K743" s="31" t="n"/>
      <c r="L743" s="31" t="n"/>
      <c r="M743" s="31" t="n"/>
      <c r="N743" s="31" t="n"/>
      <c r="O743" s="31" t="n"/>
      <c r="P743" s="31" t="n"/>
      <c r="Q743" s="31" t="n"/>
      <c r="R743" s="31" t="n"/>
      <c r="S743" s="32">
        <f>IF($F743="","",IF(IFERROR(VLOOKUP($F743,'维度字典'!$M$2:$N$50,2,0),"求和")="手工录入","",IF(IFERROR(VLOOKUP($F743,'维度字典'!$M$2:$N$50,2,0),"求和")="最新值",IFERROR(LOOKUP(9.99E+307,G743:R743),""),SUM(G743:R743))))</f>
        <v/>
      </c>
      <c r="T743" s="33" t="n"/>
    </row>
    <row r="744">
      <c r="A744" s="26">
        <f>IF($B744="","",ROW()-3)</f>
        <v/>
      </c>
      <c r="B744" s="27" t="n"/>
      <c r="C744" s="27" t="n"/>
      <c r="D744" s="28" t="n"/>
      <c r="E744" s="29" t="n"/>
      <c r="F744" s="30" t="n"/>
      <c r="G744" s="31" t="n"/>
      <c r="H744" s="31" t="n"/>
      <c r="I744" s="31" t="n"/>
      <c r="J744" s="31" t="n"/>
      <c r="K744" s="31" t="n"/>
      <c r="L744" s="31" t="n"/>
      <c r="M744" s="31" t="n"/>
      <c r="N744" s="31" t="n"/>
      <c r="O744" s="31" t="n"/>
      <c r="P744" s="31" t="n"/>
      <c r="Q744" s="31" t="n"/>
      <c r="R744" s="31" t="n"/>
      <c r="S744" s="32">
        <f>IF($F744="","",IF(IFERROR(VLOOKUP($F744,'维度字典'!$M$2:$N$50,2,0),"求和")="手工录入","",IF(IFERROR(VLOOKUP($F744,'维度字典'!$M$2:$N$50,2,0),"求和")="最新值",IFERROR(LOOKUP(9.99E+307,G744:R744),""),SUM(G744:R744))))</f>
        <v/>
      </c>
      <c r="T744" s="33" t="n"/>
    </row>
    <row r="745">
      <c r="A745" s="26">
        <f>IF($B745="","",ROW()-3)</f>
        <v/>
      </c>
      <c r="B745" s="27" t="n"/>
      <c r="C745" s="27" t="n"/>
      <c r="D745" s="28" t="n"/>
      <c r="E745" s="29" t="n"/>
      <c r="F745" s="30" t="n"/>
      <c r="G745" s="31" t="n"/>
      <c r="H745" s="31" t="n"/>
      <c r="I745" s="31" t="n"/>
      <c r="J745" s="31" t="n"/>
      <c r="K745" s="31" t="n"/>
      <c r="L745" s="31" t="n"/>
      <c r="M745" s="31" t="n"/>
      <c r="N745" s="31" t="n"/>
      <c r="O745" s="31" t="n"/>
      <c r="P745" s="31" t="n"/>
      <c r="Q745" s="31" t="n"/>
      <c r="R745" s="31" t="n"/>
      <c r="S745" s="32">
        <f>IF($F745="","",IF(IFERROR(VLOOKUP($F745,'维度字典'!$M$2:$N$50,2,0),"求和")="手工录入","",IF(IFERROR(VLOOKUP($F745,'维度字典'!$M$2:$N$50,2,0),"求和")="最新值",IFERROR(LOOKUP(9.99E+307,G745:R745),""),SUM(G745:R745))))</f>
        <v/>
      </c>
      <c r="T745" s="33" t="n"/>
    </row>
    <row r="746">
      <c r="A746" s="26">
        <f>IF($B746="","",ROW()-3)</f>
        <v/>
      </c>
      <c r="B746" s="27" t="n"/>
      <c r="C746" s="27" t="n"/>
      <c r="D746" s="28" t="n"/>
      <c r="E746" s="29" t="n"/>
      <c r="F746" s="30" t="n"/>
      <c r="G746" s="31" t="n"/>
      <c r="H746" s="31" t="n"/>
      <c r="I746" s="31" t="n"/>
      <c r="J746" s="31" t="n"/>
      <c r="K746" s="31" t="n"/>
      <c r="L746" s="31" t="n"/>
      <c r="M746" s="31" t="n"/>
      <c r="N746" s="31" t="n"/>
      <c r="O746" s="31" t="n"/>
      <c r="P746" s="31" t="n"/>
      <c r="Q746" s="31" t="n"/>
      <c r="R746" s="31" t="n"/>
      <c r="S746" s="32">
        <f>IF($F746="","",IF(IFERROR(VLOOKUP($F746,'维度字典'!$M$2:$N$50,2,0),"求和")="手工录入","",IF(IFERROR(VLOOKUP($F746,'维度字典'!$M$2:$N$50,2,0),"求和")="最新值",IFERROR(LOOKUP(9.99E+307,G746:R746),""),SUM(G746:R746))))</f>
        <v/>
      </c>
      <c r="T746" s="33" t="n"/>
    </row>
    <row r="747">
      <c r="A747" s="26">
        <f>IF($B747="","",ROW()-3)</f>
        <v/>
      </c>
      <c r="B747" s="27" t="n"/>
      <c r="C747" s="27" t="n"/>
      <c r="D747" s="28" t="n"/>
      <c r="E747" s="29" t="n"/>
      <c r="F747" s="30" t="n"/>
      <c r="G747" s="31" t="n"/>
      <c r="H747" s="31" t="n"/>
      <c r="I747" s="31" t="n"/>
      <c r="J747" s="31" t="n"/>
      <c r="K747" s="31" t="n"/>
      <c r="L747" s="31" t="n"/>
      <c r="M747" s="31" t="n"/>
      <c r="N747" s="31" t="n"/>
      <c r="O747" s="31" t="n"/>
      <c r="P747" s="31" t="n"/>
      <c r="Q747" s="31" t="n"/>
      <c r="R747" s="31" t="n"/>
      <c r="S747" s="32">
        <f>IF($F747="","",IF(IFERROR(VLOOKUP($F747,'维度字典'!$M$2:$N$50,2,0),"求和")="手工录入","",IF(IFERROR(VLOOKUP($F747,'维度字典'!$M$2:$N$50,2,0),"求和")="最新值",IFERROR(LOOKUP(9.99E+307,G747:R747),""),SUM(G747:R747))))</f>
        <v/>
      </c>
      <c r="T747" s="33" t="n"/>
    </row>
    <row r="748">
      <c r="A748" s="26">
        <f>IF($B748="","",ROW()-3)</f>
        <v/>
      </c>
      <c r="B748" s="27" t="n"/>
      <c r="C748" s="27" t="n"/>
      <c r="D748" s="28" t="n"/>
      <c r="E748" s="29" t="n"/>
      <c r="F748" s="30" t="n"/>
      <c r="G748" s="31" t="n"/>
      <c r="H748" s="31" t="n"/>
      <c r="I748" s="31" t="n"/>
      <c r="J748" s="31" t="n"/>
      <c r="K748" s="31" t="n"/>
      <c r="L748" s="31" t="n"/>
      <c r="M748" s="31" t="n"/>
      <c r="N748" s="31" t="n"/>
      <c r="O748" s="31" t="n"/>
      <c r="P748" s="31" t="n"/>
      <c r="Q748" s="31" t="n"/>
      <c r="R748" s="31" t="n"/>
      <c r="S748" s="32">
        <f>IF($F748="","",IF(IFERROR(VLOOKUP($F748,'维度字典'!$M$2:$N$50,2,0),"求和")="手工录入","",IF(IFERROR(VLOOKUP($F748,'维度字典'!$M$2:$N$50,2,0),"求和")="最新值",IFERROR(LOOKUP(9.99E+307,G748:R748),""),SUM(G748:R748))))</f>
        <v/>
      </c>
      <c r="T748" s="33" t="n"/>
    </row>
    <row r="749">
      <c r="A749" s="26">
        <f>IF($B749="","",ROW()-3)</f>
        <v/>
      </c>
      <c r="B749" s="27" t="n"/>
      <c r="C749" s="27" t="n"/>
      <c r="D749" s="28" t="n"/>
      <c r="E749" s="29" t="n"/>
      <c r="F749" s="30" t="n"/>
      <c r="G749" s="31" t="n"/>
      <c r="H749" s="31" t="n"/>
      <c r="I749" s="31" t="n"/>
      <c r="J749" s="31" t="n"/>
      <c r="K749" s="31" t="n"/>
      <c r="L749" s="31" t="n"/>
      <c r="M749" s="31" t="n"/>
      <c r="N749" s="31" t="n"/>
      <c r="O749" s="31" t="n"/>
      <c r="P749" s="31" t="n"/>
      <c r="Q749" s="31" t="n"/>
      <c r="R749" s="31" t="n"/>
      <c r="S749" s="32">
        <f>IF($F749="","",IF(IFERROR(VLOOKUP($F749,'维度字典'!$M$2:$N$50,2,0),"求和")="手工录入","",IF(IFERROR(VLOOKUP($F749,'维度字典'!$M$2:$N$50,2,0),"求和")="最新值",IFERROR(LOOKUP(9.99E+307,G749:R749),""),SUM(G749:R749))))</f>
        <v/>
      </c>
      <c r="T749" s="33" t="n"/>
    </row>
    <row r="750">
      <c r="A750" s="26">
        <f>IF($B750="","",ROW()-3)</f>
        <v/>
      </c>
      <c r="B750" s="27" t="n"/>
      <c r="C750" s="27" t="n"/>
      <c r="D750" s="28" t="n"/>
      <c r="E750" s="29" t="n"/>
      <c r="F750" s="30" t="n"/>
      <c r="G750" s="31" t="n"/>
      <c r="H750" s="31" t="n"/>
      <c r="I750" s="31" t="n"/>
      <c r="J750" s="31" t="n"/>
      <c r="K750" s="31" t="n"/>
      <c r="L750" s="31" t="n"/>
      <c r="M750" s="31" t="n"/>
      <c r="N750" s="31" t="n"/>
      <c r="O750" s="31" t="n"/>
      <c r="P750" s="31" t="n"/>
      <c r="Q750" s="31" t="n"/>
      <c r="R750" s="31" t="n"/>
      <c r="S750" s="32">
        <f>IF($F750="","",IF(IFERROR(VLOOKUP($F750,'维度字典'!$M$2:$N$50,2,0),"求和")="手工录入","",IF(IFERROR(VLOOKUP($F750,'维度字典'!$M$2:$N$50,2,0),"求和")="最新值",IFERROR(LOOKUP(9.99E+307,G750:R750),""),SUM(G750:R750))))</f>
        <v/>
      </c>
      <c r="T750" s="33" t="n"/>
    </row>
    <row r="751">
      <c r="A751" s="26">
        <f>IF($B751="","",ROW()-3)</f>
        <v/>
      </c>
      <c r="B751" s="27" t="n"/>
      <c r="C751" s="27" t="n"/>
      <c r="D751" s="28" t="n"/>
      <c r="E751" s="29" t="n"/>
      <c r="F751" s="30" t="n"/>
      <c r="G751" s="31" t="n"/>
      <c r="H751" s="31" t="n"/>
      <c r="I751" s="31" t="n"/>
      <c r="J751" s="31" t="n"/>
      <c r="K751" s="31" t="n"/>
      <c r="L751" s="31" t="n"/>
      <c r="M751" s="31" t="n"/>
      <c r="N751" s="31" t="n"/>
      <c r="O751" s="31" t="n"/>
      <c r="P751" s="31" t="n"/>
      <c r="Q751" s="31" t="n"/>
      <c r="R751" s="31" t="n"/>
      <c r="S751" s="32">
        <f>IF($F751="","",IF(IFERROR(VLOOKUP($F751,'维度字典'!$M$2:$N$50,2,0),"求和")="手工录入","",IF(IFERROR(VLOOKUP($F751,'维度字典'!$M$2:$N$50,2,0),"求和")="最新值",IFERROR(LOOKUP(9.99E+307,G751:R751),""),SUM(G751:R751))))</f>
        <v/>
      </c>
      <c r="T751" s="33" t="n"/>
    </row>
    <row r="752">
      <c r="A752" s="26">
        <f>IF($B752="","",ROW()-3)</f>
        <v/>
      </c>
      <c r="B752" s="27" t="n"/>
      <c r="C752" s="27" t="n"/>
      <c r="D752" s="28" t="n"/>
      <c r="E752" s="29" t="n"/>
      <c r="F752" s="30" t="n"/>
      <c r="G752" s="31" t="n"/>
      <c r="H752" s="31" t="n"/>
      <c r="I752" s="31" t="n"/>
      <c r="J752" s="31" t="n"/>
      <c r="K752" s="31" t="n"/>
      <c r="L752" s="31" t="n"/>
      <c r="M752" s="31" t="n"/>
      <c r="N752" s="31" t="n"/>
      <c r="O752" s="31" t="n"/>
      <c r="P752" s="31" t="n"/>
      <c r="Q752" s="31" t="n"/>
      <c r="R752" s="31" t="n"/>
      <c r="S752" s="32">
        <f>IF($F752="","",IF(IFERROR(VLOOKUP($F752,'维度字典'!$M$2:$N$50,2,0),"求和")="手工录入","",IF(IFERROR(VLOOKUP($F752,'维度字典'!$M$2:$N$50,2,0),"求和")="最新值",IFERROR(LOOKUP(9.99E+307,G752:R752),""),SUM(G752:R752))))</f>
        <v/>
      </c>
      <c r="T752" s="33" t="n"/>
    </row>
    <row r="753">
      <c r="A753" s="26">
        <f>IF($B753="","",ROW()-3)</f>
        <v/>
      </c>
      <c r="B753" s="27" t="n"/>
      <c r="C753" s="27" t="n"/>
      <c r="D753" s="28" t="n"/>
      <c r="E753" s="29" t="n"/>
      <c r="F753" s="30" t="n"/>
      <c r="G753" s="31" t="n"/>
      <c r="H753" s="31" t="n"/>
      <c r="I753" s="31" t="n"/>
      <c r="J753" s="31" t="n"/>
      <c r="K753" s="31" t="n"/>
      <c r="L753" s="31" t="n"/>
      <c r="M753" s="31" t="n"/>
      <c r="N753" s="31" t="n"/>
      <c r="O753" s="31" t="n"/>
      <c r="P753" s="31" t="n"/>
      <c r="Q753" s="31" t="n"/>
      <c r="R753" s="31" t="n"/>
      <c r="S753" s="32">
        <f>IF($F753="","",IF(IFERROR(VLOOKUP($F753,'维度字典'!$M$2:$N$50,2,0),"求和")="手工录入","",IF(IFERROR(VLOOKUP($F753,'维度字典'!$M$2:$N$50,2,0),"求和")="最新值",IFERROR(LOOKUP(9.99E+307,G753:R753),""),SUM(G753:R753))))</f>
        <v/>
      </c>
      <c r="T753" s="33" t="n"/>
    </row>
    <row r="754">
      <c r="A754" s="26">
        <f>IF($B754="","",ROW()-3)</f>
        <v/>
      </c>
      <c r="B754" s="27" t="n"/>
      <c r="C754" s="27" t="n"/>
      <c r="D754" s="28" t="n"/>
      <c r="E754" s="29" t="n"/>
      <c r="F754" s="30" t="n"/>
      <c r="G754" s="31" t="n"/>
      <c r="H754" s="31" t="n"/>
      <c r="I754" s="31" t="n"/>
      <c r="J754" s="31" t="n"/>
      <c r="K754" s="31" t="n"/>
      <c r="L754" s="31" t="n"/>
      <c r="M754" s="31" t="n"/>
      <c r="N754" s="31" t="n"/>
      <c r="O754" s="31" t="n"/>
      <c r="P754" s="31" t="n"/>
      <c r="Q754" s="31" t="n"/>
      <c r="R754" s="31" t="n"/>
      <c r="S754" s="32">
        <f>IF($F754="","",IF(IFERROR(VLOOKUP($F754,'维度字典'!$M$2:$N$50,2,0),"求和")="手工录入","",IF(IFERROR(VLOOKUP($F754,'维度字典'!$M$2:$N$50,2,0),"求和")="最新值",IFERROR(LOOKUP(9.99E+307,G754:R754),""),SUM(G754:R754))))</f>
        <v/>
      </c>
      <c r="T754" s="33" t="n"/>
    </row>
    <row r="755">
      <c r="A755" s="26">
        <f>IF($B755="","",ROW()-3)</f>
        <v/>
      </c>
      <c r="B755" s="27" t="n"/>
      <c r="C755" s="27" t="n"/>
      <c r="D755" s="28" t="n"/>
      <c r="E755" s="29" t="n"/>
      <c r="F755" s="30" t="n"/>
      <c r="G755" s="31" t="n"/>
      <c r="H755" s="31" t="n"/>
      <c r="I755" s="31" t="n"/>
      <c r="J755" s="31" t="n"/>
      <c r="K755" s="31" t="n"/>
      <c r="L755" s="31" t="n"/>
      <c r="M755" s="31" t="n"/>
      <c r="N755" s="31" t="n"/>
      <c r="O755" s="31" t="n"/>
      <c r="P755" s="31" t="n"/>
      <c r="Q755" s="31" t="n"/>
      <c r="R755" s="31" t="n"/>
      <c r="S755" s="32">
        <f>IF($F755="","",IF(IFERROR(VLOOKUP($F755,'维度字典'!$M$2:$N$50,2,0),"求和")="手工录入","",IF(IFERROR(VLOOKUP($F755,'维度字典'!$M$2:$N$50,2,0),"求和")="最新值",IFERROR(LOOKUP(9.99E+307,G755:R755),""),SUM(G755:R755))))</f>
        <v/>
      </c>
      <c r="T755" s="33" t="n"/>
    </row>
    <row r="756">
      <c r="A756" s="26">
        <f>IF($B756="","",ROW()-3)</f>
        <v/>
      </c>
      <c r="B756" s="27" t="n"/>
      <c r="C756" s="27" t="n"/>
      <c r="D756" s="28" t="n"/>
      <c r="E756" s="29" t="n"/>
      <c r="F756" s="30" t="n"/>
      <c r="G756" s="31" t="n"/>
      <c r="H756" s="31" t="n"/>
      <c r="I756" s="31" t="n"/>
      <c r="J756" s="31" t="n"/>
      <c r="K756" s="31" t="n"/>
      <c r="L756" s="31" t="n"/>
      <c r="M756" s="31" t="n"/>
      <c r="N756" s="31" t="n"/>
      <c r="O756" s="31" t="n"/>
      <c r="P756" s="31" t="n"/>
      <c r="Q756" s="31" t="n"/>
      <c r="R756" s="31" t="n"/>
      <c r="S756" s="32">
        <f>IF($F756="","",IF(IFERROR(VLOOKUP($F756,'维度字典'!$M$2:$N$50,2,0),"求和")="手工录入","",IF(IFERROR(VLOOKUP($F756,'维度字典'!$M$2:$N$50,2,0),"求和")="最新值",IFERROR(LOOKUP(9.99E+307,G756:R756),""),SUM(G756:R756))))</f>
        <v/>
      </c>
      <c r="T756" s="33" t="n"/>
    </row>
    <row r="757">
      <c r="A757" s="26">
        <f>IF($B757="","",ROW()-3)</f>
        <v/>
      </c>
      <c r="B757" s="27" t="n"/>
      <c r="C757" s="27" t="n"/>
      <c r="D757" s="28" t="n"/>
      <c r="E757" s="29" t="n"/>
      <c r="F757" s="30" t="n"/>
      <c r="G757" s="31" t="n"/>
      <c r="H757" s="31" t="n"/>
      <c r="I757" s="31" t="n"/>
      <c r="J757" s="31" t="n"/>
      <c r="K757" s="31" t="n"/>
      <c r="L757" s="31" t="n"/>
      <c r="M757" s="31" t="n"/>
      <c r="N757" s="31" t="n"/>
      <c r="O757" s="31" t="n"/>
      <c r="P757" s="31" t="n"/>
      <c r="Q757" s="31" t="n"/>
      <c r="R757" s="31" t="n"/>
      <c r="S757" s="32">
        <f>IF($F757="","",IF(IFERROR(VLOOKUP($F757,'维度字典'!$M$2:$N$50,2,0),"求和")="手工录入","",IF(IFERROR(VLOOKUP($F757,'维度字典'!$M$2:$N$50,2,0),"求和")="最新值",IFERROR(LOOKUP(9.99E+307,G757:R757),""),SUM(G757:R757))))</f>
        <v/>
      </c>
      <c r="T757" s="33" t="n"/>
    </row>
    <row r="758">
      <c r="A758" s="26">
        <f>IF($B758="","",ROW()-3)</f>
        <v/>
      </c>
      <c r="B758" s="27" t="n"/>
      <c r="C758" s="27" t="n"/>
      <c r="D758" s="28" t="n"/>
      <c r="E758" s="29" t="n"/>
      <c r="F758" s="30" t="n"/>
      <c r="G758" s="31" t="n"/>
      <c r="H758" s="31" t="n"/>
      <c r="I758" s="31" t="n"/>
      <c r="J758" s="31" t="n"/>
      <c r="K758" s="31" t="n"/>
      <c r="L758" s="31" t="n"/>
      <c r="M758" s="31" t="n"/>
      <c r="N758" s="31" t="n"/>
      <c r="O758" s="31" t="n"/>
      <c r="P758" s="31" t="n"/>
      <c r="Q758" s="31" t="n"/>
      <c r="R758" s="31" t="n"/>
      <c r="S758" s="32">
        <f>IF($F758="","",IF(IFERROR(VLOOKUP($F758,'维度字典'!$M$2:$N$50,2,0),"求和")="手工录入","",IF(IFERROR(VLOOKUP($F758,'维度字典'!$M$2:$N$50,2,0),"求和")="最新值",IFERROR(LOOKUP(9.99E+307,G758:R758),""),SUM(G758:R758))))</f>
        <v/>
      </c>
      <c r="T758" s="33" t="n"/>
    </row>
    <row r="759">
      <c r="A759" s="26">
        <f>IF($B759="","",ROW()-3)</f>
        <v/>
      </c>
      <c r="B759" s="27" t="n"/>
      <c r="C759" s="27" t="n"/>
      <c r="D759" s="28" t="n"/>
      <c r="E759" s="29" t="n"/>
      <c r="F759" s="30" t="n"/>
      <c r="G759" s="31" t="n"/>
      <c r="H759" s="31" t="n"/>
      <c r="I759" s="31" t="n"/>
      <c r="J759" s="31" t="n"/>
      <c r="K759" s="31" t="n"/>
      <c r="L759" s="31" t="n"/>
      <c r="M759" s="31" t="n"/>
      <c r="N759" s="31" t="n"/>
      <c r="O759" s="31" t="n"/>
      <c r="P759" s="31" t="n"/>
      <c r="Q759" s="31" t="n"/>
      <c r="R759" s="31" t="n"/>
      <c r="S759" s="32">
        <f>IF($F759="","",IF(IFERROR(VLOOKUP($F759,'维度字典'!$M$2:$N$50,2,0),"求和")="手工录入","",IF(IFERROR(VLOOKUP($F759,'维度字典'!$M$2:$N$50,2,0),"求和")="最新值",IFERROR(LOOKUP(9.99E+307,G759:R759),""),SUM(G759:R759))))</f>
        <v/>
      </c>
      <c r="T759" s="33" t="n"/>
    </row>
    <row r="760">
      <c r="A760" s="26">
        <f>IF($B760="","",ROW()-3)</f>
        <v/>
      </c>
      <c r="B760" s="27" t="n"/>
      <c r="C760" s="27" t="n"/>
      <c r="D760" s="28" t="n"/>
      <c r="E760" s="29" t="n"/>
      <c r="F760" s="30" t="n"/>
      <c r="G760" s="31" t="n"/>
      <c r="H760" s="31" t="n"/>
      <c r="I760" s="31" t="n"/>
      <c r="J760" s="31" t="n"/>
      <c r="K760" s="31" t="n"/>
      <c r="L760" s="31" t="n"/>
      <c r="M760" s="31" t="n"/>
      <c r="N760" s="31" t="n"/>
      <c r="O760" s="31" t="n"/>
      <c r="P760" s="31" t="n"/>
      <c r="Q760" s="31" t="n"/>
      <c r="R760" s="31" t="n"/>
      <c r="S760" s="32">
        <f>IF($F760="","",IF(IFERROR(VLOOKUP($F760,'维度字典'!$M$2:$N$50,2,0),"求和")="手工录入","",IF(IFERROR(VLOOKUP($F760,'维度字典'!$M$2:$N$50,2,0),"求和")="最新值",IFERROR(LOOKUP(9.99E+307,G760:R760),""),SUM(G760:R760))))</f>
        <v/>
      </c>
      <c r="T760" s="33" t="n"/>
    </row>
    <row r="761">
      <c r="A761" s="26">
        <f>IF($B761="","",ROW()-3)</f>
        <v/>
      </c>
      <c r="B761" s="27" t="n"/>
      <c r="C761" s="27" t="n"/>
      <c r="D761" s="28" t="n"/>
      <c r="E761" s="29" t="n"/>
      <c r="F761" s="30" t="n"/>
      <c r="G761" s="31" t="n"/>
      <c r="H761" s="31" t="n"/>
      <c r="I761" s="31" t="n"/>
      <c r="J761" s="31" t="n"/>
      <c r="K761" s="31" t="n"/>
      <c r="L761" s="31" t="n"/>
      <c r="M761" s="31" t="n"/>
      <c r="N761" s="31" t="n"/>
      <c r="O761" s="31" t="n"/>
      <c r="P761" s="31" t="n"/>
      <c r="Q761" s="31" t="n"/>
      <c r="R761" s="31" t="n"/>
      <c r="S761" s="32">
        <f>IF($F761="","",IF(IFERROR(VLOOKUP($F761,'维度字典'!$M$2:$N$50,2,0),"求和")="手工录入","",IF(IFERROR(VLOOKUP($F761,'维度字典'!$M$2:$N$50,2,0),"求和")="最新值",IFERROR(LOOKUP(9.99E+307,G761:R761),""),SUM(G761:R761))))</f>
        <v/>
      </c>
      <c r="T761" s="33" t="n"/>
    </row>
    <row r="762">
      <c r="A762" s="26">
        <f>IF($B762="","",ROW()-3)</f>
        <v/>
      </c>
      <c r="B762" s="27" t="n"/>
      <c r="C762" s="27" t="n"/>
      <c r="D762" s="28" t="n"/>
      <c r="E762" s="29" t="n"/>
      <c r="F762" s="30" t="n"/>
      <c r="G762" s="31" t="n"/>
      <c r="H762" s="31" t="n"/>
      <c r="I762" s="31" t="n"/>
      <c r="J762" s="31" t="n"/>
      <c r="K762" s="31" t="n"/>
      <c r="L762" s="31" t="n"/>
      <c r="M762" s="31" t="n"/>
      <c r="N762" s="31" t="n"/>
      <c r="O762" s="31" t="n"/>
      <c r="P762" s="31" t="n"/>
      <c r="Q762" s="31" t="n"/>
      <c r="R762" s="31" t="n"/>
      <c r="S762" s="32">
        <f>IF($F762="","",IF(IFERROR(VLOOKUP($F762,'维度字典'!$M$2:$N$50,2,0),"求和")="手工录入","",IF(IFERROR(VLOOKUP($F762,'维度字典'!$M$2:$N$50,2,0),"求和")="最新值",IFERROR(LOOKUP(9.99E+307,G762:R762),""),SUM(G762:R762))))</f>
        <v/>
      </c>
      <c r="T762" s="33" t="n"/>
    </row>
    <row r="763">
      <c r="A763" s="26">
        <f>IF($B763="","",ROW()-3)</f>
        <v/>
      </c>
      <c r="B763" s="27" t="n"/>
      <c r="C763" s="27" t="n"/>
      <c r="D763" s="28" t="n"/>
      <c r="E763" s="29" t="n"/>
      <c r="F763" s="30" t="n"/>
      <c r="G763" s="31" t="n"/>
      <c r="H763" s="31" t="n"/>
      <c r="I763" s="31" t="n"/>
      <c r="J763" s="31" t="n"/>
      <c r="K763" s="31" t="n"/>
      <c r="L763" s="31" t="n"/>
      <c r="M763" s="31" t="n"/>
      <c r="N763" s="31" t="n"/>
      <c r="O763" s="31" t="n"/>
      <c r="P763" s="31" t="n"/>
      <c r="Q763" s="31" t="n"/>
      <c r="R763" s="31" t="n"/>
      <c r="S763" s="32">
        <f>IF($F763="","",IF(IFERROR(VLOOKUP($F763,'维度字典'!$M$2:$N$50,2,0),"求和")="手工录入","",IF(IFERROR(VLOOKUP($F763,'维度字典'!$M$2:$N$50,2,0),"求和")="最新值",IFERROR(LOOKUP(9.99E+307,G763:R763),""),SUM(G763:R763))))</f>
        <v/>
      </c>
      <c r="T763" s="33" t="n"/>
    </row>
    <row r="764">
      <c r="A764" s="26">
        <f>IF($B764="","",ROW()-3)</f>
        <v/>
      </c>
      <c r="B764" s="27" t="n"/>
      <c r="C764" s="27" t="n"/>
      <c r="D764" s="28" t="n"/>
      <c r="E764" s="29" t="n"/>
      <c r="F764" s="30" t="n"/>
      <c r="G764" s="31" t="n"/>
      <c r="H764" s="31" t="n"/>
      <c r="I764" s="31" t="n"/>
      <c r="J764" s="31" t="n"/>
      <c r="K764" s="31" t="n"/>
      <c r="L764" s="31" t="n"/>
      <c r="M764" s="31" t="n"/>
      <c r="N764" s="31" t="n"/>
      <c r="O764" s="31" t="n"/>
      <c r="P764" s="31" t="n"/>
      <c r="Q764" s="31" t="n"/>
      <c r="R764" s="31" t="n"/>
      <c r="S764" s="32">
        <f>IF($F764="","",IF(IFERROR(VLOOKUP($F764,'维度字典'!$M$2:$N$50,2,0),"求和")="手工录入","",IF(IFERROR(VLOOKUP($F764,'维度字典'!$M$2:$N$50,2,0),"求和")="最新值",IFERROR(LOOKUP(9.99E+307,G764:R764),""),SUM(G764:R764))))</f>
        <v/>
      </c>
      <c r="T764" s="33" t="n"/>
    </row>
    <row r="765">
      <c r="A765" s="26">
        <f>IF($B765="","",ROW()-3)</f>
        <v/>
      </c>
      <c r="B765" s="27" t="n"/>
      <c r="C765" s="27" t="n"/>
      <c r="D765" s="28" t="n"/>
      <c r="E765" s="29" t="n"/>
      <c r="F765" s="30" t="n"/>
      <c r="G765" s="31" t="n"/>
      <c r="H765" s="31" t="n"/>
      <c r="I765" s="31" t="n"/>
      <c r="J765" s="31" t="n"/>
      <c r="K765" s="31" t="n"/>
      <c r="L765" s="31" t="n"/>
      <c r="M765" s="31" t="n"/>
      <c r="N765" s="31" t="n"/>
      <c r="O765" s="31" t="n"/>
      <c r="P765" s="31" t="n"/>
      <c r="Q765" s="31" t="n"/>
      <c r="R765" s="31" t="n"/>
      <c r="S765" s="32">
        <f>IF($F765="","",IF(IFERROR(VLOOKUP($F765,'维度字典'!$M$2:$N$50,2,0),"求和")="手工录入","",IF(IFERROR(VLOOKUP($F765,'维度字典'!$M$2:$N$50,2,0),"求和")="最新值",IFERROR(LOOKUP(9.99E+307,G765:R765),""),SUM(G765:R765))))</f>
        <v/>
      </c>
      <c r="T765" s="33" t="n"/>
    </row>
    <row r="766">
      <c r="A766" s="26">
        <f>IF($B766="","",ROW()-3)</f>
        <v/>
      </c>
      <c r="B766" s="27" t="n"/>
      <c r="C766" s="27" t="n"/>
      <c r="D766" s="28" t="n"/>
      <c r="E766" s="29" t="n"/>
      <c r="F766" s="30" t="n"/>
      <c r="G766" s="31" t="n"/>
      <c r="H766" s="31" t="n"/>
      <c r="I766" s="31" t="n"/>
      <c r="J766" s="31" t="n"/>
      <c r="K766" s="31" t="n"/>
      <c r="L766" s="31" t="n"/>
      <c r="M766" s="31" t="n"/>
      <c r="N766" s="31" t="n"/>
      <c r="O766" s="31" t="n"/>
      <c r="P766" s="31" t="n"/>
      <c r="Q766" s="31" t="n"/>
      <c r="R766" s="31" t="n"/>
      <c r="S766" s="32">
        <f>IF($F766="","",IF(IFERROR(VLOOKUP($F766,'维度字典'!$M$2:$N$50,2,0),"求和")="手工录入","",IF(IFERROR(VLOOKUP($F766,'维度字典'!$M$2:$N$50,2,0),"求和")="最新值",IFERROR(LOOKUP(9.99E+307,G766:R766),""),SUM(G766:R766))))</f>
        <v/>
      </c>
      <c r="T766" s="33" t="n"/>
    </row>
    <row r="767">
      <c r="A767" s="26">
        <f>IF($B767="","",ROW()-3)</f>
        <v/>
      </c>
      <c r="B767" s="27" t="n"/>
      <c r="C767" s="27" t="n"/>
      <c r="D767" s="28" t="n"/>
      <c r="E767" s="29" t="n"/>
      <c r="F767" s="30" t="n"/>
      <c r="G767" s="31" t="n"/>
      <c r="H767" s="31" t="n"/>
      <c r="I767" s="31" t="n"/>
      <c r="J767" s="31" t="n"/>
      <c r="K767" s="31" t="n"/>
      <c r="L767" s="31" t="n"/>
      <c r="M767" s="31" t="n"/>
      <c r="N767" s="31" t="n"/>
      <c r="O767" s="31" t="n"/>
      <c r="P767" s="31" t="n"/>
      <c r="Q767" s="31" t="n"/>
      <c r="R767" s="31" t="n"/>
      <c r="S767" s="32">
        <f>IF($F767="","",IF(IFERROR(VLOOKUP($F767,'维度字典'!$M$2:$N$50,2,0),"求和")="手工录入","",IF(IFERROR(VLOOKUP($F767,'维度字典'!$M$2:$N$50,2,0),"求和")="最新值",IFERROR(LOOKUP(9.99E+307,G767:R767),""),SUM(G767:R767))))</f>
        <v/>
      </c>
      <c r="T767" s="33" t="n"/>
    </row>
    <row r="768">
      <c r="A768" s="26">
        <f>IF($B768="","",ROW()-3)</f>
        <v/>
      </c>
      <c r="B768" s="27" t="n"/>
      <c r="C768" s="27" t="n"/>
      <c r="D768" s="28" t="n"/>
      <c r="E768" s="29" t="n"/>
      <c r="F768" s="30" t="n"/>
      <c r="G768" s="31" t="n"/>
      <c r="H768" s="31" t="n"/>
      <c r="I768" s="31" t="n"/>
      <c r="J768" s="31" t="n"/>
      <c r="K768" s="31" t="n"/>
      <c r="L768" s="31" t="n"/>
      <c r="M768" s="31" t="n"/>
      <c r="N768" s="31" t="n"/>
      <c r="O768" s="31" t="n"/>
      <c r="P768" s="31" t="n"/>
      <c r="Q768" s="31" t="n"/>
      <c r="R768" s="31" t="n"/>
      <c r="S768" s="32">
        <f>IF($F768="","",IF(IFERROR(VLOOKUP($F768,'维度字典'!$M$2:$N$50,2,0),"求和")="手工录入","",IF(IFERROR(VLOOKUP($F768,'维度字典'!$M$2:$N$50,2,0),"求和")="最新值",IFERROR(LOOKUP(9.99E+307,G768:R768),""),SUM(G768:R768))))</f>
        <v/>
      </c>
      <c r="T768" s="33" t="n"/>
    </row>
    <row r="769">
      <c r="A769" s="26">
        <f>IF($B769="","",ROW()-3)</f>
        <v/>
      </c>
      <c r="B769" s="27" t="n"/>
      <c r="C769" s="27" t="n"/>
      <c r="D769" s="28" t="n"/>
      <c r="E769" s="29" t="n"/>
      <c r="F769" s="30" t="n"/>
      <c r="G769" s="31" t="n"/>
      <c r="H769" s="31" t="n"/>
      <c r="I769" s="31" t="n"/>
      <c r="J769" s="31" t="n"/>
      <c r="K769" s="31" t="n"/>
      <c r="L769" s="31" t="n"/>
      <c r="M769" s="31" t="n"/>
      <c r="N769" s="31" t="n"/>
      <c r="O769" s="31" t="n"/>
      <c r="P769" s="31" t="n"/>
      <c r="Q769" s="31" t="n"/>
      <c r="R769" s="31" t="n"/>
      <c r="S769" s="32">
        <f>IF($F769="","",IF(IFERROR(VLOOKUP($F769,'维度字典'!$M$2:$N$50,2,0),"求和")="手工录入","",IF(IFERROR(VLOOKUP($F769,'维度字典'!$M$2:$N$50,2,0),"求和")="最新值",IFERROR(LOOKUP(9.99E+307,G769:R769),""),SUM(G769:R769))))</f>
        <v/>
      </c>
      <c r="T769" s="33" t="n"/>
    </row>
    <row r="770">
      <c r="A770" s="26">
        <f>IF($B770="","",ROW()-3)</f>
        <v/>
      </c>
      <c r="B770" s="27" t="n"/>
      <c r="C770" s="27" t="n"/>
      <c r="D770" s="28" t="n"/>
      <c r="E770" s="29" t="n"/>
      <c r="F770" s="30" t="n"/>
      <c r="G770" s="31" t="n"/>
      <c r="H770" s="31" t="n"/>
      <c r="I770" s="31" t="n"/>
      <c r="J770" s="31" t="n"/>
      <c r="K770" s="31" t="n"/>
      <c r="L770" s="31" t="n"/>
      <c r="M770" s="31" t="n"/>
      <c r="N770" s="31" t="n"/>
      <c r="O770" s="31" t="n"/>
      <c r="P770" s="31" t="n"/>
      <c r="Q770" s="31" t="n"/>
      <c r="R770" s="31" t="n"/>
      <c r="S770" s="32">
        <f>IF($F770="","",IF(IFERROR(VLOOKUP($F770,'维度字典'!$M$2:$N$50,2,0),"求和")="手工录入","",IF(IFERROR(VLOOKUP($F770,'维度字典'!$M$2:$N$50,2,0),"求和")="最新值",IFERROR(LOOKUP(9.99E+307,G770:R770),""),SUM(G770:R770))))</f>
        <v/>
      </c>
      <c r="T770" s="33" t="n"/>
    </row>
    <row r="771">
      <c r="A771" s="26">
        <f>IF($B771="","",ROW()-3)</f>
        <v/>
      </c>
      <c r="B771" s="27" t="n"/>
      <c r="C771" s="27" t="n"/>
      <c r="D771" s="28" t="n"/>
      <c r="E771" s="29" t="n"/>
      <c r="F771" s="30" t="n"/>
      <c r="G771" s="31" t="n"/>
      <c r="H771" s="31" t="n"/>
      <c r="I771" s="31" t="n"/>
      <c r="J771" s="31" t="n"/>
      <c r="K771" s="31" t="n"/>
      <c r="L771" s="31" t="n"/>
      <c r="M771" s="31" t="n"/>
      <c r="N771" s="31" t="n"/>
      <c r="O771" s="31" t="n"/>
      <c r="P771" s="31" t="n"/>
      <c r="Q771" s="31" t="n"/>
      <c r="R771" s="31" t="n"/>
      <c r="S771" s="32">
        <f>IF($F771="","",IF(IFERROR(VLOOKUP($F771,'维度字典'!$M$2:$N$50,2,0),"求和")="手工录入","",IF(IFERROR(VLOOKUP($F771,'维度字典'!$M$2:$N$50,2,0),"求和")="最新值",IFERROR(LOOKUP(9.99E+307,G771:R771),""),SUM(G771:R771))))</f>
        <v/>
      </c>
      <c r="T771" s="33" t="n"/>
    </row>
    <row r="772">
      <c r="A772" s="26">
        <f>IF($B772="","",ROW()-3)</f>
        <v/>
      </c>
      <c r="B772" s="27" t="n"/>
      <c r="C772" s="27" t="n"/>
      <c r="D772" s="28" t="n"/>
      <c r="E772" s="29" t="n"/>
      <c r="F772" s="30" t="n"/>
      <c r="G772" s="31" t="n"/>
      <c r="H772" s="31" t="n"/>
      <c r="I772" s="31" t="n"/>
      <c r="J772" s="31" t="n"/>
      <c r="K772" s="31" t="n"/>
      <c r="L772" s="31" t="n"/>
      <c r="M772" s="31" t="n"/>
      <c r="N772" s="31" t="n"/>
      <c r="O772" s="31" t="n"/>
      <c r="P772" s="31" t="n"/>
      <c r="Q772" s="31" t="n"/>
      <c r="R772" s="31" t="n"/>
      <c r="S772" s="32">
        <f>IF($F772="","",IF(IFERROR(VLOOKUP($F772,'维度字典'!$M$2:$N$50,2,0),"求和")="手工录入","",IF(IFERROR(VLOOKUP($F772,'维度字典'!$M$2:$N$50,2,0),"求和")="最新值",IFERROR(LOOKUP(9.99E+307,G772:R772),""),SUM(G772:R772))))</f>
        <v/>
      </c>
      <c r="T772" s="33" t="n"/>
    </row>
    <row r="773">
      <c r="A773" s="26">
        <f>IF($B773="","",ROW()-3)</f>
        <v/>
      </c>
      <c r="B773" s="27" t="n"/>
      <c r="C773" s="27" t="n"/>
      <c r="D773" s="28" t="n"/>
      <c r="E773" s="29" t="n"/>
      <c r="F773" s="30" t="n"/>
      <c r="G773" s="31" t="n"/>
      <c r="H773" s="31" t="n"/>
      <c r="I773" s="31" t="n"/>
      <c r="J773" s="31" t="n"/>
      <c r="K773" s="31" t="n"/>
      <c r="L773" s="31" t="n"/>
      <c r="M773" s="31" t="n"/>
      <c r="N773" s="31" t="n"/>
      <c r="O773" s="31" t="n"/>
      <c r="P773" s="31" t="n"/>
      <c r="Q773" s="31" t="n"/>
      <c r="R773" s="31" t="n"/>
      <c r="S773" s="32">
        <f>IF($F773="","",IF(IFERROR(VLOOKUP($F773,'维度字典'!$M$2:$N$50,2,0),"求和")="手工录入","",IF(IFERROR(VLOOKUP($F773,'维度字典'!$M$2:$N$50,2,0),"求和")="最新值",IFERROR(LOOKUP(9.99E+307,G773:R773),""),SUM(G773:R773))))</f>
        <v/>
      </c>
      <c r="T773" s="33" t="n"/>
    </row>
    <row r="774">
      <c r="A774" s="26">
        <f>IF($B774="","",ROW()-3)</f>
        <v/>
      </c>
      <c r="B774" s="27" t="n"/>
      <c r="C774" s="27" t="n"/>
      <c r="D774" s="28" t="n"/>
      <c r="E774" s="29" t="n"/>
      <c r="F774" s="30" t="n"/>
      <c r="G774" s="31" t="n"/>
      <c r="H774" s="31" t="n"/>
      <c r="I774" s="31" t="n"/>
      <c r="J774" s="31" t="n"/>
      <c r="K774" s="31" t="n"/>
      <c r="L774" s="31" t="n"/>
      <c r="M774" s="31" t="n"/>
      <c r="N774" s="31" t="n"/>
      <c r="O774" s="31" t="n"/>
      <c r="P774" s="31" t="n"/>
      <c r="Q774" s="31" t="n"/>
      <c r="R774" s="31" t="n"/>
      <c r="S774" s="32">
        <f>IF($F774="","",IF(IFERROR(VLOOKUP($F774,'维度字典'!$M$2:$N$50,2,0),"求和")="手工录入","",IF(IFERROR(VLOOKUP($F774,'维度字典'!$M$2:$N$50,2,0),"求和")="最新值",IFERROR(LOOKUP(9.99E+307,G774:R774),""),SUM(G774:R774))))</f>
        <v/>
      </c>
      <c r="T774" s="33" t="n"/>
    </row>
    <row r="775">
      <c r="A775" s="26">
        <f>IF($B775="","",ROW()-3)</f>
        <v/>
      </c>
      <c r="B775" s="27" t="n"/>
      <c r="C775" s="27" t="n"/>
      <c r="D775" s="28" t="n"/>
      <c r="E775" s="29" t="n"/>
      <c r="F775" s="30" t="n"/>
      <c r="G775" s="31" t="n"/>
      <c r="H775" s="31" t="n"/>
      <c r="I775" s="31" t="n"/>
      <c r="J775" s="31" t="n"/>
      <c r="K775" s="31" t="n"/>
      <c r="L775" s="31" t="n"/>
      <c r="M775" s="31" t="n"/>
      <c r="N775" s="31" t="n"/>
      <c r="O775" s="31" t="n"/>
      <c r="P775" s="31" t="n"/>
      <c r="Q775" s="31" t="n"/>
      <c r="R775" s="31" t="n"/>
      <c r="S775" s="32">
        <f>IF($F775="","",IF(IFERROR(VLOOKUP($F775,'维度字典'!$M$2:$N$50,2,0),"求和")="手工录入","",IF(IFERROR(VLOOKUP($F775,'维度字典'!$M$2:$N$50,2,0),"求和")="最新值",IFERROR(LOOKUP(9.99E+307,G775:R775),""),SUM(G775:R775))))</f>
        <v/>
      </c>
      <c r="T775" s="33" t="n"/>
    </row>
    <row r="776">
      <c r="A776" s="26">
        <f>IF($B776="","",ROW()-3)</f>
        <v/>
      </c>
      <c r="B776" s="27" t="n"/>
      <c r="C776" s="27" t="n"/>
      <c r="D776" s="28" t="n"/>
      <c r="E776" s="29" t="n"/>
      <c r="F776" s="30" t="n"/>
      <c r="G776" s="31" t="n"/>
      <c r="H776" s="31" t="n"/>
      <c r="I776" s="31" t="n"/>
      <c r="J776" s="31" t="n"/>
      <c r="K776" s="31" t="n"/>
      <c r="L776" s="31" t="n"/>
      <c r="M776" s="31" t="n"/>
      <c r="N776" s="31" t="n"/>
      <c r="O776" s="31" t="n"/>
      <c r="P776" s="31" t="n"/>
      <c r="Q776" s="31" t="n"/>
      <c r="R776" s="31" t="n"/>
      <c r="S776" s="32">
        <f>IF($F776="","",IF(IFERROR(VLOOKUP($F776,'维度字典'!$M$2:$N$50,2,0),"求和")="手工录入","",IF(IFERROR(VLOOKUP($F776,'维度字典'!$M$2:$N$50,2,0),"求和")="最新值",IFERROR(LOOKUP(9.99E+307,G776:R776),""),SUM(G776:R776))))</f>
        <v/>
      </c>
      <c r="T776" s="33" t="n"/>
    </row>
    <row r="777">
      <c r="A777" s="26">
        <f>IF($B777="","",ROW()-3)</f>
        <v/>
      </c>
      <c r="B777" s="27" t="n"/>
      <c r="C777" s="27" t="n"/>
      <c r="D777" s="28" t="n"/>
      <c r="E777" s="29" t="n"/>
      <c r="F777" s="30" t="n"/>
      <c r="G777" s="31" t="n"/>
      <c r="H777" s="31" t="n"/>
      <c r="I777" s="31" t="n"/>
      <c r="J777" s="31" t="n"/>
      <c r="K777" s="31" t="n"/>
      <c r="L777" s="31" t="n"/>
      <c r="M777" s="31" t="n"/>
      <c r="N777" s="31" t="n"/>
      <c r="O777" s="31" t="n"/>
      <c r="P777" s="31" t="n"/>
      <c r="Q777" s="31" t="n"/>
      <c r="R777" s="31" t="n"/>
      <c r="S777" s="32">
        <f>IF($F777="","",IF(IFERROR(VLOOKUP($F777,'维度字典'!$M$2:$N$50,2,0),"求和")="手工录入","",IF(IFERROR(VLOOKUP($F777,'维度字典'!$M$2:$N$50,2,0),"求和")="最新值",IFERROR(LOOKUP(9.99E+307,G777:R777),""),SUM(G777:R777))))</f>
        <v/>
      </c>
      <c r="T777" s="33" t="n"/>
    </row>
    <row r="778">
      <c r="A778" s="26">
        <f>IF($B778="","",ROW()-3)</f>
        <v/>
      </c>
      <c r="B778" s="27" t="n"/>
      <c r="C778" s="27" t="n"/>
      <c r="D778" s="28" t="n"/>
      <c r="E778" s="29" t="n"/>
      <c r="F778" s="30" t="n"/>
      <c r="G778" s="31" t="n"/>
      <c r="H778" s="31" t="n"/>
      <c r="I778" s="31" t="n"/>
      <c r="J778" s="31" t="n"/>
      <c r="K778" s="31" t="n"/>
      <c r="L778" s="31" t="n"/>
      <c r="M778" s="31" t="n"/>
      <c r="N778" s="31" t="n"/>
      <c r="O778" s="31" t="n"/>
      <c r="P778" s="31" t="n"/>
      <c r="Q778" s="31" t="n"/>
      <c r="R778" s="31" t="n"/>
      <c r="S778" s="32">
        <f>IF($F778="","",IF(IFERROR(VLOOKUP($F778,'维度字典'!$M$2:$N$50,2,0),"求和")="手工录入","",IF(IFERROR(VLOOKUP($F778,'维度字典'!$M$2:$N$50,2,0),"求和")="最新值",IFERROR(LOOKUP(9.99E+307,G778:R778),""),SUM(G778:R778))))</f>
        <v/>
      </c>
      <c r="T778" s="33" t="n"/>
    </row>
    <row r="779">
      <c r="A779" s="26">
        <f>IF($B779="","",ROW()-3)</f>
        <v/>
      </c>
      <c r="B779" s="27" t="n"/>
      <c r="C779" s="27" t="n"/>
      <c r="D779" s="28" t="n"/>
      <c r="E779" s="29" t="n"/>
      <c r="F779" s="30" t="n"/>
      <c r="G779" s="31" t="n"/>
      <c r="H779" s="31" t="n"/>
      <c r="I779" s="31" t="n"/>
      <c r="J779" s="31" t="n"/>
      <c r="K779" s="31" t="n"/>
      <c r="L779" s="31" t="n"/>
      <c r="M779" s="31" t="n"/>
      <c r="N779" s="31" t="n"/>
      <c r="O779" s="31" t="n"/>
      <c r="P779" s="31" t="n"/>
      <c r="Q779" s="31" t="n"/>
      <c r="R779" s="31" t="n"/>
      <c r="S779" s="32">
        <f>IF($F779="","",IF(IFERROR(VLOOKUP($F779,'维度字典'!$M$2:$N$50,2,0),"求和")="手工录入","",IF(IFERROR(VLOOKUP($F779,'维度字典'!$M$2:$N$50,2,0),"求和")="最新值",IFERROR(LOOKUP(9.99E+307,G779:R779),""),SUM(G779:R779))))</f>
        <v/>
      </c>
      <c r="T779" s="33" t="n"/>
    </row>
    <row r="780">
      <c r="A780" s="26">
        <f>IF($B780="","",ROW()-3)</f>
        <v/>
      </c>
      <c r="B780" s="27" t="n"/>
      <c r="C780" s="27" t="n"/>
      <c r="D780" s="28" t="n"/>
      <c r="E780" s="29" t="n"/>
      <c r="F780" s="30" t="n"/>
      <c r="G780" s="31" t="n"/>
      <c r="H780" s="31" t="n"/>
      <c r="I780" s="31" t="n"/>
      <c r="J780" s="31" t="n"/>
      <c r="K780" s="31" t="n"/>
      <c r="L780" s="31" t="n"/>
      <c r="M780" s="31" t="n"/>
      <c r="N780" s="31" t="n"/>
      <c r="O780" s="31" t="n"/>
      <c r="P780" s="31" t="n"/>
      <c r="Q780" s="31" t="n"/>
      <c r="R780" s="31" t="n"/>
      <c r="S780" s="32">
        <f>IF($F780="","",IF(IFERROR(VLOOKUP($F780,'维度字典'!$M$2:$N$50,2,0),"求和")="手工录入","",IF(IFERROR(VLOOKUP($F780,'维度字典'!$M$2:$N$50,2,0),"求和")="最新值",IFERROR(LOOKUP(9.99E+307,G780:R780),""),SUM(G780:R780))))</f>
        <v/>
      </c>
      <c r="T780" s="33" t="n"/>
    </row>
    <row r="781">
      <c r="A781" s="26">
        <f>IF($B781="","",ROW()-3)</f>
        <v/>
      </c>
      <c r="B781" s="27" t="n"/>
      <c r="C781" s="27" t="n"/>
      <c r="D781" s="28" t="n"/>
      <c r="E781" s="29" t="n"/>
      <c r="F781" s="30" t="n"/>
      <c r="G781" s="31" t="n"/>
      <c r="H781" s="31" t="n"/>
      <c r="I781" s="31" t="n"/>
      <c r="J781" s="31" t="n"/>
      <c r="K781" s="31" t="n"/>
      <c r="L781" s="31" t="n"/>
      <c r="M781" s="31" t="n"/>
      <c r="N781" s="31" t="n"/>
      <c r="O781" s="31" t="n"/>
      <c r="P781" s="31" t="n"/>
      <c r="Q781" s="31" t="n"/>
      <c r="R781" s="31" t="n"/>
      <c r="S781" s="32">
        <f>IF($F781="","",IF(IFERROR(VLOOKUP($F781,'维度字典'!$M$2:$N$50,2,0),"求和")="手工录入","",IF(IFERROR(VLOOKUP($F781,'维度字典'!$M$2:$N$50,2,0),"求和")="最新值",IFERROR(LOOKUP(9.99E+307,G781:R781),""),SUM(G781:R781))))</f>
        <v/>
      </c>
      <c r="T781" s="33" t="n"/>
    </row>
    <row r="782">
      <c r="A782" s="26">
        <f>IF($B782="","",ROW()-3)</f>
        <v/>
      </c>
      <c r="B782" s="27" t="n"/>
      <c r="C782" s="27" t="n"/>
      <c r="D782" s="28" t="n"/>
      <c r="E782" s="29" t="n"/>
      <c r="F782" s="30" t="n"/>
      <c r="G782" s="31" t="n"/>
      <c r="H782" s="31" t="n"/>
      <c r="I782" s="31" t="n"/>
      <c r="J782" s="31" t="n"/>
      <c r="K782" s="31" t="n"/>
      <c r="L782" s="31" t="n"/>
      <c r="M782" s="31" t="n"/>
      <c r="N782" s="31" t="n"/>
      <c r="O782" s="31" t="n"/>
      <c r="P782" s="31" t="n"/>
      <c r="Q782" s="31" t="n"/>
      <c r="R782" s="31" t="n"/>
      <c r="S782" s="32">
        <f>IF($F782="","",IF(IFERROR(VLOOKUP($F782,'维度字典'!$M$2:$N$50,2,0),"求和")="手工录入","",IF(IFERROR(VLOOKUP($F782,'维度字典'!$M$2:$N$50,2,0),"求和")="最新值",IFERROR(LOOKUP(9.99E+307,G782:R782),""),SUM(G782:R782))))</f>
        <v/>
      </c>
      <c r="T782" s="33" t="n"/>
    </row>
    <row r="783">
      <c r="A783" s="26">
        <f>IF($B783="","",ROW()-3)</f>
        <v/>
      </c>
      <c r="B783" s="27" t="n"/>
      <c r="C783" s="27" t="n"/>
      <c r="D783" s="28" t="n"/>
      <c r="E783" s="29" t="n"/>
      <c r="F783" s="30" t="n"/>
      <c r="G783" s="31" t="n"/>
      <c r="H783" s="31" t="n"/>
      <c r="I783" s="31" t="n"/>
      <c r="J783" s="31" t="n"/>
      <c r="K783" s="31" t="n"/>
      <c r="L783" s="31" t="n"/>
      <c r="M783" s="31" t="n"/>
      <c r="N783" s="31" t="n"/>
      <c r="O783" s="31" t="n"/>
      <c r="P783" s="31" t="n"/>
      <c r="Q783" s="31" t="n"/>
      <c r="R783" s="31" t="n"/>
      <c r="S783" s="32">
        <f>IF($F783="","",IF(IFERROR(VLOOKUP($F783,'维度字典'!$M$2:$N$50,2,0),"求和")="手工录入","",IF(IFERROR(VLOOKUP($F783,'维度字典'!$M$2:$N$50,2,0),"求和")="最新值",IFERROR(LOOKUP(9.99E+307,G783:R783),""),SUM(G783:R783))))</f>
        <v/>
      </c>
      <c r="T783" s="33" t="n"/>
    </row>
    <row r="784">
      <c r="A784" s="26">
        <f>IF($B784="","",ROW()-3)</f>
        <v/>
      </c>
      <c r="B784" s="27" t="n"/>
      <c r="C784" s="27" t="n"/>
      <c r="D784" s="28" t="n"/>
      <c r="E784" s="29" t="n"/>
      <c r="F784" s="30" t="n"/>
      <c r="G784" s="31" t="n"/>
      <c r="H784" s="31" t="n"/>
      <c r="I784" s="31" t="n"/>
      <c r="J784" s="31" t="n"/>
      <c r="K784" s="31" t="n"/>
      <c r="L784" s="31" t="n"/>
      <c r="M784" s="31" t="n"/>
      <c r="N784" s="31" t="n"/>
      <c r="O784" s="31" t="n"/>
      <c r="P784" s="31" t="n"/>
      <c r="Q784" s="31" t="n"/>
      <c r="R784" s="31" t="n"/>
      <c r="S784" s="32">
        <f>IF($F784="","",IF(IFERROR(VLOOKUP($F784,'维度字典'!$M$2:$N$50,2,0),"求和")="手工录入","",IF(IFERROR(VLOOKUP($F784,'维度字典'!$M$2:$N$50,2,0),"求和")="最新值",IFERROR(LOOKUP(9.99E+307,G784:R784),""),SUM(G784:R784))))</f>
        <v/>
      </c>
      <c r="T784" s="33" t="n"/>
    </row>
    <row r="785">
      <c r="A785" s="26">
        <f>IF($B785="","",ROW()-3)</f>
        <v/>
      </c>
      <c r="B785" s="27" t="n"/>
      <c r="C785" s="27" t="n"/>
      <c r="D785" s="28" t="n"/>
      <c r="E785" s="29" t="n"/>
      <c r="F785" s="30" t="n"/>
      <c r="G785" s="31" t="n"/>
      <c r="H785" s="31" t="n"/>
      <c r="I785" s="31" t="n"/>
      <c r="J785" s="31" t="n"/>
      <c r="K785" s="31" t="n"/>
      <c r="L785" s="31" t="n"/>
      <c r="M785" s="31" t="n"/>
      <c r="N785" s="31" t="n"/>
      <c r="O785" s="31" t="n"/>
      <c r="P785" s="31" t="n"/>
      <c r="Q785" s="31" t="n"/>
      <c r="R785" s="31" t="n"/>
      <c r="S785" s="32">
        <f>IF($F785="","",IF(IFERROR(VLOOKUP($F785,'维度字典'!$M$2:$N$50,2,0),"求和")="手工录入","",IF(IFERROR(VLOOKUP($F785,'维度字典'!$M$2:$N$50,2,0),"求和")="最新值",IFERROR(LOOKUP(9.99E+307,G785:R785),""),SUM(G785:R785))))</f>
        <v/>
      </c>
      <c r="T785" s="33" t="n"/>
    </row>
    <row r="786">
      <c r="A786" s="26">
        <f>IF($B786="","",ROW()-3)</f>
        <v/>
      </c>
      <c r="B786" s="27" t="n"/>
      <c r="C786" s="27" t="n"/>
      <c r="D786" s="28" t="n"/>
      <c r="E786" s="29" t="n"/>
      <c r="F786" s="30" t="n"/>
      <c r="G786" s="31" t="n"/>
      <c r="H786" s="31" t="n"/>
      <c r="I786" s="31" t="n"/>
      <c r="J786" s="31" t="n"/>
      <c r="K786" s="31" t="n"/>
      <c r="L786" s="31" t="n"/>
      <c r="M786" s="31" t="n"/>
      <c r="N786" s="31" t="n"/>
      <c r="O786" s="31" t="n"/>
      <c r="P786" s="31" t="n"/>
      <c r="Q786" s="31" t="n"/>
      <c r="R786" s="31" t="n"/>
      <c r="S786" s="32">
        <f>IF($F786="","",IF(IFERROR(VLOOKUP($F786,'维度字典'!$M$2:$N$50,2,0),"求和")="手工录入","",IF(IFERROR(VLOOKUP($F786,'维度字典'!$M$2:$N$50,2,0),"求和")="最新值",IFERROR(LOOKUP(9.99E+307,G786:R786),""),SUM(G786:R786))))</f>
        <v/>
      </c>
      <c r="T786" s="33" t="n"/>
    </row>
    <row r="787">
      <c r="A787" s="26">
        <f>IF($B787="","",ROW()-3)</f>
        <v/>
      </c>
      <c r="B787" s="27" t="n"/>
      <c r="C787" s="27" t="n"/>
      <c r="D787" s="28" t="n"/>
      <c r="E787" s="29" t="n"/>
      <c r="F787" s="30" t="n"/>
      <c r="G787" s="31" t="n"/>
      <c r="H787" s="31" t="n"/>
      <c r="I787" s="31" t="n"/>
      <c r="J787" s="31" t="n"/>
      <c r="K787" s="31" t="n"/>
      <c r="L787" s="31" t="n"/>
      <c r="M787" s="31" t="n"/>
      <c r="N787" s="31" t="n"/>
      <c r="O787" s="31" t="n"/>
      <c r="P787" s="31" t="n"/>
      <c r="Q787" s="31" t="n"/>
      <c r="R787" s="31" t="n"/>
      <c r="S787" s="32">
        <f>IF($F787="","",IF(IFERROR(VLOOKUP($F787,'维度字典'!$M$2:$N$50,2,0),"求和")="手工录入","",IF(IFERROR(VLOOKUP($F787,'维度字典'!$M$2:$N$50,2,0),"求和")="最新值",IFERROR(LOOKUP(9.99E+307,G787:R787),""),SUM(G787:R787))))</f>
        <v/>
      </c>
      <c r="T787" s="33" t="n"/>
    </row>
    <row r="788">
      <c r="A788" s="26">
        <f>IF($B788="","",ROW()-3)</f>
        <v/>
      </c>
      <c r="B788" s="27" t="n"/>
      <c r="C788" s="27" t="n"/>
      <c r="D788" s="28" t="n"/>
      <c r="E788" s="29" t="n"/>
      <c r="F788" s="30" t="n"/>
      <c r="G788" s="31" t="n"/>
      <c r="H788" s="31" t="n"/>
      <c r="I788" s="31" t="n"/>
      <c r="J788" s="31" t="n"/>
      <c r="K788" s="31" t="n"/>
      <c r="L788" s="31" t="n"/>
      <c r="M788" s="31" t="n"/>
      <c r="N788" s="31" t="n"/>
      <c r="O788" s="31" t="n"/>
      <c r="P788" s="31" t="n"/>
      <c r="Q788" s="31" t="n"/>
      <c r="R788" s="31" t="n"/>
      <c r="S788" s="32">
        <f>IF($F788="","",IF(IFERROR(VLOOKUP($F788,'维度字典'!$M$2:$N$50,2,0),"求和")="手工录入","",IF(IFERROR(VLOOKUP($F788,'维度字典'!$M$2:$N$50,2,0),"求和")="最新值",IFERROR(LOOKUP(9.99E+307,G788:R788),""),SUM(G788:R788))))</f>
        <v/>
      </c>
      <c r="T788" s="33" t="n"/>
    </row>
    <row r="789">
      <c r="A789" s="26">
        <f>IF($B789="","",ROW()-3)</f>
        <v/>
      </c>
      <c r="B789" s="27" t="n"/>
      <c r="C789" s="27" t="n"/>
      <c r="D789" s="28" t="n"/>
      <c r="E789" s="29" t="n"/>
      <c r="F789" s="30" t="n"/>
      <c r="G789" s="31" t="n"/>
      <c r="H789" s="31" t="n"/>
      <c r="I789" s="31" t="n"/>
      <c r="J789" s="31" t="n"/>
      <c r="K789" s="31" t="n"/>
      <c r="L789" s="31" t="n"/>
      <c r="M789" s="31" t="n"/>
      <c r="N789" s="31" t="n"/>
      <c r="O789" s="31" t="n"/>
      <c r="P789" s="31" t="n"/>
      <c r="Q789" s="31" t="n"/>
      <c r="R789" s="31" t="n"/>
      <c r="S789" s="32">
        <f>IF($F789="","",IF(IFERROR(VLOOKUP($F789,'维度字典'!$M$2:$N$50,2,0),"求和")="手工录入","",IF(IFERROR(VLOOKUP($F789,'维度字典'!$M$2:$N$50,2,0),"求和")="最新值",IFERROR(LOOKUP(9.99E+307,G789:R789),""),SUM(G789:R789))))</f>
        <v/>
      </c>
      <c r="T789" s="33" t="n"/>
    </row>
    <row r="790">
      <c r="A790" s="26">
        <f>IF($B790="","",ROW()-3)</f>
        <v/>
      </c>
      <c r="B790" s="27" t="n"/>
      <c r="C790" s="27" t="n"/>
      <c r="D790" s="28" t="n"/>
      <c r="E790" s="29" t="n"/>
      <c r="F790" s="30" t="n"/>
      <c r="G790" s="31" t="n"/>
      <c r="H790" s="31" t="n"/>
      <c r="I790" s="31" t="n"/>
      <c r="J790" s="31" t="n"/>
      <c r="K790" s="31" t="n"/>
      <c r="L790" s="31" t="n"/>
      <c r="M790" s="31" t="n"/>
      <c r="N790" s="31" t="n"/>
      <c r="O790" s="31" t="n"/>
      <c r="P790" s="31" t="n"/>
      <c r="Q790" s="31" t="n"/>
      <c r="R790" s="31" t="n"/>
      <c r="S790" s="32">
        <f>IF($F790="","",IF(IFERROR(VLOOKUP($F790,'维度字典'!$M$2:$N$50,2,0),"求和")="手工录入","",IF(IFERROR(VLOOKUP($F790,'维度字典'!$M$2:$N$50,2,0),"求和")="最新值",IFERROR(LOOKUP(9.99E+307,G790:R790),""),SUM(G790:R790))))</f>
        <v/>
      </c>
      <c r="T790" s="33" t="n"/>
    </row>
    <row r="791">
      <c r="A791" s="26">
        <f>IF($B791="","",ROW()-3)</f>
        <v/>
      </c>
      <c r="B791" s="27" t="n"/>
      <c r="C791" s="27" t="n"/>
      <c r="D791" s="28" t="n"/>
      <c r="E791" s="29" t="n"/>
      <c r="F791" s="30" t="n"/>
      <c r="G791" s="31" t="n"/>
      <c r="H791" s="31" t="n"/>
      <c r="I791" s="31" t="n"/>
      <c r="J791" s="31" t="n"/>
      <c r="K791" s="31" t="n"/>
      <c r="L791" s="31" t="n"/>
      <c r="M791" s="31" t="n"/>
      <c r="N791" s="31" t="n"/>
      <c r="O791" s="31" t="n"/>
      <c r="P791" s="31" t="n"/>
      <c r="Q791" s="31" t="n"/>
      <c r="R791" s="31" t="n"/>
      <c r="S791" s="32">
        <f>IF($F791="","",IF(IFERROR(VLOOKUP($F791,'维度字典'!$M$2:$N$50,2,0),"求和")="手工录入","",IF(IFERROR(VLOOKUP($F791,'维度字典'!$M$2:$N$50,2,0),"求和")="最新值",IFERROR(LOOKUP(9.99E+307,G791:R791),""),SUM(G791:R791))))</f>
        <v/>
      </c>
      <c r="T791" s="33" t="n"/>
    </row>
    <row r="792">
      <c r="A792" s="26">
        <f>IF($B792="","",ROW()-3)</f>
        <v/>
      </c>
      <c r="B792" s="27" t="n"/>
      <c r="C792" s="27" t="n"/>
      <c r="D792" s="28" t="n"/>
      <c r="E792" s="29" t="n"/>
      <c r="F792" s="30" t="n"/>
      <c r="G792" s="31" t="n"/>
      <c r="H792" s="31" t="n"/>
      <c r="I792" s="31" t="n"/>
      <c r="J792" s="31" t="n"/>
      <c r="K792" s="31" t="n"/>
      <c r="L792" s="31" t="n"/>
      <c r="M792" s="31" t="n"/>
      <c r="N792" s="31" t="n"/>
      <c r="O792" s="31" t="n"/>
      <c r="P792" s="31" t="n"/>
      <c r="Q792" s="31" t="n"/>
      <c r="R792" s="31" t="n"/>
      <c r="S792" s="32">
        <f>IF($F792="","",IF(IFERROR(VLOOKUP($F792,'维度字典'!$M$2:$N$50,2,0),"求和")="手工录入","",IF(IFERROR(VLOOKUP($F792,'维度字典'!$M$2:$N$50,2,0),"求和")="最新值",IFERROR(LOOKUP(9.99E+307,G792:R792),""),SUM(G792:R792))))</f>
        <v/>
      </c>
      <c r="T792" s="33" t="n"/>
    </row>
    <row r="793">
      <c r="A793" s="26">
        <f>IF($B793="","",ROW()-3)</f>
        <v/>
      </c>
      <c r="B793" s="27" t="n"/>
      <c r="C793" s="27" t="n"/>
      <c r="D793" s="28" t="n"/>
      <c r="E793" s="29" t="n"/>
      <c r="F793" s="30" t="n"/>
      <c r="G793" s="31" t="n"/>
      <c r="H793" s="31" t="n"/>
      <c r="I793" s="31" t="n"/>
      <c r="J793" s="31" t="n"/>
      <c r="K793" s="31" t="n"/>
      <c r="L793" s="31" t="n"/>
      <c r="M793" s="31" t="n"/>
      <c r="N793" s="31" t="n"/>
      <c r="O793" s="31" t="n"/>
      <c r="P793" s="31" t="n"/>
      <c r="Q793" s="31" t="n"/>
      <c r="R793" s="31" t="n"/>
      <c r="S793" s="32">
        <f>IF($F793="","",IF(IFERROR(VLOOKUP($F793,'维度字典'!$M$2:$N$50,2,0),"求和")="手工录入","",IF(IFERROR(VLOOKUP($F793,'维度字典'!$M$2:$N$50,2,0),"求和")="最新值",IFERROR(LOOKUP(9.99E+307,G793:R793),""),SUM(G793:R793))))</f>
        <v/>
      </c>
      <c r="T793" s="33" t="n"/>
    </row>
    <row r="794">
      <c r="A794" s="26">
        <f>IF($B794="","",ROW()-3)</f>
        <v/>
      </c>
      <c r="B794" s="27" t="n"/>
      <c r="C794" s="27" t="n"/>
      <c r="D794" s="28" t="n"/>
      <c r="E794" s="29" t="n"/>
      <c r="F794" s="30" t="n"/>
      <c r="G794" s="31" t="n"/>
      <c r="H794" s="31" t="n"/>
      <c r="I794" s="31" t="n"/>
      <c r="J794" s="31" t="n"/>
      <c r="K794" s="31" t="n"/>
      <c r="L794" s="31" t="n"/>
      <c r="M794" s="31" t="n"/>
      <c r="N794" s="31" t="n"/>
      <c r="O794" s="31" t="n"/>
      <c r="P794" s="31" t="n"/>
      <c r="Q794" s="31" t="n"/>
      <c r="R794" s="31" t="n"/>
      <c r="S794" s="32">
        <f>IF($F794="","",IF(IFERROR(VLOOKUP($F794,'维度字典'!$M$2:$N$50,2,0),"求和")="手工录入","",IF(IFERROR(VLOOKUP($F794,'维度字典'!$M$2:$N$50,2,0),"求和")="最新值",IFERROR(LOOKUP(9.99E+307,G794:R794),""),SUM(G794:R794))))</f>
        <v/>
      </c>
      <c r="T794" s="33" t="n"/>
    </row>
    <row r="795">
      <c r="A795" s="26">
        <f>IF($B795="","",ROW()-3)</f>
        <v/>
      </c>
      <c r="B795" s="27" t="n"/>
      <c r="C795" s="27" t="n"/>
      <c r="D795" s="28" t="n"/>
      <c r="E795" s="29" t="n"/>
      <c r="F795" s="30" t="n"/>
      <c r="G795" s="31" t="n"/>
      <c r="H795" s="31" t="n"/>
      <c r="I795" s="31" t="n"/>
      <c r="J795" s="31" t="n"/>
      <c r="K795" s="31" t="n"/>
      <c r="L795" s="31" t="n"/>
      <c r="M795" s="31" t="n"/>
      <c r="N795" s="31" t="n"/>
      <c r="O795" s="31" t="n"/>
      <c r="P795" s="31" t="n"/>
      <c r="Q795" s="31" t="n"/>
      <c r="R795" s="31" t="n"/>
      <c r="S795" s="32">
        <f>IF($F795="","",IF(IFERROR(VLOOKUP($F795,'维度字典'!$M$2:$N$50,2,0),"求和")="手工录入","",IF(IFERROR(VLOOKUP($F795,'维度字典'!$M$2:$N$50,2,0),"求和")="最新值",IFERROR(LOOKUP(9.99E+307,G795:R795),""),SUM(G795:R795))))</f>
        <v/>
      </c>
      <c r="T795" s="33" t="n"/>
    </row>
    <row r="796">
      <c r="A796" s="26">
        <f>IF($B796="","",ROW()-3)</f>
        <v/>
      </c>
      <c r="B796" s="27" t="n"/>
      <c r="C796" s="27" t="n"/>
      <c r="D796" s="28" t="n"/>
      <c r="E796" s="29" t="n"/>
      <c r="F796" s="30" t="n"/>
      <c r="G796" s="31" t="n"/>
      <c r="H796" s="31" t="n"/>
      <c r="I796" s="31" t="n"/>
      <c r="J796" s="31" t="n"/>
      <c r="K796" s="31" t="n"/>
      <c r="L796" s="31" t="n"/>
      <c r="M796" s="31" t="n"/>
      <c r="N796" s="31" t="n"/>
      <c r="O796" s="31" t="n"/>
      <c r="P796" s="31" t="n"/>
      <c r="Q796" s="31" t="n"/>
      <c r="R796" s="31" t="n"/>
      <c r="S796" s="32">
        <f>IF($F796="","",IF(IFERROR(VLOOKUP($F796,'维度字典'!$M$2:$N$50,2,0),"求和")="手工录入","",IF(IFERROR(VLOOKUP($F796,'维度字典'!$M$2:$N$50,2,0),"求和")="最新值",IFERROR(LOOKUP(9.99E+307,G796:R796),""),SUM(G796:R796))))</f>
        <v/>
      </c>
      <c r="T796" s="33" t="n"/>
    </row>
    <row r="797">
      <c r="A797" s="26">
        <f>IF($B797="","",ROW()-3)</f>
        <v/>
      </c>
      <c r="B797" s="27" t="n"/>
      <c r="C797" s="27" t="n"/>
      <c r="D797" s="28" t="n"/>
      <c r="E797" s="29" t="n"/>
      <c r="F797" s="30" t="n"/>
      <c r="G797" s="31" t="n"/>
      <c r="H797" s="31" t="n"/>
      <c r="I797" s="31" t="n"/>
      <c r="J797" s="31" t="n"/>
      <c r="K797" s="31" t="n"/>
      <c r="L797" s="31" t="n"/>
      <c r="M797" s="31" t="n"/>
      <c r="N797" s="31" t="n"/>
      <c r="O797" s="31" t="n"/>
      <c r="P797" s="31" t="n"/>
      <c r="Q797" s="31" t="n"/>
      <c r="R797" s="31" t="n"/>
      <c r="S797" s="32">
        <f>IF($F797="","",IF(IFERROR(VLOOKUP($F797,'维度字典'!$M$2:$N$50,2,0),"求和")="手工录入","",IF(IFERROR(VLOOKUP($F797,'维度字典'!$M$2:$N$50,2,0),"求和")="最新值",IFERROR(LOOKUP(9.99E+307,G797:R797),""),SUM(G797:R797))))</f>
        <v/>
      </c>
      <c r="T797" s="33" t="n"/>
    </row>
    <row r="798">
      <c r="A798" s="26">
        <f>IF($B798="","",ROW()-3)</f>
        <v/>
      </c>
      <c r="B798" s="27" t="n"/>
      <c r="C798" s="27" t="n"/>
      <c r="D798" s="28" t="n"/>
      <c r="E798" s="29" t="n"/>
      <c r="F798" s="30" t="n"/>
      <c r="G798" s="31" t="n"/>
      <c r="H798" s="31" t="n"/>
      <c r="I798" s="31" t="n"/>
      <c r="J798" s="31" t="n"/>
      <c r="K798" s="31" t="n"/>
      <c r="L798" s="31" t="n"/>
      <c r="M798" s="31" t="n"/>
      <c r="N798" s="31" t="n"/>
      <c r="O798" s="31" t="n"/>
      <c r="P798" s="31" t="n"/>
      <c r="Q798" s="31" t="n"/>
      <c r="R798" s="31" t="n"/>
      <c r="S798" s="32">
        <f>IF($F798="","",IF(IFERROR(VLOOKUP($F798,'维度字典'!$M$2:$N$50,2,0),"求和")="手工录入","",IF(IFERROR(VLOOKUP($F798,'维度字典'!$M$2:$N$50,2,0),"求和")="最新值",IFERROR(LOOKUP(9.99E+307,G798:R798),""),SUM(G798:R798))))</f>
        <v/>
      </c>
      <c r="T798" s="33" t="n"/>
    </row>
    <row r="799">
      <c r="A799" s="26">
        <f>IF($B799="","",ROW()-3)</f>
        <v/>
      </c>
      <c r="B799" s="27" t="n"/>
      <c r="C799" s="27" t="n"/>
      <c r="D799" s="28" t="n"/>
      <c r="E799" s="29" t="n"/>
      <c r="F799" s="30" t="n"/>
      <c r="G799" s="31" t="n"/>
      <c r="H799" s="31" t="n"/>
      <c r="I799" s="31" t="n"/>
      <c r="J799" s="31" t="n"/>
      <c r="K799" s="31" t="n"/>
      <c r="L799" s="31" t="n"/>
      <c r="M799" s="31" t="n"/>
      <c r="N799" s="31" t="n"/>
      <c r="O799" s="31" t="n"/>
      <c r="P799" s="31" t="n"/>
      <c r="Q799" s="31" t="n"/>
      <c r="R799" s="31" t="n"/>
      <c r="S799" s="32">
        <f>IF($F799="","",IF(IFERROR(VLOOKUP($F799,'维度字典'!$M$2:$N$50,2,0),"求和")="手工录入","",IF(IFERROR(VLOOKUP($F799,'维度字典'!$M$2:$N$50,2,0),"求和")="最新值",IFERROR(LOOKUP(9.99E+307,G799:R799),""),SUM(G799:R799))))</f>
        <v/>
      </c>
      <c r="T799" s="33" t="n"/>
    </row>
    <row r="800">
      <c r="A800" s="26">
        <f>IF($B800="","",ROW()-3)</f>
        <v/>
      </c>
      <c r="B800" s="27" t="n"/>
      <c r="C800" s="27" t="n"/>
      <c r="D800" s="28" t="n"/>
      <c r="E800" s="29" t="n"/>
      <c r="F800" s="30" t="n"/>
      <c r="G800" s="31" t="n"/>
      <c r="H800" s="31" t="n"/>
      <c r="I800" s="31" t="n"/>
      <c r="J800" s="31" t="n"/>
      <c r="K800" s="31" t="n"/>
      <c r="L800" s="31" t="n"/>
      <c r="M800" s="31" t="n"/>
      <c r="N800" s="31" t="n"/>
      <c r="O800" s="31" t="n"/>
      <c r="P800" s="31" t="n"/>
      <c r="Q800" s="31" t="n"/>
      <c r="R800" s="31" t="n"/>
      <c r="S800" s="32">
        <f>IF($F800="","",IF(IFERROR(VLOOKUP($F800,'维度字典'!$M$2:$N$50,2,0),"求和")="手工录入","",IF(IFERROR(VLOOKUP($F800,'维度字典'!$M$2:$N$50,2,0),"求和")="最新值",IFERROR(LOOKUP(9.99E+307,G800:R800),""),SUM(G800:R800))))</f>
        <v/>
      </c>
      <c r="T800" s="33" t="n"/>
    </row>
    <row r="801">
      <c r="A801" s="26">
        <f>IF($B801="","",ROW()-3)</f>
        <v/>
      </c>
      <c r="B801" s="27" t="n"/>
      <c r="C801" s="27" t="n"/>
      <c r="D801" s="28" t="n"/>
      <c r="E801" s="29" t="n"/>
      <c r="F801" s="30" t="n"/>
      <c r="G801" s="31" t="n"/>
      <c r="H801" s="31" t="n"/>
      <c r="I801" s="31" t="n"/>
      <c r="J801" s="31" t="n"/>
      <c r="K801" s="31" t="n"/>
      <c r="L801" s="31" t="n"/>
      <c r="M801" s="31" t="n"/>
      <c r="N801" s="31" t="n"/>
      <c r="O801" s="31" t="n"/>
      <c r="P801" s="31" t="n"/>
      <c r="Q801" s="31" t="n"/>
      <c r="R801" s="31" t="n"/>
      <c r="S801" s="32">
        <f>IF($F801="","",IF(IFERROR(VLOOKUP($F801,'维度字典'!$M$2:$N$50,2,0),"求和")="手工录入","",IF(IFERROR(VLOOKUP($F801,'维度字典'!$M$2:$N$50,2,0),"求和")="最新值",IFERROR(LOOKUP(9.99E+307,G801:R801),""),SUM(G801:R801))))</f>
        <v/>
      </c>
      <c r="T801" s="33" t="n"/>
    </row>
    <row r="802">
      <c r="A802" s="26">
        <f>IF($B802="","",ROW()-3)</f>
        <v/>
      </c>
      <c r="B802" s="27" t="n"/>
      <c r="C802" s="27" t="n"/>
      <c r="D802" s="28" t="n"/>
      <c r="E802" s="29" t="n"/>
      <c r="F802" s="30" t="n"/>
      <c r="G802" s="31" t="n"/>
      <c r="H802" s="31" t="n"/>
      <c r="I802" s="31" t="n"/>
      <c r="J802" s="31" t="n"/>
      <c r="K802" s="31" t="n"/>
      <c r="L802" s="31" t="n"/>
      <c r="M802" s="31" t="n"/>
      <c r="N802" s="31" t="n"/>
      <c r="O802" s="31" t="n"/>
      <c r="P802" s="31" t="n"/>
      <c r="Q802" s="31" t="n"/>
      <c r="R802" s="31" t="n"/>
      <c r="S802" s="32">
        <f>IF($F802="","",IF(IFERROR(VLOOKUP($F802,'维度字典'!$M$2:$N$50,2,0),"求和")="手工录入","",IF(IFERROR(VLOOKUP($F802,'维度字典'!$M$2:$N$50,2,0),"求和")="最新值",IFERROR(LOOKUP(9.99E+307,G802:R802),""),SUM(G802:R802))))</f>
        <v/>
      </c>
      <c r="T802" s="33" t="n"/>
    </row>
    <row r="803">
      <c r="A803" s="26">
        <f>IF($B803="","",ROW()-3)</f>
        <v/>
      </c>
      <c r="B803" s="27" t="n"/>
      <c r="C803" s="27" t="n"/>
      <c r="D803" s="28" t="n"/>
      <c r="E803" s="29" t="n"/>
      <c r="F803" s="30" t="n"/>
      <c r="G803" s="31" t="n"/>
      <c r="H803" s="31" t="n"/>
      <c r="I803" s="31" t="n"/>
      <c r="J803" s="31" t="n"/>
      <c r="K803" s="31" t="n"/>
      <c r="L803" s="31" t="n"/>
      <c r="M803" s="31" t="n"/>
      <c r="N803" s="31" t="n"/>
      <c r="O803" s="31" t="n"/>
      <c r="P803" s="31" t="n"/>
      <c r="Q803" s="31" t="n"/>
      <c r="R803" s="31" t="n"/>
      <c r="S803" s="32">
        <f>IF($F803="","",IF(IFERROR(VLOOKUP($F803,'维度字典'!$M$2:$N$50,2,0),"求和")="手工录入","",IF(IFERROR(VLOOKUP($F803,'维度字典'!$M$2:$N$50,2,0),"求和")="最新值",IFERROR(LOOKUP(9.99E+307,G803:R803),""),SUM(G803:R803))))</f>
        <v/>
      </c>
      <c r="T803" s="33" t="n"/>
    </row>
    <row r="804">
      <c r="A804" s="26">
        <f>IF($B804="","",ROW()-3)</f>
        <v/>
      </c>
      <c r="B804" s="27" t="n"/>
      <c r="C804" s="27" t="n"/>
      <c r="D804" s="28" t="n"/>
      <c r="E804" s="29" t="n"/>
      <c r="F804" s="30" t="n"/>
      <c r="G804" s="31" t="n"/>
      <c r="H804" s="31" t="n"/>
      <c r="I804" s="31" t="n"/>
      <c r="J804" s="31" t="n"/>
      <c r="K804" s="31" t="n"/>
      <c r="L804" s="31" t="n"/>
      <c r="M804" s="31" t="n"/>
      <c r="N804" s="31" t="n"/>
      <c r="O804" s="31" t="n"/>
      <c r="P804" s="31" t="n"/>
      <c r="Q804" s="31" t="n"/>
      <c r="R804" s="31" t="n"/>
      <c r="S804" s="32">
        <f>IF($F804="","",IF(IFERROR(VLOOKUP($F804,'维度字典'!$M$2:$N$50,2,0),"求和")="手工录入","",IF(IFERROR(VLOOKUP($F804,'维度字典'!$M$2:$N$50,2,0),"求和")="最新值",IFERROR(LOOKUP(9.99E+307,G804:R804),""),SUM(G804:R804))))</f>
        <v/>
      </c>
      <c r="T804" s="33" t="n"/>
    </row>
    <row r="805">
      <c r="A805" s="26">
        <f>IF($B805="","",ROW()-3)</f>
        <v/>
      </c>
      <c r="B805" s="27" t="n"/>
      <c r="C805" s="27" t="n"/>
      <c r="D805" s="28" t="n"/>
      <c r="E805" s="29" t="n"/>
      <c r="F805" s="30" t="n"/>
      <c r="G805" s="31" t="n"/>
      <c r="H805" s="31" t="n"/>
      <c r="I805" s="31" t="n"/>
      <c r="J805" s="31" t="n"/>
      <c r="K805" s="31" t="n"/>
      <c r="L805" s="31" t="n"/>
      <c r="M805" s="31" t="n"/>
      <c r="N805" s="31" t="n"/>
      <c r="O805" s="31" t="n"/>
      <c r="P805" s="31" t="n"/>
      <c r="Q805" s="31" t="n"/>
      <c r="R805" s="31" t="n"/>
      <c r="S805" s="32">
        <f>IF($F805="","",IF(IFERROR(VLOOKUP($F805,'维度字典'!$M$2:$N$50,2,0),"求和")="手工录入","",IF(IFERROR(VLOOKUP($F805,'维度字典'!$M$2:$N$50,2,0),"求和")="最新值",IFERROR(LOOKUP(9.99E+307,G805:R805),""),SUM(G805:R805))))</f>
        <v/>
      </c>
      <c r="T805" s="33" t="n"/>
    </row>
    <row r="806">
      <c r="A806" s="26">
        <f>IF($B806="","",ROW()-3)</f>
        <v/>
      </c>
      <c r="B806" s="27" t="n"/>
      <c r="C806" s="27" t="n"/>
      <c r="D806" s="28" t="n"/>
      <c r="E806" s="29" t="n"/>
      <c r="F806" s="30" t="n"/>
      <c r="G806" s="31" t="n"/>
      <c r="H806" s="31" t="n"/>
      <c r="I806" s="31" t="n"/>
      <c r="J806" s="31" t="n"/>
      <c r="K806" s="31" t="n"/>
      <c r="L806" s="31" t="n"/>
      <c r="M806" s="31" t="n"/>
      <c r="N806" s="31" t="n"/>
      <c r="O806" s="31" t="n"/>
      <c r="P806" s="31" t="n"/>
      <c r="Q806" s="31" t="n"/>
      <c r="R806" s="31" t="n"/>
      <c r="S806" s="32">
        <f>IF($F806="","",IF(IFERROR(VLOOKUP($F806,'维度字典'!$M$2:$N$50,2,0),"求和")="手工录入","",IF(IFERROR(VLOOKUP($F806,'维度字典'!$M$2:$N$50,2,0),"求和")="最新值",IFERROR(LOOKUP(9.99E+307,G806:R806),""),SUM(G806:R806))))</f>
        <v/>
      </c>
      <c r="T806" s="33" t="n"/>
    </row>
    <row r="807">
      <c r="A807" s="26">
        <f>IF($B807="","",ROW()-3)</f>
        <v/>
      </c>
      <c r="B807" s="27" t="n"/>
      <c r="C807" s="27" t="n"/>
      <c r="D807" s="28" t="n"/>
      <c r="E807" s="29" t="n"/>
      <c r="F807" s="30" t="n"/>
      <c r="G807" s="31" t="n"/>
      <c r="H807" s="31" t="n"/>
      <c r="I807" s="31" t="n"/>
      <c r="J807" s="31" t="n"/>
      <c r="K807" s="31" t="n"/>
      <c r="L807" s="31" t="n"/>
      <c r="M807" s="31" t="n"/>
      <c r="N807" s="31" t="n"/>
      <c r="O807" s="31" t="n"/>
      <c r="P807" s="31" t="n"/>
      <c r="Q807" s="31" t="n"/>
      <c r="R807" s="31" t="n"/>
      <c r="S807" s="32">
        <f>IF($F807="","",IF(IFERROR(VLOOKUP($F807,'维度字典'!$M$2:$N$50,2,0),"求和")="手工录入","",IF(IFERROR(VLOOKUP($F807,'维度字典'!$M$2:$N$50,2,0),"求和")="最新值",IFERROR(LOOKUP(9.99E+307,G807:R807),""),SUM(G807:R807))))</f>
        <v/>
      </c>
      <c r="T807" s="33" t="n"/>
    </row>
    <row r="808">
      <c r="A808" s="26">
        <f>IF($B808="","",ROW()-3)</f>
        <v/>
      </c>
      <c r="B808" s="27" t="n"/>
      <c r="C808" s="27" t="n"/>
      <c r="D808" s="28" t="n"/>
      <c r="E808" s="29" t="n"/>
      <c r="F808" s="30" t="n"/>
      <c r="G808" s="31" t="n"/>
      <c r="H808" s="31" t="n"/>
      <c r="I808" s="31" t="n"/>
      <c r="J808" s="31" t="n"/>
      <c r="K808" s="31" t="n"/>
      <c r="L808" s="31" t="n"/>
      <c r="M808" s="31" t="n"/>
      <c r="N808" s="31" t="n"/>
      <c r="O808" s="31" t="n"/>
      <c r="P808" s="31" t="n"/>
      <c r="Q808" s="31" t="n"/>
      <c r="R808" s="31" t="n"/>
      <c r="S808" s="32">
        <f>IF($F808="","",IF(IFERROR(VLOOKUP($F808,'维度字典'!$M$2:$N$50,2,0),"求和")="手工录入","",IF(IFERROR(VLOOKUP($F808,'维度字典'!$M$2:$N$50,2,0),"求和")="最新值",IFERROR(LOOKUP(9.99E+307,G808:R808),""),SUM(G808:R808))))</f>
        <v/>
      </c>
      <c r="T808" s="33" t="n"/>
    </row>
    <row r="809">
      <c r="A809" s="26">
        <f>IF($B809="","",ROW()-3)</f>
        <v/>
      </c>
      <c r="B809" s="27" t="n"/>
      <c r="C809" s="27" t="n"/>
      <c r="D809" s="28" t="n"/>
      <c r="E809" s="29" t="n"/>
      <c r="F809" s="30" t="n"/>
      <c r="G809" s="31" t="n"/>
      <c r="H809" s="31" t="n"/>
      <c r="I809" s="31" t="n"/>
      <c r="J809" s="31" t="n"/>
      <c r="K809" s="31" t="n"/>
      <c r="L809" s="31" t="n"/>
      <c r="M809" s="31" t="n"/>
      <c r="N809" s="31" t="n"/>
      <c r="O809" s="31" t="n"/>
      <c r="P809" s="31" t="n"/>
      <c r="Q809" s="31" t="n"/>
      <c r="R809" s="31" t="n"/>
      <c r="S809" s="32">
        <f>IF($F809="","",IF(IFERROR(VLOOKUP($F809,'维度字典'!$M$2:$N$50,2,0),"求和")="手工录入","",IF(IFERROR(VLOOKUP($F809,'维度字典'!$M$2:$N$50,2,0),"求和")="最新值",IFERROR(LOOKUP(9.99E+307,G809:R809),""),SUM(G809:R809))))</f>
        <v/>
      </c>
      <c r="T809" s="33" t="n"/>
    </row>
    <row r="810">
      <c r="A810" s="26">
        <f>IF($B810="","",ROW()-3)</f>
        <v/>
      </c>
      <c r="B810" s="27" t="n"/>
      <c r="C810" s="27" t="n"/>
      <c r="D810" s="28" t="n"/>
      <c r="E810" s="29" t="n"/>
      <c r="F810" s="30" t="n"/>
      <c r="G810" s="31" t="n"/>
      <c r="H810" s="31" t="n"/>
      <c r="I810" s="31" t="n"/>
      <c r="J810" s="31" t="n"/>
      <c r="K810" s="31" t="n"/>
      <c r="L810" s="31" t="n"/>
      <c r="M810" s="31" t="n"/>
      <c r="N810" s="31" t="n"/>
      <c r="O810" s="31" t="n"/>
      <c r="P810" s="31" t="n"/>
      <c r="Q810" s="31" t="n"/>
      <c r="R810" s="31" t="n"/>
      <c r="S810" s="32">
        <f>IF($F810="","",IF(IFERROR(VLOOKUP($F810,'维度字典'!$M$2:$N$50,2,0),"求和")="手工录入","",IF(IFERROR(VLOOKUP($F810,'维度字典'!$M$2:$N$50,2,0),"求和")="最新值",IFERROR(LOOKUP(9.99E+307,G810:R810),""),SUM(G810:R810))))</f>
        <v/>
      </c>
      <c r="T810" s="33" t="n"/>
    </row>
    <row r="811">
      <c r="A811" s="26">
        <f>IF($B811="","",ROW()-3)</f>
        <v/>
      </c>
      <c r="B811" s="27" t="n"/>
      <c r="C811" s="27" t="n"/>
      <c r="D811" s="28" t="n"/>
      <c r="E811" s="29" t="n"/>
      <c r="F811" s="30" t="n"/>
      <c r="G811" s="31" t="n"/>
      <c r="H811" s="31" t="n"/>
      <c r="I811" s="31" t="n"/>
      <c r="J811" s="31" t="n"/>
      <c r="K811" s="31" t="n"/>
      <c r="L811" s="31" t="n"/>
      <c r="M811" s="31" t="n"/>
      <c r="N811" s="31" t="n"/>
      <c r="O811" s="31" t="n"/>
      <c r="P811" s="31" t="n"/>
      <c r="Q811" s="31" t="n"/>
      <c r="R811" s="31" t="n"/>
      <c r="S811" s="32">
        <f>IF($F811="","",IF(IFERROR(VLOOKUP($F811,'维度字典'!$M$2:$N$50,2,0),"求和")="手工录入","",IF(IFERROR(VLOOKUP($F811,'维度字典'!$M$2:$N$50,2,0),"求和")="最新值",IFERROR(LOOKUP(9.99E+307,G811:R811),""),SUM(G811:R811))))</f>
        <v/>
      </c>
      <c r="T811" s="33" t="n"/>
    </row>
    <row r="812">
      <c r="A812" s="26">
        <f>IF($B812="","",ROW()-3)</f>
        <v/>
      </c>
      <c r="B812" s="27" t="n"/>
      <c r="C812" s="27" t="n"/>
      <c r="D812" s="28" t="n"/>
      <c r="E812" s="29" t="n"/>
      <c r="F812" s="30" t="n"/>
      <c r="G812" s="31" t="n"/>
      <c r="H812" s="31" t="n"/>
      <c r="I812" s="31" t="n"/>
      <c r="J812" s="31" t="n"/>
      <c r="K812" s="31" t="n"/>
      <c r="L812" s="31" t="n"/>
      <c r="M812" s="31" t="n"/>
      <c r="N812" s="31" t="n"/>
      <c r="O812" s="31" t="n"/>
      <c r="P812" s="31" t="n"/>
      <c r="Q812" s="31" t="n"/>
      <c r="R812" s="31" t="n"/>
      <c r="S812" s="32">
        <f>IF($F812="","",IF(IFERROR(VLOOKUP($F812,'维度字典'!$M$2:$N$50,2,0),"求和")="手工录入","",IF(IFERROR(VLOOKUP($F812,'维度字典'!$M$2:$N$50,2,0),"求和")="最新值",IFERROR(LOOKUP(9.99E+307,G812:R812),""),SUM(G812:R812))))</f>
        <v/>
      </c>
      <c r="T812" s="33" t="n"/>
    </row>
    <row r="813">
      <c r="A813" s="26">
        <f>IF($B813="","",ROW()-3)</f>
        <v/>
      </c>
      <c r="B813" s="27" t="n"/>
      <c r="C813" s="27" t="n"/>
      <c r="D813" s="28" t="n"/>
      <c r="E813" s="29" t="n"/>
      <c r="F813" s="30" t="n"/>
      <c r="G813" s="31" t="n"/>
      <c r="H813" s="31" t="n"/>
      <c r="I813" s="31" t="n"/>
      <c r="J813" s="31" t="n"/>
      <c r="K813" s="31" t="n"/>
      <c r="L813" s="31" t="n"/>
      <c r="M813" s="31" t="n"/>
      <c r="N813" s="31" t="n"/>
      <c r="O813" s="31" t="n"/>
      <c r="P813" s="31" t="n"/>
      <c r="Q813" s="31" t="n"/>
      <c r="R813" s="31" t="n"/>
      <c r="S813" s="32">
        <f>IF($F813="","",IF(IFERROR(VLOOKUP($F813,'维度字典'!$M$2:$N$50,2,0),"求和")="手工录入","",IF(IFERROR(VLOOKUP($F813,'维度字典'!$M$2:$N$50,2,0),"求和")="最新值",IFERROR(LOOKUP(9.99E+307,G813:R813),""),SUM(G813:R813))))</f>
        <v/>
      </c>
      <c r="T813" s="33" t="n"/>
    </row>
    <row r="814">
      <c r="A814" s="26">
        <f>IF($B814="","",ROW()-3)</f>
        <v/>
      </c>
      <c r="B814" s="27" t="n"/>
      <c r="C814" s="27" t="n"/>
      <c r="D814" s="28" t="n"/>
      <c r="E814" s="29" t="n"/>
      <c r="F814" s="30" t="n"/>
      <c r="G814" s="31" t="n"/>
      <c r="H814" s="31" t="n"/>
      <c r="I814" s="31" t="n"/>
      <c r="J814" s="31" t="n"/>
      <c r="K814" s="31" t="n"/>
      <c r="L814" s="31" t="n"/>
      <c r="M814" s="31" t="n"/>
      <c r="N814" s="31" t="n"/>
      <c r="O814" s="31" t="n"/>
      <c r="P814" s="31" t="n"/>
      <c r="Q814" s="31" t="n"/>
      <c r="R814" s="31" t="n"/>
      <c r="S814" s="32">
        <f>IF($F814="","",IF(IFERROR(VLOOKUP($F814,'维度字典'!$M$2:$N$50,2,0),"求和")="手工录入","",IF(IFERROR(VLOOKUP($F814,'维度字典'!$M$2:$N$50,2,0),"求和")="最新值",IFERROR(LOOKUP(9.99E+307,G814:R814),""),SUM(G814:R814))))</f>
        <v/>
      </c>
      <c r="T814" s="33" t="n"/>
    </row>
    <row r="815">
      <c r="A815" s="26">
        <f>IF($B815="","",ROW()-3)</f>
        <v/>
      </c>
      <c r="B815" s="27" t="n"/>
      <c r="C815" s="27" t="n"/>
      <c r="D815" s="28" t="n"/>
      <c r="E815" s="29" t="n"/>
      <c r="F815" s="30" t="n"/>
      <c r="G815" s="31" t="n"/>
      <c r="H815" s="31" t="n"/>
      <c r="I815" s="31" t="n"/>
      <c r="J815" s="31" t="n"/>
      <c r="K815" s="31" t="n"/>
      <c r="L815" s="31" t="n"/>
      <c r="M815" s="31" t="n"/>
      <c r="N815" s="31" t="n"/>
      <c r="O815" s="31" t="n"/>
      <c r="P815" s="31" t="n"/>
      <c r="Q815" s="31" t="n"/>
      <c r="R815" s="31" t="n"/>
      <c r="S815" s="32">
        <f>IF($F815="","",IF(IFERROR(VLOOKUP($F815,'维度字典'!$M$2:$N$50,2,0),"求和")="手工录入","",IF(IFERROR(VLOOKUP($F815,'维度字典'!$M$2:$N$50,2,0),"求和")="最新值",IFERROR(LOOKUP(9.99E+307,G815:R815),""),SUM(G815:R815))))</f>
        <v/>
      </c>
      <c r="T815" s="33" t="n"/>
    </row>
    <row r="816">
      <c r="A816" s="26">
        <f>IF($B816="","",ROW()-3)</f>
        <v/>
      </c>
      <c r="B816" s="27" t="n"/>
      <c r="C816" s="27" t="n"/>
      <c r="D816" s="28" t="n"/>
      <c r="E816" s="29" t="n"/>
      <c r="F816" s="30" t="n"/>
      <c r="G816" s="31" t="n"/>
      <c r="H816" s="31" t="n"/>
      <c r="I816" s="31" t="n"/>
      <c r="J816" s="31" t="n"/>
      <c r="K816" s="31" t="n"/>
      <c r="L816" s="31" t="n"/>
      <c r="M816" s="31" t="n"/>
      <c r="N816" s="31" t="n"/>
      <c r="O816" s="31" t="n"/>
      <c r="P816" s="31" t="n"/>
      <c r="Q816" s="31" t="n"/>
      <c r="R816" s="31" t="n"/>
      <c r="S816" s="32">
        <f>IF($F816="","",IF(IFERROR(VLOOKUP($F816,'维度字典'!$M$2:$N$50,2,0),"求和")="手工录入","",IF(IFERROR(VLOOKUP($F816,'维度字典'!$M$2:$N$50,2,0),"求和")="最新值",IFERROR(LOOKUP(9.99E+307,G816:R816),""),SUM(G816:R816))))</f>
        <v/>
      </c>
      <c r="T816" s="33" t="n"/>
    </row>
    <row r="817">
      <c r="A817" s="26">
        <f>IF($B817="","",ROW()-3)</f>
        <v/>
      </c>
      <c r="B817" s="27" t="n"/>
      <c r="C817" s="27" t="n"/>
      <c r="D817" s="28" t="n"/>
      <c r="E817" s="29" t="n"/>
      <c r="F817" s="30" t="n"/>
      <c r="G817" s="31" t="n"/>
      <c r="H817" s="31" t="n"/>
      <c r="I817" s="31" t="n"/>
      <c r="J817" s="31" t="n"/>
      <c r="K817" s="31" t="n"/>
      <c r="L817" s="31" t="n"/>
      <c r="M817" s="31" t="n"/>
      <c r="N817" s="31" t="n"/>
      <c r="O817" s="31" t="n"/>
      <c r="P817" s="31" t="n"/>
      <c r="Q817" s="31" t="n"/>
      <c r="R817" s="31" t="n"/>
      <c r="S817" s="32">
        <f>IF($F817="","",IF(IFERROR(VLOOKUP($F817,'维度字典'!$M$2:$N$50,2,0),"求和")="手工录入","",IF(IFERROR(VLOOKUP($F817,'维度字典'!$M$2:$N$50,2,0),"求和")="最新值",IFERROR(LOOKUP(9.99E+307,G817:R817),""),SUM(G817:R817))))</f>
        <v/>
      </c>
      <c r="T817" s="33" t="n"/>
    </row>
    <row r="818">
      <c r="A818" s="26">
        <f>IF($B818="","",ROW()-3)</f>
        <v/>
      </c>
      <c r="B818" s="27" t="n"/>
      <c r="C818" s="27" t="n"/>
      <c r="D818" s="28" t="n"/>
      <c r="E818" s="29" t="n"/>
      <c r="F818" s="30" t="n"/>
      <c r="G818" s="31" t="n"/>
      <c r="H818" s="31" t="n"/>
      <c r="I818" s="31" t="n"/>
      <c r="J818" s="31" t="n"/>
      <c r="K818" s="31" t="n"/>
      <c r="L818" s="31" t="n"/>
      <c r="M818" s="31" t="n"/>
      <c r="N818" s="31" t="n"/>
      <c r="O818" s="31" t="n"/>
      <c r="P818" s="31" t="n"/>
      <c r="Q818" s="31" t="n"/>
      <c r="R818" s="31" t="n"/>
      <c r="S818" s="32">
        <f>IF($F818="","",IF(IFERROR(VLOOKUP($F818,'维度字典'!$M$2:$N$50,2,0),"求和")="手工录入","",IF(IFERROR(VLOOKUP($F818,'维度字典'!$M$2:$N$50,2,0),"求和")="最新值",IFERROR(LOOKUP(9.99E+307,G818:R818),""),SUM(G818:R818))))</f>
        <v/>
      </c>
      <c r="T818" s="33" t="n"/>
    </row>
    <row r="819">
      <c r="A819" s="26">
        <f>IF($B819="","",ROW()-3)</f>
        <v/>
      </c>
      <c r="B819" s="27" t="n"/>
      <c r="C819" s="27" t="n"/>
      <c r="D819" s="28" t="n"/>
      <c r="E819" s="29" t="n"/>
      <c r="F819" s="30" t="n"/>
      <c r="G819" s="31" t="n"/>
      <c r="H819" s="31" t="n"/>
      <c r="I819" s="31" t="n"/>
      <c r="J819" s="31" t="n"/>
      <c r="K819" s="31" t="n"/>
      <c r="L819" s="31" t="n"/>
      <c r="M819" s="31" t="n"/>
      <c r="N819" s="31" t="n"/>
      <c r="O819" s="31" t="n"/>
      <c r="P819" s="31" t="n"/>
      <c r="Q819" s="31" t="n"/>
      <c r="R819" s="31" t="n"/>
      <c r="S819" s="32">
        <f>IF($F819="","",IF(IFERROR(VLOOKUP($F819,'维度字典'!$M$2:$N$50,2,0),"求和")="手工录入","",IF(IFERROR(VLOOKUP($F819,'维度字典'!$M$2:$N$50,2,0),"求和")="最新值",IFERROR(LOOKUP(9.99E+307,G819:R819),""),SUM(G819:R819))))</f>
        <v/>
      </c>
      <c r="T819" s="33" t="n"/>
    </row>
    <row r="820">
      <c r="A820" s="26">
        <f>IF($B820="","",ROW()-3)</f>
        <v/>
      </c>
      <c r="B820" s="27" t="n"/>
      <c r="C820" s="27" t="n"/>
      <c r="D820" s="28" t="n"/>
      <c r="E820" s="29" t="n"/>
      <c r="F820" s="30" t="n"/>
      <c r="G820" s="31" t="n"/>
      <c r="H820" s="31" t="n"/>
      <c r="I820" s="31" t="n"/>
      <c r="J820" s="31" t="n"/>
      <c r="K820" s="31" t="n"/>
      <c r="L820" s="31" t="n"/>
      <c r="M820" s="31" t="n"/>
      <c r="N820" s="31" t="n"/>
      <c r="O820" s="31" t="n"/>
      <c r="P820" s="31" t="n"/>
      <c r="Q820" s="31" t="n"/>
      <c r="R820" s="31" t="n"/>
      <c r="S820" s="32">
        <f>IF($F820="","",IF(IFERROR(VLOOKUP($F820,'维度字典'!$M$2:$N$50,2,0),"求和")="手工录入","",IF(IFERROR(VLOOKUP($F820,'维度字典'!$M$2:$N$50,2,0),"求和")="最新值",IFERROR(LOOKUP(9.99E+307,G820:R820),""),SUM(G820:R820))))</f>
        <v/>
      </c>
      <c r="T820" s="33" t="n"/>
    </row>
    <row r="821">
      <c r="A821" s="26">
        <f>IF($B821="","",ROW()-3)</f>
        <v/>
      </c>
      <c r="B821" s="27" t="n"/>
      <c r="C821" s="27" t="n"/>
      <c r="D821" s="28" t="n"/>
      <c r="E821" s="29" t="n"/>
      <c r="F821" s="30" t="n"/>
      <c r="G821" s="31" t="n"/>
      <c r="H821" s="31" t="n"/>
      <c r="I821" s="31" t="n"/>
      <c r="J821" s="31" t="n"/>
      <c r="K821" s="31" t="n"/>
      <c r="L821" s="31" t="n"/>
      <c r="M821" s="31" t="n"/>
      <c r="N821" s="31" t="n"/>
      <c r="O821" s="31" t="n"/>
      <c r="P821" s="31" t="n"/>
      <c r="Q821" s="31" t="n"/>
      <c r="R821" s="31" t="n"/>
      <c r="S821" s="32">
        <f>IF($F821="","",IF(IFERROR(VLOOKUP($F821,'维度字典'!$M$2:$N$50,2,0),"求和")="手工录入","",IF(IFERROR(VLOOKUP($F821,'维度字典'!$M$2:$N$50,2,0),"求和")="最新值",IFERROR(LOOKUP(9.99E+307,G821:R821),""),SUM(G821:R821))))</f>
        <v/>
      </c>
      <c r="T821" s="33" t="n"/>
    </row>
    <row r="822">
      <c r="A822" s="26">
        <f>IF($B822="","",ROW()-3)</f>
        <v/>
      </c>
      <c r="B822" s="27" t="n"/>
      <c r="C822" s="27" t="n"/>
      <c r="D822" s="28" t="n"/>
      <c r="E822" s="29" t="n"/>
      <c r="F822" s="30" t="n"/>
      <c r="G822" s="31" t="n"/>
      <c r="H822" s="31" t="n"/>
      <c r="I822" s="31" t="n"/>
      <c r="J822" s="31" t="n"/>
      <c r="K822" s="31" t="n"/>
      <c r="L822" s="31" t="n"/>
      <c r="M822" s="31" t="n"/>
      <c r="N822" s="31" t="n"/>
      <c r="O822" s="31" t="n"/>
      <c r="P822" s="31" t="n"/>
      <c r="Q822" s="31" t="n"/>
      <c r="R822" s="31" t="n"/>
      <c r="S822" s="32">
        <f>IF($F822="","",IF(IFERROR(VLOOKUP($F822,'维度字典'!$M$2:$N$50,2,0),"求和")="手工录入","",IF(IFERROR(VLOOKUP($F822,'维度字典'!$M$2:$N$50,2,0),"求和")="最新值",IFERROR(LOOKUP(9.99E+307,G822:R822),""),SUM(G822:R822))))</f>
        <v/>
      </c>
      <c r="T822" s="33" t="n"/>
    </row>
    <row r="823">
      <c r="A823" s="26">
        <f>IF($B823="","",ROW()-3)</f>
        <v/>
      </c>
      <c r="B823" s="27" t="n"/>
      <c r="C823" s="27" t="n"/>
      <c r="D823" s="28" t="n"/>
      <c r="E823" s="29" t="n"/>
      <c r="F823" s="30" t="n"/>
      <c r="G823" s="31" t="n"/>
      <c r="H823" s="31" t="n"/>
      <c r="I823" s="31" t="n"/>
      <c r="J823" s="31" t="n"/>
      <c r="K823" s="31" t="n"/>
      <c r="L823" s="31" t="n"/>
      <c r="M823" s="31" t="n"/>
      <c r="N823" s="31" t="n"/>
      <c r="O823" s="31" t="n"/>
      <c r="P823" s="31" t="n"/>
      <c r="Q823" s="31" t="n"/>
      <c r="R823" s="31" t="n"/>
      <c r="S823" s="32">
        <f>IF($F823="","",IF(IFERROR(VLOOKUP($F823,'维度字典'!$M$2:$N$50,2,0),"求和")="手工录入","",IF(IFERROR(VLOOKUP($F823,'维度字典'!$M$2:$N$50,2,0),"求和")="最新值",IFERROR(LOOKUP(9.99E+307,G823:R823),""),SUM(G823:R823))))</f>
        <v/>
      </c>
      <c r="T823" s="33" t="n"/>
    </row>
    <row r="824">
      <c r="A824" s="26">
        <f>IF($B824="","",ROW()-3)</f>
        <v/>
      </c>
      <c r="B824" s="27" t="n"/>
      <c r="C824" s="27" t="n"/>
      <c r="D824" s="28" t="n"/>
      <c r="E824" s="29" t="n"/>
      <c r="F824" s="30" t="n"/>
      <c r="G824" s="31" t="n"/>
      <c r="H824" s="31" t="n"/>
      <c r="I824" s="31" t="n"/>
      <c r="J824" s="31" t="n"/>
      <c r="K824" s="31" t="n"/>
      <c r="L824" s="31" t="n"/>
      <c r="M824" s="31" t="n"/>
      <c r="N824" s="31" t="n"/>
      <c r="O824" s="31" t="n"/>
      <c r="P824" s="31" t="n"/>
      <c r="Q824" s="31" t="n"/>
      <c r="R824" s="31" t="n"/>
      <c r="S824" s="32">
        <f>IF($F824="","",IF(IFERROR(VLOOKUP($F824,'维度字典'!$M$2:$N$50,2,0),"求和")="手工录入","",IF(IFERROR(VLOOKUP($F824,'维度字典'!$M$2:$N$50,2,0),"求和")="最新值",IFERROR(LOOKUP(9.99E+307,G824:R824),""),SUM(G824:R824))))</f>
        <v/>
      </c>
      <c r="T824" s="33" t="n"/>
    </row>
    <row r="825">
      <c r="A825" s="26">
        <f>IF($B825="","",ROW()-3)</f>
        <v/>
      </c>
      <c r="B825" s="27" t="n"/>
      <c r="C825" s="27" t="n"/>
      <c r="D825" s="28" t="n"/>
      <c r="E825" s="29" t="n"/>
      <c r="F825" s="30" t="n"/>
      <c r="G825" s="31" t="n"/>
      <c r="H825" s="31" t="n"/>
      <c r="I825" s="31" t="n"/>
      <c r="J825" s="31" t="n"/>
      <c r="K825" s="31" t="n"/>
      <c r="L825" s="31" t="n"/>
      <c r="M825" s="31" t="n"/>
      <c r="N825" s="31" t="n"/>
      <c r="O825" s="31" t="n"/>
      <c r="P825" s="31" t="n"/>
      <c r="Q825" s="31" t="n"/>
      <c r="R825" s="31" t="n"/>
      <c r="S825" s="32">
        <f>IF($F825="","",IF(IFERROR(VLOOKUP($F825,'维度字典'!$M$2:$N$50,2,0),"求和")="手工录入","",IF(IFERROR(VLOOKUP($F825,'维度字典'!$M$2:$N$50,2,0),"求和")="最新值",IFERROR(LOOKUP(9.99E+307,G825:R825),""),SUM(G825:R825))))</f>
        <v/>
      </c>
      <c r="T825" s="33" t="n"/>
    </row>
    <row r="826">
      <c r="A826" s="26">
        <f>IF($B826="","",ROW()-3)</f>
        <v/>
      </c>
      <c r="B826" s="27" t="n"/>
      <c r="C826" s="27" t="n"/>
      <c r="D826" s="28" t="n"/>
      <c r="E826" s="29" t="n"/>
      <c r="F826" s="30" t="n"/>
      <c r="G826" s="31" t="n"/>
      <c r="H826" s="31" t="n"/>
      <c r="I826" s="31" t="n"/>
      <c r="J826" s="31" t="n"/>
      <c r="K826" s="31" t="n"/>
      <c r="L826" s="31" t="n"/>
      <c r="M826" s="31" t="n"/>
      <c r="N826" s="31" t="n"/>
      <c r="O826" s="31" t="n"/>
      <c r="P826" s="31" t="n"/>
      <c r="Q826" s="31" t="n"/>
      <c r="R826" s="31" t="n"/>
      <c r="S826" s="32">
        <f>IF($F826="","",IF(IFERROR(VLOOKUP($F826,'维度字典'!$M$2:$N$50,2,0),"求和")="手工录入","",IF(IFERROR(VLOOKUP($F826,'维度字典'!$M$2:$N$50,2,0),"求和")="最新值",IFERROR(LOOKUP(9.99E+307,G826:R826),""),SUM(G826:R826))))</f>
        <v/>
      </c>
      <c r="T826" s="33" t="n"/>
    </row>
    <row r="827">
      <c r="A827" s="26">
        <f>IF($B827="","",ROW()-3)</f>
        <v/>
      </c>
      <c r="B827" s="27" t="n"/>
      <c r="C827" s="27" t="n"/>
      <c r="D827" s="28" t="n"/>
      <c r="E827" s="29" t="n"/>
      <c r="F827" s="30" t="n"/>
      <c r="G827" s="31" t="n"/>
      <c r="H827" s="31" t="n"/>
      <c r="I827" s="31" t="n"/>
      <c r="J827" s="31" t="n"/>
      <c r="K827" s="31" t="n"/>
      <c r="L827" s="31" t="n"/>
      <c r="M827" s="31" t="n"/>
      <c r="N827" s="31" t="n"/>
      <c r="O827" s="31" t="n"/>
      <c r="P827" s="31" t="n"/>
      <c r="Q827" s="31" t="n"/>
      <c r="R827" s="31" t="n"/>
      <c r="S827" s="32">
        <f>IF($F827="","",IF(IFERROR(VLOOKUP($F827,'维度字典'!$M$2:$N$50,2,0),"求和")="手工录入","",IF(IFERROR(VLOOKUP($F827,'维度字典'!$M$2:$N$50,2,0),"求和")="最新值",IFERROR(LOOKUP(9.99E+307,G827:R827),""),SUM(G827:R827))))</f>
        <v/>
      </c>
      <c r="T827" s="33" t="n"/>
    </row>
    <row r="828">
      <c r="A828" s="26">
        <f>IF($B828="","",ROW()-3)</f>
        <v/>
      </c>
      <c r="B828" s="27" t="n"/>
      <c r="C828" s="27" t="n"/>
      <c r="D828" s="28" t="n"/>
      <c r="E828" s="29" t="n"/>
      <c r="F828" s="30" t="n"/>
      <c r="G828" s="31" t="n"/>
      <c r="H828" s="31" t="n"/>
      <c r="I828" s="31" t="n"/>
      <c r="J828" s="31" t="n"/>
      <c r="K828" s="31" t="n"/>
      <c r="L828" s="31" t="n"/>
      <c r="M828" s="31" t="n"/>
      <c r="N828" s="31" t="n"/>
      <c r="O828" s="31" t="n"/>
      <c r="P828" s="31" t="n"/>
      <c r="Q828" s="31" t="n"/>
      <c r="R828" s="31" t="n"/>
      <c r="S828" s="32">
        <f>IF($F828="","",IF(IFERROR(VLOOKUP($F828,'维度字典'!$M$2:$N$50,2,0),"求和")="手工录入","",IF(IFERROR(VLOOKUP($F828,'维度字典'!$M$2:$N$50,2,0),"求和")="最新值",IFERROR(LOOKUP(9.99E+307,G828:R828),""),SUM(G828:R828))))</f>
        <v/>
      </c>
      <c r="T828" s="33" t="n"/>
    </row>
    <row r="829">
      <c r="A829" s="26">
        <f>IF($B829="","",ROW()-3)</f>
        <v/>
      </c>
      <c r="B829" s="27" t="n"/>
      <c r="C829" s="27" t="n"/>
      <c r="D829" s="28" t="n"/>
      <c r="E829" s="29" t="n"/>
      <c r="F829" s="30" t="n"/>
      <c r="G829" s="31" t="n"/>
      <c r="H829" s="31" t="n"/>
      <c r="I829" s="31" t="n"/>
      <c r="J829" s="31" t="n"/>
      <c r="K829" s="31" t="n"/>
      <c r="L829" s="31" t="n"/>
      <c r="M829" s="31" t="n"/>
      <c r="N829" s="31" t="n"/>
      <c r="O829" s="31" t="n"/>
      <c r="P829" s="31" t="n"/>
      <c r="Q829" s="31" t="n"/>
      <c r="R829" s="31" t="n"/>
      <c r="S829" s="32">
        <f>IF($F829="","",IF(IFERROR(VLOOKUP($F829,'维度字典'!$M$2:$N$50,2,0),"求和")="手工录入","",IF(IFERROR(VLOOKUP($F829,'维度字典'!$M$2:$N$50,2,0),"求和")="最新值",IFERROR(LOOKUP(9.99E+307,G829:R829),""),SUM(G829:R829))))</f>
        <v/>
      </c>
      <c r="T829" s="33" t="n"/>
    </row>
    <row r="830">
      <c r="A830" s="26">
        <f>IF($B830="","",ROW()-3)</f>
        <v/>
      </c>
      <c r="B830" s="27" t="n"/>
      <c r="C830" s="27" t="n"/>
      <c r="D830" s="28" t="n"/>
      <c r="E830" s="29" t="n"/>
      <c r="F830" s="30" t="n"/>
      <c r="G830" s="31" t="n"/>
      <c r="H830" s="31" t="n"/>
      <c r="I830" s="31" t="n"/>
      <c r="J830" s="31" t="n"/>
      <c r="K830" s="31" t="n"/>
      <c r="L830" s="31" t="n"/>
      <c r="M830" s="31" t="n"/>
      <c r="N830" s="31" t="n"/>
      <c r="O830" s="31" t="n"/>
      <c r="P830" s="31" t="n"/>
      <c r="Q830" s="31" t="n"/>
      <c r="R830" s="31" t="n"/>
      <c r="S830" s="32">
        <f>IF($F830="","",IF(IFERROR(VLOOKUP($F830,'维度字典'!$M$2:$N$50,2,0),"求和")="手工录入","",IF(IFERROR(VLOOKUP($F830,'维度字典'!$M$2:$N$50,2,0),"求和")="最新值",IFERROR(LOOKUP(9.99E+307,G830:R830),""),SUM(G830:R830))))</f>
        <v/>
      </c>
      <c r="T830" s="33" t="n"/>
    </row>
    <row r="831">
      <c r="A831" s="26">
        <f>IF($B831="","",ROW()-3)</f>
        <v/>
      </c>
      <c r="B831" s="27" t="n"/>
      <c r="C831" s="27" t="n"/>
      <c r="D831" s="28" t="n"/>
      <c r="E831" s="29" t="n"/>
      <c r="F831" s="30" t="n"/>
      <c r="G831" s="31" t="n"/>
      <c r="H831" s="31" t="n"/>
      <c r="I831" s="31" t="n"/>
      <c r="J831" s="31" t="n"/>
      <c r="K831" s="31" t="n"/>
      <c r="L831" s="31" t="n"/>
      <c r="M831" s="31" t="n"/>
      <c r="N831" s="31" t="n"/>
      <c r="O831" s="31" t="n"/>
      <c r="P831" s="31" t="n"/>
      <c r="Q831" s="31" t="n"/>
      <c r="R831" s="31" t="n"/>
      <c r="S831" s="32">
        <f>IF($F831="","",IF(IFERROR(VLOOKUP($F831,'维度字典'!$M$2:$N$50,2,0),"求和")="手工录入","",IF(IFERROR(VLOOKUP($F831,'维度字典'!$M$2:$N$50,2,0),"求和")="最新值",IFERROR(LOOKUP(9.99E+307,G831:R831),""),SUM(G831:R831))))</f>
        <v/>
      </c>
      <c r="T831" s="33" t="n"/>
    </row>
    <row r="832">
      <c r="A832" s="26">
        <f>IF($B832="","",ROW()-3)</f>
        <v/>
      </c>
      <c r="B832" s="27" t="n"/>
      <c r="C832" s="27" t="n"/>
      <c r="D832" s="28" t="n"/>
      <c r="E832" s="29" t="n"/>
      <c r="F832" s="30" t="n"/>
      <c r="G832" s="31" t="n"/>
      <c r="H832" s="31" t="n"/>
      <c r="I832" s="31" t="n"/>
      <c r="J832" s="31" t="n"/>
      <c r="K832" s="31" t="n"/>
      <c r="L832" s="31" t="n"/>
      <c r="M832" s="31" t="n"/>
      <c r="N832" s="31" t="n"/>
      <c r="O832" s="31" t="n"/>
      <c r="P832" s="31" t="n"/>
      <c r="Q832" s="31" t="n"/>
      <c r="R832" s="31" t="n"/>
      <c r="S832" s="32">
        <f>IF($F832="","",IF(IFERROR(VLOOKUP($F832,'维度字典'!$M$2:$N$50,2,0),"求和")="手工录入","",IF(IFERROR(VLOOKUP($F832,'维度字典'!$M$2:$N$50,2,0),"求和")="最新值",IFERROR(LOOKUP(9.99E+307,G832:R832),""),SUM(G832:R832))))</f>
        <v/>
      </c>
      <c r="T832" s="33" t="n"/>
    </row>
    <row r="833">
      <c r="A833" s="26">
        <f>IF($B833="","",ROW()-3)</f>
        <v/>
      </c>
      <c r="B833" s="27" t="n"/>
      <c r="C833" s="27" t="n"/>
      <c r="D833" s="28" t="n"/>
      <c r="E833" s="29" t="n"/>
      <c r="F833" s="30" t="n"/>
      <c r="G833" s="31" t="n"/>
      <c r="H833" s="31" t="n"/>
      <c r="I833" s="31" t="n"/>
      <c r="J833" s="31" t="n"/>
      <c r="K833" s="31" t="n"/>
      <c r="L833" s="31" t="n"/>
      <c r="M833" s="31" t="n"/>
      <c r="N833" s="31" t="n"/>
      <c r="O833" s="31" t="n"/>
      <c r="P833" s="31" t="n"/>
      <c r="Q833" s="31" t="n"/>
      <c r="R833" s="31" t="n"/>
      <c r="S833" s="32">
        <f>IF($F833="","",IF(IFERROR(VLOOKUP($F833,'维度字典'!$M$2:$N$50,2,0),"求和")="手工录入","",IF(IFERROR(VLOOKUP($F833,'维度字典'!$M$2:$N$50,2,0),"求和")="最新值",IFERROR(LOOKUP(9.99E+307,G833:R833),""),SUM(G833:R833))))</f>
        <v/>
      </c>
      <c r="T833" s="33" t="n"/>
    </row>
    <row r="834">
      <c r="A834" s="26">
        <f>IF($B834="","",ROW()-3)</f>
        <v/>
      </c>
      <c r="B834" s="27" t="n"/>
      <c r="C834" s="27" t="n"/>
      <c r="D834" s="28" t="n"/>
      <c r="E834" s="29" t="n"/>
      <c r="F834" s="30" t="n"/>
      <c r="G834" s="31" t="n"/>
      <c r="H834" s="31" t="n"/>
      <c r="I834" s="31" t="n"/>
      <c r="J834" s="31" t="n"/>
      <c r="K834" s="31" t="n"/>
      <c r="L834" s="31" t="n"/>
      <c r="M834" s="31" t="n"/>
      <c r="N834" s="31" t="n"/>
      <c r="O834" s="31" t="n"/>
      <c r="P834" s="31" t="n"/>
      <c r="Q834" s="31" t="n"/>
      <c r="R834" s="31" t="n"/>
      <c r="S834" s="32">
        <f>IF($F834="","",IF(IFERROR(VLOOKUP($F834,'维度字典'!$M$2:$N$50,2,0),"求和")="手工录入","",IF(IFERROR(VLOOKUP($F834,'维度字典'!$M$2:$N$50,2,0),"求和")="最新值",IFERROR(LOOKUP(9.99E+307,G834:R834),""),SUM(G834:R834))))</f>
        <v/>
      </c>
      <c r="T834" s="33" t="n"/>
    </row>
    <row r="835">
      <c r="A835" s="26">
        <f>IF($B835="","",ROW()-3)</f>
        <v/>
      </c>
      <c r="B835" s="27" t="n"/>
      <c r="C835" s="27" t="n"/>
      <c r="D835" s="28" t="n"/>
      <c r="E835" s="29" t="n"/>
      <c r="F835" s="30" t="n"/>
      <c r="G835" s="31" t="n"/>
      <c r="H835" s="31" t="n"/>
      <c r="I835" s="31" t="n"/>
      <c r="J835" s="31" t="n"/>
      <c r="K835" s="31" t="n"/>
      <c r="L835" s="31" t="n"/>
      <c r="M835" s="31" t="n"/>
      <c r="N835" s="31" t="n"/>
      <c r="O835" s="31" t="n"/>
      <c r="P835" s="31" t="n"/>
      <c r="Q835" s="31" t="n"/>
      <c r="R835" s="31" t="n"/>
      <c r="S835" s="32">
        <f>IF($F835="","",IF(IFERROR(VLOOKUP($F835,'维度字典'!$M$2:$N$50,2,0),"求和")="手工录入","",IF(IFERROR(VLOOKUP($F835,'维度字典'!$M$2:$N$50,2,0),"求和")="最新值",IFERROR(LOOKUP(9.99E+307,G835:R835),""),SUM(G835:R835))))</f>
        <v/>
      </c>
      <c r="T835" s="33" t="n"/>
    </row>
    <row r="836">
      <c r="A836" s="26">
        <f>IF($B836="","",ROW()-3)</f>
        <v/>
      </c>
      <c r="B836" s="27" t="n"/>
      <c r="C836" s="27" t="n"/>
      <c r="D836" s="28" t="n"/>
      <c r="E836" s="29" t="n"/>
      <c r="F836" s="30" t="n"/>
      <c r="G836" s="31" t="n"/>
      <c r="H836" s="31" t="n"/>
      <c r="I836" s="31" t="n"/>
      <c r="J836" s="31" t="n"/>
      <c r="K836" s="31" t="n"/>
      <c r="L836" s="31" t="n"/>
      <c r="M836" s="31" t="n"/>
      <c r="N836" s="31" t="n"/>
      <c r="O836" s="31" t="n"/>
      <c r="P836" s="31" t="n"/>
      <c r="Q836" s="31" t="n"/>
      <c r="R836" s="31" t="n"/>
      <c r="S836" s="32">
        <f>IF($F836="","",IF(IFERROR(VLOOKUP($F836,'维度字典'!$M$2:$N$50,2,0),"求和")="手工录入","",IF(IFERROR(VLOOKUP($F836,'维度字典'!$M$2:$N$50,2,0),"求和")="最新值",IFERROR(LOOKUP(9.99E+307,G836:R836),""),SUM(G836:R836))))</f>
        <v/>
      </c>
      <c r="T836" s="33" t="n"/>
    </row>
    <row r="837">
      <c r="A837" s="26">
        <f>IF($B837="","",ROW()-3)</f>
        <v/>
      </c>
      <c r="B837" s="27" t="n"/>
      <c r="C837" s="27" t="n"/>
      <c r="D837" s="28" t="n"/>
      <c r="E837" s="29" t="n"/>
      <c r="F837" s="30" t="n"/>
      <c r="G837" s="31" t="n"/>
      <c r="H837" s="31" t="n"/>
      <c r="I837" s="31" t="n"/>
      <c r="J837" s="31" t="n"/>
      <c r="K837" s="31" t="n"/>
      <c r="L837" s="31" t="n"/>
      <c r="M837" s="31" t="n"/>
      <c r="N837" s="31" t="n"/>
      <c r="O837" s="31" t="n"/>
      <c r="P837" s="31" t="n"/>
      <c r="Q837" s="31" t="n"/>
      <c r="R837" s="31" t="n"/>
      <c r="S837" s="32">
        <f>IF($F837="","",IF(IFERROR(VLOOKUP($F837,'维度字典'!$M$2:$N$50,2,0),"求和")="手工录入","",IF(IFERROR(VLOOKUP($F837,'维度字典'!$M$2:$N$50,2,0),"求和")="最新值",IFERROR(LOOKUP(9.99E+307,G837:R837),""),SUM(G837:R837))))</f>
        <v/>
      </c>
      <c r="T837" s="33" t="n"/>
    </row>
    <row r="838">
      <c r="A838" s="26">
        <f>IF($B838="","",ROW()-3)</f>
        <v/>
      </c>
      <c r="B838" s="27" t="n"/>
      <c r="C838" s="27" t="n"/>
      <c r="D838" s="28" t="n"/>
      <c r="E838" s="29" t="n"/>
      <c r="F838" s="30" t="n"/>
      <c r="G838" s="31" t="n"/>
      <c r="H838" s="31" t="n"/>
      <c r="I838" s="31" t="n"/>
      <c r="J838" s="31" t="n"/>
      <c r="K838" s="31" t="n"/>
      <c r="L838" s="31" t="n"/>
      <c r="M838" s="31" t="n"/>
      <c r="N838" s="31" t="n"/>
      <c r="O838" s="31" t="n"/>
      <c r="P838" s="31" t="n"/>
      <c r="Q838" s="31" t="n"/>
      <c r="R838" s="31" t="n"/>
      <c r="S838" s="32">
        <f>IF($F838="","",IF(IFERROR(VLOOKUP($F838,'维度字典'!$M$2:$N$50,2,0),"求和")="手工录入","",IF(IFERROR(VLOOKUP($F838,'维度字典'!$M$2:$N$50,2,0),"求和")="最新值",IFERROR(LOOKUP(9.99E+307,G838:R838),""),SUM(G838:R838))))</f>
        <v/>
      </c>
      <c r="T838" s="33" t="n"/>
    </row>
    <row r="839">
      <c r="A839" s="26">
        <f>IF($B839="","",ROW()-3)</f>
        <v/>
      </c>
      <c r="B839" s="27" t="n"/>
      <c r="C839" s="27" t="n"/>
      <c r="D839" s="28" t="n"/>
      <c r="E839" s="29" t="n"/>
      <c r="F839" s="30" t="n"/>
      <c r="G839" s="31" t="n"/>
      <c r="H839" s="31" t="n"/>
      <c r="I839" s="31" t="n"/>
      <c r="J839" s="31" t="n"/>
      <c r="K839" s="31" t="n"/>
      <c r="L839" s="31" t="n"/>
      <c r="M839" s="31" t="n"/>
      <c r="N839" s="31" t="n"/>
      <c r="O839" s="31" t="n"/>
      <c r="P839" s="31" t="n"/>
      <c r="Q839" s="31" t="n"/>
      <c r="R839" s="31" t="n"/>
      <c r="S839" s="32">
        <f>IF($F839="","",IF(IFERROR(VLOOKUP($F839,'维度字典'!$M$2:$N$50,2,0),"求和")="手工录入","",IF(IFERROR(VLOOKUP($F839,'维度字典'!$M$2:$N$50,2,0),"求和")="最新值",IFERROR(LOOKUP(9.99E+307,G839:R839),""),SUM(G839:R839))))</f>
        <v/>
      </c>
      <c r="T839" s="33" t="n"/>
    </row>
    <row r="840">
      <c r="A840" s="26">
        <f>IF($B840="","",ROW()-3)</f>
        <v/>
      </c>
      <c r="B840" s="27" t="n"/>
      <c r="C840" s="27" t="n"/>
      <c r="D840" s="28" t="n"/>
      <c r="E840" s="29" t="n"/>
      <c r="F840" s="30" t="n"/>
      <c r="G840" s="31" t="n"/>
      <c r="H840" s="31" t="n"/>
      <c r="I840" s="31" t="n"/>
      <c r="J840" s="31" t="n"/>
      <c r="K840" s="31" t="n"/>
      <c r="L840" s="31" t="n"/>
      <c r="M840" s="31" t="n"/>
      <c r="N840" s="31" t="n"/>
      <c r="O840" s="31" t="n"/>
      <c r="P840" s="31" t="n"/>
      <c r="Q840" s="31" t="n"/>
      <c r="R840" s="31" t="n"/>
      <c r="S840" s="32">
        <f>IF($F840="","",IF(IFERROR(VLOOKUP($F840,'维度字典'!$M$2:$N$50,2,0),"求和")="手工录入","",IF(IFERROR(VLOOKUP($F840,'维度字典'!$M$2:$N$50,2,0),"求和")="最新值",IFERROR(LOOKUP(9.99E+307,G840:R840),""),SUM(G840:R840))))</f>
        <v/>
      </c>
      <c r="T840" s="33" t="n"/>
    </row>
    <row r="841">
      <c r="A841" s="26">
        <f>IF($B841="","",ROW()-3)</f>
        <v/>
      </c>
      <c r="B841" s="27" t="n"/>
      <c r="C841" s="27" t="n"/>
      <c r="D841" s="28" t="n"/>
      <c r="E841" s="29" t="n"/>
      <c r="F841" s="30" t="n"/>
      <c r="G841" s="31" t="n"/>
      <c r="H841" s="31" t="n"/>
      <c r="I841" s="31" t="n"/>
      <c r="J841" s="31" t="n"/>
      <c r="K841" s="31" t="n"/>
      <c r="L841" s="31" t="n"/>
      <c r="M841" s="31" t="n"/>
      <c r="N841" s="31" t="n"/>
      <c r="O841" s="31" t="n"/>
      <c r="P841" s="31" t="n"/>
      <c r="Q841" s="31" t="n"/>
      <c r="R841" s="31" t="n"/>
      <c r="S841" s="32">
        <f>IF($F841="","",IF(IFERROR(VLOOKUP($F841,'维度字典'!$M$2:$N$50,2,0),"求和")="手工录入","",IF(IFERROR(VLOOKUP($F841,'维度字典'!$M$2:$N$50,2,0),"求和")="最新值",IFERROR(LOOKUP(9.99E+307,G841:R841),""),SUM(G841:R841))))</f>
        <v/>
      </c>
      <c r="T841" s="33" t="n"/>
    </row>
    <row r="842">
      <c r="A842" s="26">
        <f>IF($B842="","",ROW()-3)</f>
        <v/>
      </c>
      <c r="B842" s="27" t="n"/>
      <c r="C842" s="27" t="n"/>
      <c r="D842" s="28" t="n"/>
      <c r="E842" s="29" t="n"/>
      <c r="F842" s="30" t="n"/>
      <c r="G842" s="31" t="n"/>
      <c r="H842" s="31" t="n"/>
      <c r="I842" s="31" t="n"/>
      <c r="J842" s="31" t="n"/>
      <c r="K842" s="31" t="n"/>
      <c r="L842" s="31" t="n"/>
      <c r="M842" s="31" t="n"/>
      <c r="N842" s="31" t="n"/>
      <c r="O842" s="31" t="n"/>
      <c r="P842" s="31" t="n"/>
      <c r="Q842" s="31" t="n"/>
      <c r="R842" s="31" t="n"/>
      <c r="S842" s="32">
        <f>IF($F842="","",IF(IFERROR(VLOOKUP($F842,'维度字典'!$M$2:$N$50,2,0),"求和")="手工录入","",IF(IFERROR(VLOOKUP($F842,'维度字典'!$M$2:$N$50,2,0),"求和")="最新值",IFERROR(LOOKUP(9.99E+307,G842:R842),""),SUM(G842:R842))))</f>
        <v/>
      </c>
      <c r="T842" s="33" t="n"/>
    </row>
    <row r="843">
      <c r="A843" s="26">
        <f>IF($B843="","",ROW()-3)</f>
        <v/>
      </c>
      <c r="B843" s="27" t="n"/>
      <c r="C843" s="27" t="n"/>
      <c r="D843" s="28" t="n"/>
      <c r="E843" s="29" t="n"/>
      <c r="F843" s="30" t="n"/>
      <c r="G843" s="31" t="n"/>
      <c r="H843" s="31" t="n"/>
      <c r="I843" s="31" t="n"/>
      <c r="J843" s="31" t="n"/>
      <c r="K843" s="31" t="n"/>
      <c r="L843" s="31" t="n"/>
      <c r="M843" s="31" t="n"/>
      <c r="N843" s="31" t="n"/>
      <c r="O843" s="31" t="n"/>
      <c r="P843" s="31" t="n"/>
      <c r="Q843" s="31" t="n"/>
      <c r="R843" s="31" t="n"/>
      <c r="S843" s="32">
        <f>IF($F843="","",IF(IFERROR(VLOOKUP($F843,'维度字典'!$M$2:$N$50,2,0),"求和")="手工录入","",IF(IFERROR(VLOOKUP($F843,'维度字典'!$M$2:$N$50,2,0),"求和")="最新值",IFERROR(LOOKUP(9.99E+307,G843:R843),""),SUM(G843:R843))))</f>
        <v/>
      </c>
      <c r="T843" s="33" t="n"/>
    </row>
    <row r="844">
      <c r="A844" s="26">
        <f>IF($B844="","",ROW()-3)</f>
        <v/>
      </c>
      <c r="B844" s="27" t="n"/>
      <c r="C844" s="27" t="n"/>
      <c r="D844" s="28" t="n"/>
      <c r="E844" s="29" t="n"/>
      <c r="F844" s="30" t="n"/>
      <c r="G844" s="31" t="n"/>
      <c r="H844" s="31" t="n"/>
      <c r="I844" s="31" t="n"/>
      <c r="J844" s="31" t="n"/>
      <c r="K844" s="31" t="n"/>
      <c r="L844" s="31" t="n"/>
      <c r="M844" s="31" t="n"/>
      <c r="N844" s="31" t="n"/>
      <c r="O844" s="31" t="n"/>
      <c r="P844" s="31" t="n"/>
      <c r="Q844" s="31" t="n"/>
      <c r="R844" s="31" t="n"/>
      <c r="S844" s="32">
        <f>IF($F844="","",IF(IFERROR(VLOOKUP($F844,'维度字典'!$M$2:$N$50,2,0),"求和")="手工录入","",IF(IFERROR(VLOOKUP($F844,'维度字典'!$M$2:$N$50,2,0),"求和")="最新值",IFERROR(LOOKUP(9.99E+307,G844:R844),""),SUM(G844:R844))))</f>
        <v/>
      </c>
      <c r="T844" s="33" t="n"/>
    </row>
    <row r="845">
      <c r="A845" s="26">
        <f>IF($B845="","",ROW()-3)</f>
        <v/>
      </c>
      <c r="B845" s="27" t="n"/>
      <c r="C845" s="27" t="n"/>
      <c r="D845" s="28" t="n"/>
      <c r="E845" s="29" t="n"/>
      <c r="F845" s="30" t="n"/>
      <c r="G845" s="31" t="n"/>
      <c r="H845" s="31" t="n"/>
      <c r="I845" s="31" t="n"/>
      <c r="J845" s="31" t="n"/>
      <c r="K845" s="31" t="n"/>
      <c r="L845" s="31" t="n"/>
      <c r="M845" s="31" t="n"/>
      <c r="N845" s="31" t="n"/>
      <c r="O845" s="31" t="n"/>
      <c r="P845" s="31" t="n"/>
      <c r="Q845" s="31" t="n"/>
      <c r="R845" s="31" t="n"/>
      <c r="S845" s="32">
        <f>IF($F845="","",IF(IFERROR(VLOOKUP($F845,'维度字典'!$M$2:$N$50,2,0),"求和")="手工录入","",IF(IFERROR(VLOOKUP($F845,'维度字典'!$M$2:$N$50,2,0),"求和")="最新值",IFERROR(LOOKUP(9.99E+307,G845:R845),""),SUM(G845:R845))))</f>
        <v/>
      </c>
      <c r="T845" s="33" t="n"/>
    </row>
    <row r="846">
      <c r="A846" s="26">
        <f>IF($B846="","",ROW()-3)</f>
        <v/>
      </c>
      <c r="B846" s="27" t="n"/>
      <c r="C846" s="27" t="n"/>
      <c r="D846" s="28" t="n"/>
      <c r="E846" s="29" t="n"/>
      <c r="F846" s="30" t="n"/>
      <c r="G846" s="31" t="n"/>
      <c r="H846" s="31" t="n"/>
      <c r="I846" s="31" t="n"/>
      <c r="J846" s="31" t="n"/>
      <c r="K846" s="31" t="n"/>
      <c r="L846" s="31" t="n"/>
      <c r="M846" s="31" t="n"/>
      <c r="N846" s="31" t="n"/>
      <c r="O846" s="31" t="n"/>
      <c r="P846" s="31" t="n"/>
      <c r="Q846" s="31" t="n"/>
      <c r="R846" s="31" t="n"/>
      <c r="S846" s="32">
        <f>IF($F846="","",IF(IFERROR(VLOOKUP($F846,'维度字典'!$M$2:$N$50,2,0),"求和")="手工录入","",IF(IFERROR(VLOOKUP($F846,'维度字典'!$M$2:$N$50,2,0),"求和")="最新值",IFERROR(LOOKUP(9.99E+307,G846:R846),""),SUM(G846:R846))))</f>
        <v/>
      </c>
      <c r="T846" s="33" t="n"/>
    </row>
    <row r="847">
      <c r="A847" s="26">
        <f>IF($B847="","",ROW()-3)</f>
        <v/>
      </c>
      <c r="B847" s="27" t="n"/>
      <c r="C847" s="27" t="n"/>
      <c r="D847" s="28" t="n"/>
      <c r="E847" s="29" t="n"/>
      <c r="F847" s="30" t="n"/>
      <c r="G847" s="31" t="n"/>
      <c r="H847" s="31" t="n"/>
      <c r="I847" s="31" t="n"/>
      <c r="J847" s="31" t="n"/>
      <c r="K847" s="31" t="n"/>
      <c r="L847" s="31" t="n"/>
      <c r="M847" s="31" t="n"/>
      <c r="N847" s="31" t="n"/>
      <c r="O847" s="31" t="n"/>
      <c r="P847" s="31" t="n"/>
      <c r="Q847" s="31" t="n"/>
      <c r="R847" s="31" t="n"/>
      <c r="S847" s="32">
        <f>IF($F847="","",IF(IFERROR(VLOOKUP($F847,'维度字典'!$M$2:$N$50,2,0),"求和")="手工录入","",IF(IFERROR(VLOOKUP($F847,'维度字典'!$M$2:$N$50,2,0),"求和")="最新值",IFERROR(LOOKUP(9.99E+307,G847:R847),""),SUM(G847:R847))))</f>
        <v/>
      </c>
      <c r="T847" s="33" t="n"/>
    </row>
    <row r="848">
      <c r="A848" s="26">
        <f>IF($B848="","",ROW()-3)</f>
        <v/>
      </c>
      <c r="B848" s="27" t="n"/>
      <c r="C848" s="27" t="n"/>
      <c r="D848" s="28" t="n"/>
      <c r="E848" s="29" t="n"/>
      <c r="F848" s="30" t="n"/>
      <c r="G848" s="31" t="n"/>
      <c r="H848" s="31" t="n"/>
      <c r="I848" s="31" t="n"/>
      <c r="J848" s="31" t="n"/>
      <c r="K848" s="31" t="n"/>
      <c r="L848" s="31" t="n"/>
      <c r="M848" s="31" t="n"/>
      <c r="N848" s="31" t="n"/>
      <c r="O848" s="31" t="n"/>
      <c r="P848" s="31" t="n"/>
      <c r="Q848" s="31" t="n"/>
      <c r="R848" s="31" t="n"/>
      <c r="S848" s="32">
        <f>IF($F848="","",IF(IFERROR(VLOOKUP($F848,'维度字典'!$M$2:$N$50,2,0),"求和")="手工录入","",IF(IFERROR(VLOOKUP($F848,'维度字典'!$M$2:$N$50,2,0),"求和")="最新值",IFERROR(LOOKUP(9.99E+307,G848:R848),""),SUM(G848:R848))))</f>
        <v/>
      </c>
      <c r="T848" s="33" t="n"/>
    </row>
    <row r="849">
      <c r="A849" s="26">
        <f>IF($B849="","",ROW()-3)</f>
        <v/>
      </c>
      <c r="B849" s="27" t="n"/>
      <c r="C849" s="27" t="n"/>
      <c r="D849" s="28" t="n"/>
      <c r="E849" s="29" t="n"/>
      <c r="F849" s="30" t="n"/>
      <c r="G849" s="31" t="n"/>
      <c r="H849" s="31" t="n"/>
      <c r="I849" s="31" t="n"/>
      <c r="J849" s="31" t="n"/>
      <c r="K849" s="31" t="n"/>
      <c r="L849" s="31" t="n"/>
      <c r="M849" s="31" t="n"/>
      <c r="N849" s="31" t="n"/>
      <c r="O849" s="31" t="n"/>
      <c r="P849" s="31" t="n"/>
      <c r="Q849" s="31" t="n"/>
      <c r="R849" s="31" t="n"/>
      <c r="S849" s="32">
        <f>IF($F849="","",IF(IFERROR(VLOOKUP($F849,'维度字典'!$M$2:$N$50,2,0),"求和")="手工录入","",IF(IFERROR(VLOOKUP($F849,'维度字典'!$M$2:$N$50,2,0),"求和")="最新值",IFERROR(LOOKUP(9.99E+307,G849:R849),""),SUM(G849:R849))))</f>
        <v/>
      </c>
      <c r="T849" s="33" t="n"/>
    </row>
    <row r="850">
      <c r="A850" s="26">
        <f>IF($B850="","",ROW()-3)</f>
        <v/>
      </c>
      <c r="B850" s="27" t="n"/>
      <c r="C850" s="27" t="n"/>
      <c r="D850" s="28" t="n"/>
      <c r="E850" s="29" t="n"/>
      <c r="F850" s="30" t="n"/>
      <c r="G850" s="31" t="n"/>
      <c r="H850" s="31" t="n"/>
      <c r="I850" s="31" t="n"/>
      <c r="J850" s="31" t="n"/>
      <c r="K850" s="31" t="n"/>
      <c r="L850" s="31" t="n"/>
      <c r="M850" s="31" t="n"/>
      <c r="N850" s="31" t="n"/>
      <c r="O850" s="31" t="n"/>
      <c r="P850" s="31" t="n"/>
      <c r="Q850" s="31" t="n"/>
      <c r="R850" s="31" t="n"/>
      <c r="S850" s="32">
        <f>IF($F850="","",IF(IFERROR(VLOOKUP($F850,'维度字典'!$M$2:$N$50,2,0),"求和")="手工录入","",IF(IFERROR(VLOOKUP($F850,'维度字典'!$M$2:$N$50,2,0),"求和")="最新值",IFERROR(LOOKUP(9.99E+307,G850:R850),""),SUM(G850:R850))))</f>
        <v/>
      </c>
      <c r="T850" s="33" t="n"/>
    </row>
    <row r="851">
      <c r="A851" s="26">
        <f>IF($B851="","",ROW()-3)</f>
        <v/>
      </c>
      <c r="B851" s="27" t="n"/>
      <c r="C851" s="27" t="n"/>
      <c r="D851" s="28" t="n"/>
      <c r="E851" s="29" t="n"/>
      <c r="F851" s="30" t="n"/>
      <c r="G851" s="31" t="n"/>
      <c r="H851" s="31" t="n"/>
      <c r="I851" s="31" t="n"/>
      <c r="J851" s="31" t="n"/>
      <c r="K851" s="31" t="n"/>
      <c r="L851" s="31" t="n"/>
      <c r="M851" s="31" t="n"/>
      <c r="N851" s="31" t="n"/>
      <c r="O851" s="31" t="n"/>
      <c r="P851" s="31" t="n"/>
      <c r="Q851" s="31" t="n"/>
      <c r="R851" s="31" t="n"/>
      <c r="S851" s="32">
        <f>IF($F851="","",IF(IFERROR(VLOOKUP($F851,'维度字典'!$M$2:$N$50,2,0),"求和")="手工录入","",IF(IFERROR(VLOOKUP($F851,'维度字典'!$M$2:$N$50,2,0),"求和")="最新值",IFERROR(LOOKUP(9.99E+307,G851:R851),""),SUM(G851:R851))))</f>
        <v/>
      </c>
      <c r="T851" s="33" t="n"/>
    </row>
    <row r="852">
      <c r="A852" s="26">
        <f>IF($B852="","",ROW()-3)</f>
        <v/>
      </c>
      <c r="B852" s="27" t="n"/>
      <c r="C852" s="27" t="n"/>
      <c r="D852" s="28" t="n"/>
      <c r="E852" s="29" t="n"/>
      <c r="F852" s="30" t="n"/>
      <c r="G852" s="31" t="n"/>
      <c r="H852" s="31" t="n"/>
      <c r="I852" s="31" t="n"/>
      <c r="J852" s="31" t="n"/>
      <c r="K852" s="31" t="n"/>
      <c r="L852" s="31" t="n"/>
      <c r="M852" s="31" t="n"/>
      <c r="N852" s="31" t="n"/>
      <c r="O852" s="31" t="n"/>
      <c r="P852" s="31" t="n"/>
      <c r="Q852" s="31" t="n"/>
      <c r="R852" s="31" t="n"/>
      <c r="S852" s="32">
        <f>IF($F852="","",IF(IFERROR(VLOOKUP($F852,'维度字典'!$M$2:$N$50,2,0),"求和")="手工录入","",IF(IFERROR(VLOOKUP($F852,'维度字典'!$M$2:$N$50,2,0),"求和")="最新值",IFERROR(LOOKUP(9.99E+307,G852:R852),""),SUM(G852:R852))))</f>
        <v/>
      </c>
      <c r="T852" s="33" t="n"/>
    </row>
    <row r="853">
      <c r="A853" s="26">
        <f>IF($B853="","",ROW()-3)</f>
        <v/>
      </c>
      <c r="B853" s="27" t="n"/>
      <c r="C853" s="27" t="n"/>
      <c r="D853" s="28" t="n"/>
      <c r="E853" s="29" t="n"/>
      <c r="F853" s="30" t="n"/>
      <c r="G853" s="31" t="n"/>
      <c r="H853" s="31" t="n"/>
      <c r="I853" s="31" t="n"/>
      <c r="J853" s="31" t="n"/>
      <c r="K853" s="31" t="n"/>
      <c r="L853" s="31" t="n"/>
      <c r="M853" s="31" t="n"/>
      <c r="N853" s="31" t="n"/>
      <c r="O853" s="31" t="n"/>
      <c r="P853" s="31" t="n"/>
      <c r="Q853" s="31" t="n"/>
      <c r="R853" s="31" t="n"/>
      <c r="S853" s="32">
        <f>IF($F853="","",IF(IFERROR(VLOOKUP($F853,'维度字典'!$M$2:$N$50,2,0),"求和")="手工录入","",IF(IFERROR(VLOOKUP($F853,'维度字典'!$M$2:$N$50,2,0),"求和")="最新值",IFERROR(LOOKUP(9.99E+307,G853:R853),""),SUM(G853:R853))))</f>
        <v/>
      </c>
      <c r="T853" s="33" t="n"/>
    </row>
    <row r="854">
      <c r="A854" s="26">
        <f>IF($B854="","",ROW()-3)</f>
        <v/>
      </c>
      <c r="B854" s="27" t="n"/>
      <c r="C854" s="27" t="n"/>
      <c r="D854" s="28" t="n"/>
      <c r="E854" s="29" t="n"/>
      <c r="F854" s="30" t="n"/>
      <c r="G854" s="31" t="n"/>
      <c r="H854" s="31" t="n"/>
      <c r="I854" s="31" t="n"/>
      <c r="J854" s="31" t="n"/>
      <c r="K854" s="31" t="n"/>
      <c r="L854" s="31" t="n"/>
      <c r="M854" s="31" t="n"/>
      <c r="N854" s="31" t="n"/>
      <c r="O854" s="31" t="n"/>
      <c r="P854" s="31" t="n"/>
      <c r="Q854" s="31" t="n"/>
      <c r="R854" s="31" t="n"/>
      <c r="S854" s="32">
        <f>IF($F854="","",IF(IFERROR(VLOOKUP($F854,'维度字典'!$M$2:$N$50,2,0),"求和")="手工录入","",IF(IFERROR(VLOOKUP($F854,'维度字典'!$M$2:$N$50,2,0),"求和")="最新值",IFERROR(LOOKUP(9.99E+307,G854:R854),""),SUM(G854:R854))))</f>
        <v/>
      </c>
      <c r="T854" s="33" t="n"/>
    </row>
    <row r="855">
      <c r="A855" s="26">
        <f>IF($B855="","",ROW()-3)</f>
        <v/>
      </c>
      <c r="B855" s="27" t="n"/>
      <c r="C855" s="27" t="n"/>
      <c r="D855" s="28" t="n"/>
      <c r="E855" s="29" t="n"/>
      <c r="F855" s="30" t="n"/>
      <c r="G855" s="31" t="n"/>
      <c r="H855" s="31" t="n"/>
      <c r="I855" s="31" t="n"/>
      <c r="J855" s="31" t="n"/>
      <c r="K855" s="31" t="n"/>
      <c r="L855" s="31" t="n"/>
      <c r="M855" s="31" t="n"/>
      <c r="N855" s="31" t="n"/>
      <c r="O855" s="31" t="n"/>
      <c r="P855" s="31" t="n"/>
      <c r="Q855" s="31" t="n"/>
      <c r="R855" s="31" t="n"/>
      <c r="S855" s="32">
        <f>IF($F855="","",IF(IFERROR(VLOOKUP($F855,'维度字典'!$M$2:$N$50,2,0),"求和")="手工录入","",IF(IFERROR(VLOOKUP($F855,'维度字典'!$M$2:$N$50,2,0),"求和")="最新值",IFERROR(LOOKUP(9.99E+307,G855:R855),""),SUM(G855:R855))))</f>
        <v/>
      </c>
      <c r="T855" s="33" t="n"/>
    </row>
    <row r="856">
      <c r="A856" s="26">
        <f>IF($B856="","",ROW()-3)</f>
        <v/>
      </c>
      <c r="B856" s="27" t="n"/>
      <c r="C856" s="27" t="n"/>
      <c r="D856" s="28" t="n"/>
      <c r="E856" s="29" t="n"/>
      <c r="F856" s="30" t="n"/>
      <c r="G856" s="31" t="n"/>
      <c r="H856" s="31" t="n"/>
      <c r="I856" s="31" t="n"/>
      <c r="J856" s="31" t="n"/>
      <c r="K856" s="31" t="n"/>
      <c r="L856" s="31" t="n"/>
      <c r="M856" s="31" t="n"/>
      <c r="N856" s="31" t="n"/>
      <c r="O856" s="31" t="n"/>
      <c r="P856" s="31" t="n"/>
      <c r="Q856" s="31" t="n"/>
      <c r="R856" s="31" t="n"/>
      <c r="S856" s="32">
        <f>IF($F856="","",IF(IFERROR(VLOOKUP($F856,'维度字典'!$M$2:$N$50,2,0),"求和")="手工录入","",IF(IFERROR(VLOOKUP($F856,'维度字典'!$M$2:$N$50,2,0),"求和")="最新值",IFERROR(LOOKUP(9.99E+307,G856:R856),""),SUM(G856:R856))))</f>
        <v/>
      </c>
      <c r="T856" s="33" t="n"/>
    </row>
    <row r="857">
      <c r="A857" s="26">
        <f>IF($B857="","",ROW()-3)</f>
        <v/>
      </c>
      <c r="B857" s="27" t="n"/>
      <c r="C857" s="27" t="n"/>
      <c r="D857" s="28" t="n"/>
      <c r="E857" s="29" t="n"/>
      <c r="F857" s="30" t="n"/>
      <c r="G857" s="31" t="n"/>
      <c r="H857" s="31" t="n"/>
      <c r="I857" s="31" t="n"/>
      <c r="J857" s="31" t="n"/>
      <c r="K857" s="31" t="n"/>
      <c r="L857" s="31" t="n"/>
      <c r="M857" s="31" t="n"/>
      <c r="N857" s="31" t="n"/>
      <c r="O857" s="31" t="n"/>
      <c r="P857" s="31" t="n"/>
      <c r="Q857" s="31" t="n"/>
      <c r="R857" s="31" t="n"/>
      <c r="S857" s="32">
        <f>IF($F857="","",IF(IFERROR(VLOOKUP($F857,'维度字典'!$M$2:$N$50,2,0),"求和")="手工录入","",IF(IFERROR(VLOOKUP($F857,'维度字典'!$M$2:$N$50,2,0),"求和")="最新值",IFERROR(LOOKUP(9.99E+307,G857:R857),""),SUM(G857:R857))))</f>
        <v/>
      </c>
      <c r="T857" s="33" t="n"/>
    </row>
    <row r="858">
      <c r="A858" s="26">
        <f>IF($B858="","",ROW()-3)</f>
        <v/>
      </c>
      <c r="B858" s="27" t="n"/>
      <c r="C858" s="27" t="n"/>
      <c r="D858" s="28" t="n"/>
      <c r="E858" s="29" t="n"/>
      <c r="F858" s="30" t="n"/>
      <c r="G858" s="31" t="n"/>
      <c r="H858" s="31" t="n"/>
      <c r="I858" s="31" t="n"/>
      <c r="J858" s="31" t="n"/>
      <c r="K858" s="31" t="n"/>
      <c r="L858" s="31" t="n"/>
      <c r="M858" s="31" t="n"/>
      <c r="N858" s="31" t="n"/>
      <c r="O858" s="31" t="n"/>
      <c r="P858" s="31" t="n"/>
      <c r="Q858" s="31" t="n"/>
      <c r="R858" s="31" t="n"/>
      <c r="S858" s="32">
        <f>IF($F858="","",IF(IFERROR(VLOOKUP($F858,'维度字典'!$M$2:$N$50,2,0),"求和")="手工录入","",IF(IFERROR(VLOOKUP($F858,'维度字典'!$M$2:$N$50,2,0),"求和")="最新值",IFERROR(LOOKUP(9.99E+307,G858:R858),""),SUM(G858:R858))))</f>
        <v/>
      </c>
      <c r="T858" s="33" t="n"/>
    </row>
    <row r="859">
      <c r="A859" s="26">
        <f>IF($B859="","",ROW()-3)</f>
        <v/>
      </c>
      <c r="B859" s="27" t="n"/>
      <c r="C859" s="27" t="n"/>
      <c r="D859" s="28" t="n"/>
      <c r="E859" s="29" t="n"/>
      <c r="F859" s="30" t="n"/>
      <c r="G859" s="31" t="n"/>
      <c r="H859" s="31" t="n"/>
      <c r="I859" s="31" t="n"/>
      <c r="J859" s="31" t="n"/>
      <c r="K859" s="31" t="n"/>
      <c r="L859" s="31" t="n"/>
      <c r="M859" s="31" t="n"/>
      <c r="N859" s="31" t="n"/>
      <c r="O859" s="31" t="n"/>
      <c r="P859" s="31" t="n"/>
      <c r="Q859" s="31" t="n"/>
      <c r="R859" s="31" t="n"/>
      <c r="S859" s="32">
        <f>IF($F859="","",IF(IFERROR(VLOOKUP($F859,'维度字典'!$M$2:$N$50,2,0),"求和")="手工录入","",IF(IFERROR(VLOOKUP($F859,'维度字典'!$M$2:$N$50,2,0),"求和")="最新值",IFERROR(LOOKUP(9.99E+307,G859:R859),""),SUM(G859:R859))))</f>
        <v/>
      </c>
      <c r="T859" s="33" t="n"/>
    </row>
    <row r="860">
      <c r="A860" s="26">
        <f>IF($B860="","",ROW()-3)</f>
        <v/>
      </c>
      <c r="B860" s="27" t="n"/>
      <c r="C860" s="27" t="n"/>
      <c r="D860" s="28" t="n"/>
      <c r="E860" s="29" t="n"/>
      <c r="F860" s="30" t="n"/>
      <c r="G860" s="31" t="n"/>
      <c r="H860" s="31" t="n"/>
      <c r="I860" s="31" t="n"/>
      <c r="J860" s="31" t="n"/>
      <c r="K860" s="31" t="n"/>
      <c r="L860" s="31" t="n"/>
      <c r="M860" s="31" t="n"/>
      <c r="N860" s="31" t="n"/>
      <c r="O860" s="31" t="n"/>
      <c r="P860" s="31" t="n"/>
      <c r="Q860" s="31" t="n"/>
      <c r="R860" s="31" t="n"/>
      <c r="S860" s="32">
        <f>IF($F860="","",IF(IFERROR(VLOOKUP($F860,'维度字典'!$M$2:$N$50,2,0),"求和")="手工录入","",IF(IFERROR(VLOOKUP($F860,'维度字典'!$M$2:$N$50,2,0),"求和")="最新值",IFERROR(LOOKUP(9.99E+307,G860:R860),""),SUM(G860:R860))))</f>
        <v/>
      </c>
      <c r="T860" s="33" t="n"/>
    </row>
    <row r="861">
      <c r="A861" s="26">
        <f>IF($B861="","",ROW()-3)</f>
        <v/>
      </c>
      <c r="B861" s="27" t="n"/>
      <c r="C861" s="27" t="n"/>
      <c r="D861" s="28" t="n"/>
      <c r="E861" s="29" t="n"/>
      <c r="F861" s="30" t="n"/>
      <c r="G861" s="31" t="n"/>
      <c r="H861" s="31" t="n"/>
      <c r="I861" s="31" t="n"/>
      <c r="J861" s="31" t="n"/>
      <c r="K861" s="31" t="n"/>
      <c r="L861" s="31" t="n"/>
      <c r="M861" s="31" t="n"/>
      <c r="N861" s="31" t="n"/>
      <c r="O861" s="31" t="n"/>
      <c r="P861" s="31" t="n"/>
      <c r="Q861" s="31" t="n"/>
      <c r="R861" s="31" t="n"/>
      <c r="S861" s="32">
        <f>IF($F861="","",IF(IFERROR(VLOOKUP($F861,'维度字典'!$M$2:$N$50,2,0),"求和")="手工录入","",IF(IFERROR(VLOOKUP($F861,'维度字典'!$M$2:$N$50,2,0),"求和")="最新值",IFERROR(LOOKUP(9.99E+307,G861:R861),""),SUM(G861:R861))))</f>
        <v/>
      </c>
      <c r="T861" s="33" t="n"/>
    </row>
    <row r="862">
      <c r="A862" s="26">
        <f>IF($B862="","",ROW()-3)</f>
        <v/>
      </c>
      <c r="B862" s="27" t="n"/>
      <c r="C862" s="27" t="n"/>
      <c r="D862" s="28" t="n"/>
      <c r="E862" s="29" t="n"/>
      <c r="F862" s="30" t="n"/>
      <c r="G862" s="31" t="n"/>
      <c r="H862" s="31" t="n"/>
      <c r="I862" s="31" t="n"/>
      <c r="J862" s="31" t="n"/>
      <c r="K862" s="31" t="n"/>
      <c r="L862" s="31" t="n"/>
      <c r="M862" s="31" t="n"/>
      <c r="N862" s="31" t="n"/>
      <c r="O862" s="31" t="n"/>
      <c r="P862" s="31" t="n"/>
      <c r="Q862" s="31" t="n"/>
      <c r="R862" s="31" t="n"/>
      <c r="S862" s="32">
        <f>IF($F862="","",IF(IFERROR(VLOOKUP($F862,'维度字典'!$M$2:$N$50,2,0),"求和")="手工录入","",IF(IFERROR(VLOOKUP($F862,'维度字典'!$M$2:$N$50,2,0),"求和")="最新值",IFERROR(LOOKUP(9.99E+307,G862:R862),""),SUM(G862:R862))))</f>
        <v/>
      </c>
      <c r="T862" s="33" t="n"/>
    </row>
    <row r="863">
      <c r="A863" s="26">
        <f>IF($B863="","",ROW()-3)</f>
        <v/>
      </c>
      <c r="B863" s="27" t="n"/>
      <c r="C863" s="27" t="n"/>
      <c r="D863" s="28" t="n"/>
      <c r="E863" s="29" t="n"/>
      <c r="F863" s="30" t="n"/>
      <c r="G863" s="31" t="n"/>
      <c r="H863" s="31" t="n"/>
      <c r="I863" s="31" t="n"/>
      <c r="J863" s="31" t="n"/>
      <c r="K863" s="31" t="n"/>
      <c r="L863" s="31" t="n"/>
      <c r="M863" s="31" t="n"/>
      <c r="N863" s="31" t="n"/>
      <c r="O863" s="31" t="n"/>
      <c r="P863" s="31" t="n"/>
      <c r="Q863" s="31" t="n"/>
      <c r="R863" s="31" t="n"/>
      <c r="S863" s="32">
        <f>IF($F863="","",IF(IFERROR(VLOOKUP($F863,'维度字典'!$M$2:$N$50,2,0),"求和")="手工录入","",IF(IFERROR(VLOOKUP($F863,'维度字典'!$M$2:$N$50,2,0),"求和")="最新值",IFERROR(LOOKUP(9.99E+307,G863:R863),""),SUM(G863:R863))))</f>
        <v/>
      </c>
      <c r="T863" s="33" t="n"/>
    </row>
    <row r="864">
      <c r="A864" s="26">
        <f>IF($B864="","",ROW()-3)</f>
        <v/>
      </c>
      <c r="B864" s="27" t="n"/>
      <c r="C864" s="27" t="n"/>
      <c r="D864" s="28" t="n"/>
      <c r="E864" s="29" t="n"/>
      <c r="F864" s="30" t="n"/>
      <c r="G864" s="31" t="n"/>
      <c r="H864" s="31" t="n"/>
      <c r="I864" s="31" t="n"/>
      <c r="J864" s="31" t="n"/>
      <c r="K864" s="31" t="n"/>
      <c r="L864" s="31" t="n"/>
      <c r="M864" s="31" t="n"/>
      <c r="N864" s="31" t="n"/>
      <c r="O864" s="31" t="n"/>
      <c r="P864" s="31" t="n"/>
      <c r="Q864" s="31" t="n"/>
      <c r="R864" s="31" t="n"/>
      <c r="S864" s="32">
        <f>IF($F864="","",IF(IFERROR(VLOOKUP($F864,'维度字典'!$M$2:$N$50,2,0),"求和")="手工录入","",IF(IFERROR(VLOOKUP($F864,'维度字典'!$M$2:$N$50,2,0),"求和")="最新值",IFERROR(LOOKUP(9.99E+307,G864:R864),""),SUM(G864:R864))))</f>
        <v/>
      </c>
      <c r="T864" s="33" t="n"/>
    </row>
    <row r="865">
      <c r="A865" s="26">
        <f>IF($B865="","",ROW()-3)</f>
        <v/>
      </c>
      <c r="B865" s="27" t="n"/>
      <c r="C865" s="27" t="n"/>
      <c r="D865" s="28" t="n"/>
      <c r="E865" s="29" t="n"/>
      <c r="F865" s="30" t="n"/>
      <c r="G865" s="31" t="n"/>
      <c r="H865" s="31" t="n"/>
      <c r="I865" s="31" t="n"/>
      <c r="J865" s="31" t="n"/>
      <c r="K865" s="31" t="n"/>
      <c r="L865" s="31" t="n"/>
      <c r="M865" s="31" t="n"/>
      <c r="N865" s="31" t="n"/>
      <c r="O865" s="31" t="n"/>
      <c r="P865" s="31" t="n"/>
      <c r="Q865" s="31" t="n"/>
      <c r="R865" s="31" t="n"/>
      <c r="S865" s="32">
        <f>IF($F865="","",IF(IFERROR(VLOOKUP($F865,'维度字典'!$M$2:$N$50,2,0),"求和")="手工录入","",IF(IFERROR(VLOOKUP($F865,'维度字典'!$M$2:$N$50,2,0),"求和")="最新值",IFERROR(LOOKUP(9.99E+307,G865:R865),""),SUM(G865:R865))))</f>
        <v/>
      </c>
      <c r="T865" s="33" t="n"/>
    </row>
    <row r="866">
      <c r="A866" s="26">
        <f>IF($B866="","",ROW()-3)</f>
        <v/>
      </c>
      <c r="B866" s="27" t="n"/>
      <c r="C866" s="27" t="n"/>
      <c r="D866" s="28" t="n"/>
      <c r="E866" s="29" t="n"/>
      <c r="F866" s="30" t="n"/>
      <c r="G866" s="31" t="n"/>
      <c r="H866" s="31" t="n"/>
      <c r="I866" s="31" t="n"/>
      <c r="J866" s="31" t="n"/>
      <c r="K866" s="31" t="n"/>
      <c r="L866" s="31" t="n"/>
      <c r="M866" s="31" t="n"/>
      <c r="N866" s="31" t="n"/>
      <c r="O866" s="31" t="n"/>
      <c r="P866" s="31" t="n"/>
      <c r="Q866" s="31" t="n"/>
      <c r="R866" s="31" t="n"/>
      <c r="S866" s="32">
        <f>IF($F866="","",IF(IFERROR(VLOOKUP($F866,'维度字典'!$M$2:$N$50,2,0),"求和")="手工录入","",IF(IFERROR(VLOOKUP($F866,'维度字典'!$M$2:$N$50,2,0),"求和")="最新值",IFERROR(LOOKUP(9.99E+307,G866:R866),""),SUM(G866:R866))))</f>
        <v/>
      </c>
      <c r="T866" s="33" t="n"/>
    </row>
    <row r="867">
      <c r="A867" s="26">
        <f>IF($B867="","",ROW()-3)</f>
        <v/>
      </c>
      <c r="B867" s="27" t="n"/>
      <c r="C867" s="27" t="n"/>
      <c r="D867" s="28" t="n"/>
      <c r="E867" s="29" t="n"/>
      <c r="F867" s="30" t="n"/>
      <c r="G867" s="31" t="n"/>
      <c r="H867" s="31" t="n"/>
      <c r="I867" s="31" t="n"/>
      <c r="J867" s="31" t="n"/>
      <c r="K867" s="31" t="n"/>
      <c r="L867" s="31" t="n"/>
      <c r="M867" s="31" t="n"/>
      <c r="N867" s="31" t="n"/>
      <c r="O867" s="31" t="n"/>
      <c r="P867" s="31" t="n"/>
      <c r="Q867" s="31" t="n"/>
      <c r="R867" s="31" t="n"/>
      <c r="S867" s="32">
        <f>IF($F867="","",IF(IFERROR(VLOOKUP($F867,'维度字典'!$M$2:$N$50,2,0),"求和")="手工录入","",IF(IFERROR(VLOOKUP($F867,'维度字典'!$M$2:$N$50,2,0),"求和")="最新值",IFERROR(LOOKUP(9.99E+307,G867:R867),""),SUM(G867:R867))))</f>
        <v/>
      </c>
      <c r="T867" s="33" t="n"/>
    </row>
    <row r="868">
      <c r="A868" s="26">
        <f>IF($B868="","",ROW()-3)</f>
        <v/>
      </c>
      <c r="B868" s="27" t="n"/>
      <c r="C868" s="27" t="n"/>
      <c r="D868" s="28" t="n"/>
      <c r="E868" s="29" t="n"/>
      <c r="F868" s="30" t="n"/>
      <c r="G868" s="31" t="n"/>
      <c r="H868" s="31" t="n"/>
      <c r="I868" s="31" t="n"/>
      <c r="J868" s="31" t="n"/>
      <c r="K868" s="31" t="n"/>
      <c r="L868" s="31" t="n"/>
      <c r="M868" s="31" t="n"/>
      <c r="N868" s="31" t="n"/>
      <c r="O868" s="31" t="n"/>
      <c r="P868" s="31" t="n"/>
      <c r="Q868" s="31" t="n"/>
      <c r="R868" s="31" t="n"/>
      <c r="S868" s="32">
        <f>IF($F868="","",IF(IFERROR(VLOOKUP($F868,'维度字典'!$M$2:$N$50,2,0),"求和")="手工录入","",IF(IFERROR(VLOOKUP($F868,'维度字典'!$M$2:$N$50,2,0),"求和")="最新值",IFERROR(LOOKUP(9.99E+307,G868:R868),""),SUM(G868:R868))))</f>
        <v/>
      </c>
      <c r="T868" s="33" t="n"/>
    </row>
    <row r="869">
      <c r="A869" s="26">
        <f>IF($B869="","",ROW()-3)</f>
        <v/>
      </c>
      <c r="B869" s="27" t="n"/>
      <c r="C869" s="27" t="n"/>
      <c r="D869" s="28" t="n"/>
      <c r="E869" s="29" t="n"/>
      <c r="F869" s="30" t="n"/>
      <c r="G869" s="31" t="n"/>
      <c r="H869" s="31" t="n"/>
      <c r="I869" s="31" t="n"/>
      <c r="J869" s="31" t="n"/>
      <c r="K869" s="31" t="n"/>
      <c r="L869" s="31" t="n"/>
      <c r="M869" s="31" t="n"/>
      <c r="N869" s="31" t="n"/>
      <c r="O869" s="31" t="n"/>
      <c r="P869" s="31" t="n"/>
      <c r="Q869" s="31" t="n"/>
      <c r="R869" s="31" t="n"/>
      <c r="S869" s="32">
        <f>IF($F869="","",IF(IFERROR(VLOOKUP($F869,'维度字典'!$M$2:$N$50,2,0),"求和")="手工录入","",IF(IFERROR(VLOOKUP($F869,'维度字典'!$M$2:$N$50,2,0),"求和")="最新值",IFERROR(LOOKUP(9.99E+307,G869:R869),""),SUM(G869:R869))))</f>
        <v/>
      </c>
      <c r="T869" s="33" t="n"/>
    </row>
    <row r="870">
      <c r="A870" s="26">
        <f>IF($B870="","",ROW()-3)</f>
        <v/>
      </c>
      <c r="B870" s="27" t="n"/>
      <c r="C870" s="27" t="n"/>
      <c r="D870" s="28" t="n"/>
      <c r="E870" s="29" t="n"/>
      <c r="F870" s="30" t="n"/>
      <c r="G870" s="31" t="n"/>
      <c r="H870" s="31" t="n"/>
      <c r="I870" s="31" t="n"/>
      <c r="J870" s="31" t="n"/>
      <c r="K870" s="31" t="n"/>
      <c r="L870" s="31" t="n"/>
      <c r="M870" s="31" t="n"/>
      <c r="N870" s="31" t="n"/>
      <c r="O870" s="31" t="n"/>
      <c r="P870" s="31" t="n"/>
      <c r="Q870" s="31" t="n"/>
      <c r="R870" s="31" t="n"/>
      <c r="S870" s="32">
        <f>IF($F870="","",IF(IFERROR(VLOOKUP($F870,'维度字典'!$M$2:$N$50,2,0),"求和")="手工录入","",IF(IFERROR(VLOOKUP($F870,'维度字典'!$M$2:$N$50,2,0),"求和")="最新值",IFERROR(LOOKUP(9.99E+307,G870:R870),""),SUM(G870:R870))))</f>
        <v/>
      </c>
      <c r="T870" s="33" t="n"/>
    </row>
    <row r="871">
      <c r="A871" s="26">
        <f>IF($B871="","",ROW()-3)</f>
        <v/>
      </c>
      <c r="B871" s="27" t="n"/>
      <c r="C871" s="27" t="n"/>
      <c r="D871" s="28" t="n"/>
      <c r="E871" s="29" t="n"/>
      <c r="F871" s="30" t="n"/>
      <c r="G871" s="31" t="n"/>
      <c r="H871" s="31" t="n"/>
      <c r="I871" s="31" t="n"/>
      <c r="J871" s="31" t="n"/>
      <c r="K871" s="31" t="n"/>
      <c r="L871" s="31" t="n"/>
      <c r="M871" s="31" t="n"/>
      <c r="N871" s="31" t="n"/>
      <c r="O871" s="31" t="n"/>
      <c r="P871" s="31" t="n"/>
      <c r="Q871" s="31" t="n"/>
      <c r="R871" s="31" t="n"/>
      <c r="S871" s="32">
        <f>IF($F871="","",IF(IFERROR(VLOOKUP($F871,'维度字典'!$M$2:$N$50,2,0),"求和")="手工录入","",IF(IFERROR(VLOOKUP($F871,'维度字典'!$M$2:$N$50,2,0),"求和")="最新值",IFERROR(LOOKUP(9.99E+307,G871:R871),""),SUM(G871:R871))))</f>
        <v/>
      </c>
      <c r="T871" s="33" t="n"/>
    </row>
    <row r="872">
      <c r="A872" s="26">
        <f>IF($B872="","",ROW()-3)</f>
        <v/>
      </c>
      <c r="B872" s="27" t="n"/>
      <c r="C872" s="27" t="n"/>
      <c r="D872" s="28" t="n"/>
      <c r="E872" s="29" t="n"/>
      <c r="F872" s="30" t="n"/>
      <c r="G872" s="31" t="n"/>
      <c r="H872" s="31" t="n"/>
      <c r="I872" s="31" t="n"/>
      <c r="J872" s="31" t="n"/>
      <c r="K872" s="31" t="n"/>
      <c r="L872" s="31" t="n"/>
      <c r="M872" s="31" t="n"/>
      <c r="N872" s="31" t="n"/>
      <c r="O872" s="31" t="n"/>
      <c r="P872" s="31" t="n"/>
      <c r="Q872" s="31" t="n"/>
      <c r="R872" s="31" t="n"/>
      <c r="S872" s="32">
        <f>IF($F872="","",IF(IFERROR(VLOOKUP($F872,'维度字典'!$M$2:$N$50,2,0),"求和")="手工录入","",IF(IFERROR(VLOOKUP($F872,'维度字典'!$M$2:$N$50,2,0),"求和")="最新值",IFERROR(LOOKUP(9.99E+307,G872:R872),""),SUM(G872:R872))))</f>
        <v/>
      </c>
      <c r="T872" s="33" t="n"/>
    </row>
    <row r="873">
      <c r="A873" s="26">
        <f>IF($B873="","",ROW()-3)</f>
        <v/>
      </c>
      <c r="B873" s="27" t="n"/>
      <c r="C873" s="27" t="n"/>
      <c r="D873" s="28" t="n"/>
      <c r="E873" s="29" t="n"/>
      <c r="F873" s="30" t="n"/>
      <c r="G873" s="31" t="n"/>
      <c r="H873" s="31" t="n"/>
      <c r="I873" s="31" t="n"/>
      <c r="J873" s="31" t="n"/>
      <c r="K873" s="31" t="n"/>
      <c r="L873" s="31" t="n"/>
      <c r="M873" s="31" t="n"/>
      <c r="N873" s="31" t="n"/>
      <c r="O873" s="31" t="n"/>
      <c r="P873" s="31" t="n"/>
      <c r="Q873" s="31" t="n"/>
      <c r="R873" s="31" t="n"/>
      <c r="S873" s="32">
        <f>IF($F873="","",IF(IFERROR(VLOOKUP($F873,'维度字典'!$M$2:$N$50,2,0),"求和")="手工录入","",IF(IFERROR(VLOOKUP($F873,'维度字典'!$M$2:$N$50,2,0),"求和")="最新值",IFERROR(LOOKUP(9.99E+307,G873:R873),""),SUM(G873:R873))))</f>
        <v/>
      </c>
      <c r="T873" s="33" t="n"/>
    </row>
    <row r="874">
      <c r="A874" s="26">
        <f>IF($B874="","",ROW()-3)</f>
        <v/>
      </c>
      <c r="B874" s="27" t="n"/>
      <c r="C874" s="27" t="n"/>
      <c r="D874" s="28" t="n"/>
      <c r="E874" s="29" t="n"/>
      <c r="F874" s="30" t="n"/>
      <c r="G874" s="31" t="n"/>
      <c r="H874" s="31" t="n"/>
      <c r="I874" s="31" t="n"/>
      <c r="J874" s="31" t="n"/>
      <c r="K874" s="31" t="n"/>
      <c r="L874" s="31" t="n"/>
      <c r="M874" s="31" t="n"/>
      <c r="N874" s="31" t="n"/>
      <c r="O874" s="31" t="n"/>
      <c r="P874" s="31" t="n"/>
      <c r="Q874" s="31" t="n"/>
      <c r="R874" s="31" t="n"/>
      <c r="S874" s="32">
        <f>IF($F874="","",IF(IFERROR(VLOOKUP($F874,'维度字典'!$M$2:$N$50,2,0),"求和")="手工录入","",IF(IFERROR(VLOOKUP($F874,'维度字典'!$M$2:$N$50,2,0),"求和")="最新值",IFERROR(LOOKUP(9.99E+307,G874:R874),""),SUM(G874:R874))))</f>
        <v/>
      </c>
      <c r="T874" s="33" t="n"/>
    </row>
    <row r="875">
      <c r="A875" s="26">
        <f>IF($B875="","",ROW()-3)</f>
        <v/>
      </c>
      <c r="B875" s="27" t="n"/>
      <c r="C875" s="27" t="n"/>
      <c r="D875" s="28" t="n"/>
      <c r="E875" s="29" t="n"/>
      <c r="F875" s="30" t="n"/>
      <c r="G875" s="31" t="n"/>
      <c r="H875" s="31" t="n"/>
      <c r="I875" s="31" t="n"/>
      <c r="J875" s="31" t="n"/>
      <c r="K875" s="31" t="n"/>
      <c r="L875" s="31" t="n"/>
      <c r="M875" s="31" t="n"/>
      <c r="N875" s="31" t="n"/>
      <c r="O875" s="31" t="n"/>
      <c r="P875" s="31" t="n"/>
      <c r="Q875" s="31" t="n"/>
      <c r="R875" s="31" t="n"/>
      <c r="S875" s="32">
        <f>IF($F875="","",IF(IFERROR(VLOOKUP($F875,'维度字典'!$M$2:$N$50,2,0),"求和")="手工录入","",IF(IFERROR(VLOOKUP($F875,'维度字典'!$M$2:$N$50,2,0),"求和")="最新值",IFERROR(LOOKUP(9.99E+307,G875:R875),""),SUM(G875:R875))))</f>
        <v/>
      </c>
      <c r="T875" s="33" t="n"/>
    </row>
    <row r="876">
      <c r="A876" s="26">
        <f>IF($B876="","",ROW()-3)</f>
        <v/>
      </c>
      <c r="B876" s="27" t="n"/>
      <c r="C876" s="27" t="n"/>
      <c r="D876" s="28" t="n"/>
      <c r="E876" s="29" t="n"/>
      <c r="F876" s="30" t="n"/>
      <c r="G876" s="31" t="n"/>
      <c r="H876" s="31" t="n"/>
      <c r="I876" s="31" t="n"/>
      <c r="J876" s="31" t="n"/>
      <c r="K876" s="31" t="n"/>
      <c r="L876" s="31" t="n"/>
      <c r="M876" s="31" t="n"/>
      <c r="N876" s="31" t="n"/>
      <c r="O876" s="31" t="n"/>
      <c r="P876" s="31" t="n"/>
      <c r="Q876" s="31" t="n"/>
      <c r="R876" s="31" t="n"/>
      <c r="S876" s="32">
        <f>IF($F876="","",IF(IFERROR(VLOOKUP($F876,'维度字典'!$M$2:$N$50,2,0),"求和")="手工录入","",IF(IFERROR(VLOOKUP($F876,'维度字典'!$M$2:$N$50,2,0),"求和")="最新值",IFERROR(LOOKUP(9.99E+307,G876:R876),""),SUM(G876:R876))))</f>
        <v/>
      </c>
      <c r="T876" s="33" t="n"/>
    </row>
    <row r="877">
      <c r="A877" s="26">
        <f>IF($B877="","",ROW()-3)</f>
        <v/>
      </c>
      <c r="B877" s="27" t="n"/>
      <c r="C877" s="27" t="n"/>
      <c r="D877" s="28" t="n"/>
      <c r="E877" s="29" t="n"/>
      <c r="F877" s="30" t="n"/>
      <c r="G877" s="31" t="n"/>
      <c r="H877" s="31" t="n"/>
      <c r="I877" s="31" t="n"/>
      <c r="J877" s="31" t="n"/>
      <c r="K877" s="31" t="n"/>
      <c r="L877" s="31" t="n"/>
      <c r="M877" s="31" t="n"/>
      <c r="N877" s="31" t="n"/>
      <c r="O877" s="31" t="n"/>
      <c r="P877" s="31" t="n"/>
      <c r="Q877" s="31" t="n"/>
      <c r="R877" s="31" t="n"/>
      <c r="S877" s="32">
        <f>IF($F877="","",IF(IFERROR(VLOOKUP($F877,'维度字典'!$M$2:$N$50,2,0),"求和")="手工录入","",IF(IFERROR(VLOOKUP($F877,'维度字典'!$M$2:$N$50,2,0),"求和")="最新值",IFERROR(LOOKUP(9.99E+307,G877:R877),""),SUM(G877:R877))))</f>
        <v/>
      </c>
      <c r="T877" s="33" t="n"/>
    </row>
    <row r="878">
      <c r="A878" s="26">
        <f>IF($B878="","",ROW()-3)</f>
        <v/>
      </c>
      <c r="B878" s="27" t="n"/>
      <c r="C878" s="27" t="n"/>
      <c r="D878" s="28" t="n"/>
      <c r="E878" s="29" t="n"/>
      <c r="F878" s="30" t="n"/>
      <c r="G878" s="31" t="n"/>
      <c r="H878" s="31" t="n"/>
      <c r="I878" s="31" t="n"/>
      <c r="J878" s="31" t="n"/>
      <c r="K878" s="31" t="n"/>
      <c r="L878" s="31" t="n"/>
      <c r="M878" s="31" t="n"/>
      <c r="N878" s="31" t="n"/>
      <c r="O878" s="31" t="n"/>
      <c r="P878" s="31" t="n"/>
      <c r="Q878" s="31" t="n"/>
      <c r="R878" s="31" t="n"/>
      <c r="S878" s="32">
        <f>IF($F878="","",IF(IFERROR(VLOOKUP($F878,'维度字典'!$M$2:$N$50,2,0),"求和")="手工录入","",IF(IFERROR(VLOOKUP($F878,'维度字典'!$M$2:$N$50,2,0),"求和")="最新值",IFERROR(LOOKUP(9.99E+307,G878:R878),""),SUM(G878:R878))))</f>
        <v/>
      </c>
      <c r="T878" s="33" t="n"/>
    </row>
    <row r="879">
      <c r="A879" s="26">
        <f>IF($B879="","",ROW()-3)</f>
        <v/>
      </c>
      <c r="B879" s="27" t="n"/>
      <c r="C879" s="27" t="n"/>
      <c r="D879" s="28" t="n"/>
      <c r="E879" s="29" t="n"/>
      <c r="F879" s="30" t="n"/>
      <c r="G879" s="31" t="n"/>
      <c r="H879" s="31" t="n"/>
      <c r="I879" s="31" t="n"/>
      <c r="J879" s="31" t="n"/>
      <c r="K879" s="31" t="n"/>
      <c r="L879" s="31" t="n"/>
      <c r="M879" s="31" t="n"/>
      <c r="N879" s="31" t="n"/>
      <c r="O879" s="31" t="n"/>
      <c r="P879" s="31" t="n"/>
      <c r="Q879" s="31" t="n"/>
      <c r="R879" s="31" t="n"/>
      <c r="S879" s="32">
        <f>IF($F879="","",IF(IFERROR(VLOOKUP($F879,'维度字典'!$M$2:$N$50,2,0),"求和")="手工录入","",IF(IFERROR(VLOOKUP($F879,'维度字典'!$M$2:$N$50,2,0),"求和")="最新值",IFERROR(LOOKUP(9.99E+307,G879:R879),""),SUM(G879:R879))))</f>
        <v/>
      </c>
      <c r="T879" s="33" t="n"/>
    </row>
    <row r="880">
      <c r="A880" s="26">
        <f>IF($B880="","",ROW()-3)</f>
        <v/>
      </c>
      <c r="B880" s="27" t="n"/>
      <c r="C880" s="27" t="n"/>
      <c r="D880" s="28" t="n"/>
      <c r="E880" s="29" t="n"/>
      <c r="F880" s="30" t="n"/>
      <c r="G880" s="31" t="n"/>
      <c r="H880" s="31" t="n"/>
      <c r="I880" s="31" t="n"/>
      <c r="J880" s="31" t="n"/>
      <c r="K880" s="31" t="n"/>
      <c r="L880" s="31" t="n"/>
      <c r="M880" s="31" t="n"/>
      <c r="N880" s="31" t="n"/>
      <c r="O880" s="31" t="n"/>
      <c r="P880" s="31" t="n"/>
      <c r="Q880" s="31" t="n"/>
      <c r="R880" s="31" t="n"/>
      <c r="S880" s="32">
        <f>IF($F880="","",IF(IFERROR(VLOOKUP($F880,'维度字典'!$M$2:$N$50,2,0),"求和")="手工录入","",IF(IFERROR(VLOOKUP($F880,'维度字典'!$M$2:$N$50,2,0),"求和")="最新值",IFERROR(LOOKUP(9.99E+307,G880:R880),""),SUM(G880:R880))))</f>
        <v/>
      </c>
      <c r="T880" s="33" t="n"/>
    </row>
    <row r="881">
      <c r="A881" s="26">
        <f>IF($B881="","",ROW()-3)</f>
        <v/>
      </c>
      <c r="B881" s="27" t="n"/>
      <c r="C881" s="27" t="n"/>
      <c r="D881" s="28" t="n"/>
      <c r="E881" s="29" t="n"/>
      <c r="F881" s="30" t="n"/>
      <c r="G881" s="31" t="n"/>
      <c r="H881" s="31" t="n"/>
      <c r="I881" s="31" t="n"/>
      <c r="J881" s="31" t="n"/>
      <c r="K881" s="31" t="n"/>
      <c r="L881" s="31" t="n"/>
      <c r="M881" s="31" t="n"/>
      <c r="N881" s="31" t="n"/>
      <c r="O881" s="31" t="n"/>
      <c r="P881" s="31" t="n"/>
      <c r="Q881" s="31" t="n"/>
      <c r="R881" s="31" t="n"/>
      <c r="S881" s="32">
        <f>IF($F881="","",IF(IFERROR(VLOOKUP($F881,'维度字典'!$M$2:$N$50,2,0),"求和")="手工录入","",IF(IFERROR(VLOOKUP($F881,'维度字典'!$M$2:$N$50,2,0),"求和")="最新值",IFERROR(LOOKUP(9.99E+307,G881:R881),""),SUM(G881:R881))))</f>
        <v/>
      </c>
      <c r="T881" s="33" t="n"/>
    </row>
    <row r="882">
      <c r="A882" s="26">
        <f>IF($B882="","",ROW()-3)</f>
        <v/>
      </c>
      <c r="B882" s="27" t="n"/>
      <c r="C882" s="27" t="n"/>
      <c r="D882" s="28" t="n"/>
      <c r="E882" s="29" t="n"/>
      <c r="F882" s="30" t="n"/>
      <c r="G882" s="31" t="n"/>
      <c r="H882" s="31" t="n"/>
      <c r="I882" s="31" t="n"/>
      <c r="J882" s="31" t="n"/>
      <c r="K882" s="31" t="n"/>
      <c r="L882" s="31" t="n"/>
      <c r="M882" s="31" t="n"/>
      <c r="N882" s="31" t="n"/>
      <c r="O882" s="31" t="n"/>
      <c r="P882" s="31" t="n"/>
      <c r="Q882" s="31" t="n"/>
      <c r="R882" s="31" t="n"/>
      <c r="S882" s="32">
        <f>IF($F882="","",IF(IFERROR(VLOOKUP($F882,'维度字典'!$M$2:$N$50,2,0),"求和")="手工录入","",IF(IFERROR(VLOOKUP($F882,'维度字典'!$M$2:$N$50,2,0),"求和")="最新值",IFERROR(LOOKUP(9.99E+307,G882:R882),""),SUM(G882:R882))))</f>
        <v/>
      </c>
      <c r="T882" s="33" t="n"/>
    </row>
    <row r="883">
      <c r="A883" s="26">
        <f>IF($B883="","",ROW()-3)</f>
        <v/>
      </c>
      <c r="B883" s="27" t="n"/>
      <c r="C883" s="27" t="n"/>
      <c r="D883" s="28" t="n"/>
      <c r="E883" s="29" t="n"/>
      <c r="F883" s="30" t="n"/>
      <c r="G883" s="31" t="n"/>
      <c r="H883" s="31" t="n"/>
      <c r="I883" s="31" t="n"/>
      <c r="J883" s="31" t="n"/>
      <c r="K883" s="31" t="n"/>
      <c r="L883" s="31" t="n"/>
      <c r="M883" s="31" t="n"/>
      <c r="N883" s="31" t="n"/>
      <c r="O883" s="31" t="n"/>
      <c r="P883" s="31" t="n"/>
      <c r="Q883" s="31" t="n"/>
      <c r="R883" s="31" t="n"/>
      <c r="S883" s="32">
        <f>IF($F883="","",IF(IFERROR(VLOOKUP($F883,'维度字典'!$M$2:$N$50,2,0),"求和")="手工录入","",IF(IFERROR(VLOOKUP($F883,'维度字典'!$M$2:$N$50,2,0),"求和")="最新值",IFERROR(LOOKUP(9.99E+307,G883:R883),""),SUM(G883:R883))))</f>
        <v/>
      </c>
      <c r="T883" s="33" t="n"/>
    </row>
    <row r="884">
      <c r="A884" s="26">
        <f>IF($B884="","",ROW()-3)</f>
        <v/>
      </c>
      <c r="B884" s="27" t="n"/>
      <c r="C884" s="27" t="n"/>
      <c r="D884" s="28" t="n"/>
      <c r="E884" s="29" t="n"/>
      <c r="F884" s="30" t="n"/>
      <c r="G884" s="31" t="n"/>
      <c r="H884" s="31" t="n"/>
      <c r="I884" s="31" t="n"/>
      <c r="J884" s="31" t="n"/>
      <c r="K884" s="31" t="n"/>
      <c r="L884" s="31" t="n"/>
      <c r="M884" s="31" t="n"/>
      <c r="N884" s="31" t="n"/>
      <c r="O884" s="31" t="n"/>
      <c r="P884" s="31" t="n"/>
      <c r="Q884" s="31" t="n"/>
      <c r="R884" s="31" t="n"/>
      <c r="S884" s="32">
        <f>IF($F884="","",IF(IFERROR(VLOOKUP($F884,'维度字典'!$M$2:$N$50,2,0),"求和")="手工录入","",IF(IFERROR(VLOOKUP($F884,'维度字典'!$M$2:$N$50,2,0),"求和")="最新值",IFERROR(LOOKUP(9.99E+307,G884:R884),""),SUM(G884:R884))))</f>
        <v/>
      </c>
      <c r="T884" s="33" t="n"/>
    </row>
    <row r="885">
      <c r="A885" s="26">
        <f>IF($B885="","",ROW()-3)</f>
        <v/>
      </c>
      <c r="B885" s="27" t="n"/>
      <c r="C885" s="27" t="n"/>
      <c r="D885" s="28" t="n"/>
      <c r="E885" s="29" t="n"/>
      <c r="F885" s="30" t="n"/>
      <c r="G885" s="31" t="n"/>
      <c r="H885" s="31" t="n"/>
      <c r="I885" s="31" t="n"/>
      <c r="J885" s="31" t="n"/>
      <c r="K885" s="31" t="n"/>
      <c r="L885" s="31" t="n"/>
      <c r="M885" s="31" t="n"/>
      <c r="N885" s="31" t="n"/>
      <c r="O885" s="31" t="n"/>
      <c r="P885" s="31" t="n"/>
      <c r="Q885" s="31" t="n"/>
      <c r="R885" s="31" t="n"/>
      <c r="S885" s="32">
        <f>IF($F885="","",IF(IFERROR(VLOOKUP($F885,'维度字典'!$M$2:$N$50,2,0),"求和")="手工录入","",IF(IFERROR(VLOOKUP($F885,'维度字典'!$M$2:$N$50,2,0),"求和")="最新值",IFERROR(LOOKUP(9.99E+307,G885:R885),""),SUM(G885:R885))))</f>
        <v/>
      </c>
      <c r="T885" s="33" t="n"/>
    </row>
    <row r="886">
      <c r="A886" s="26">
        <f>IF($B886="","",ROW()-3)</f>
        <v/>
      </c>
      <c r="B886" s="27" t="n"/>
      <c r="C886" s="27" t="n"/>
      <c r="D886" s="28" t="n"/>
      <c r="E886" s="29" t="n"/>
      <c r="F886" s="30" t="n"/>
      <c r="G886" s="31" t="n"/>
      <c r="H886" s="31" t="n"/>
      <c r="I886" s="31" t="n"/>
      <c r="J886" s="31" t="n"/>
      <c r="K886" s="31" t="n"/>
      <c r="L886" s="31" t="n"/>
      <c r="M886" s="31" t="n"/>
      <c r="N886" s="31" t="n"/>
      <c r="O886" s="31" t="n"/>
      <c r="P886" s="31" t="n"/>
      <c r="Q886" s="31" t="n"/>
      <c r="R886" s="31" t="n"/>
      <c r="S886" s="32">
        <f>IF($F886="","",IF(IFERROR(VLOOKUP($F886,'维度字典'!$M$2:$N$50,2,0),"求和")="手工录入","",IF(IFERROR(VLOOKUP($F886,'维度字典'!$M$2:$N$50,2,0),"求和")="最新值",IFERROR(LOOKUP(9.99E+307,G886:R886),""),SUM(G886:R886))))</f>
        <v/>
      </c>
      <c r="T886" s="33" t="n"/>
    </row>
    <row r="887">
      <c r="A887" s="26">
        <f>IF($B887="","",ROW()-3)</f>
        <v/>
      </c>
      <c r="B887" s="27" t="n"/>
      <c r="C887" s="27" t="n"/>
      <c r="D887" s="28" t="n"/>
      <c r="E887" s="29" t="n"/>
      <c r="F887" s="30" t="n"/>
      <c r="G887" s="31" t="n"/>
      <c r="H887" s="31" t="n"/>
      <c r="I887" s="31" t="n"/>
      <c r="J887" s="31" t="n"/>
      <c r="K887" s="31" t="n"/>
      <c r="L887" s="31" t="n"/>
      <c r="M887" s="31" t="n"/>
      <c r="N887" s="31" t="n"/>
      <c r="O887" s="31" t="n"/>
      <c r="P887" s="31" t="n"/>
      <c r="Q887" s="31" t="n"/>
      <c r="R887" s="31" t="n"/>
      <c r="S887" s="32">
        <f>IF($F887="","",IF(IFERROR(VLOOKUP($F887,'维度字典'!$M$2:$N$50,2,0),"求和")="手工录入","",IF(IFERROR(VLOOKUP($F887,'维度字典'!$M$2:$N$50,2,0),"求和")="最新值",IFERROR(LOOKUP(9.99E+307,G887:R887),""),SUM(G887:R887))))</f>
        <v/>
      </c>
      <c r="T887" s="33" t="n"/>
    </row>
    <row r="888">
      <c r="A888" s="26">
        <f>IF($B888="","",ROW()-3)</f>
        <v/>
      </c>
      <c r="B888" s="27" t="n"/>
      <c r="C888" s="27" t="n"/>
      <c r="D888" s="28" t="n"/>
      <c r="E888" s="29" t="n"/>
      <c r="F888" s="30" t="n"/>
      <c r="G888" s="31" t="n"/>
      <c r="H888" s="31" t="n"/>
      <c r="I888" s="31" t="n"/>
      <c r="J888" s="31" t="n"/>
      <c r="K888" s="31" t="n"/>
      <c r="L888" s="31" t="n"/>
      <c r="M888" s="31" t="n"/>
      <c r="N888" s="31" t="n"/>
      <c r="O888" s="31" t="n"/>
      <c r="P888" s="31" t="n"/>
      <c r="Q888" s="31" t="n"/>
      <c r="R888" s="31" t="n"/>
      <c r="S888" s="32">
        <f>IF($F888="","",IF(IFERROR(VLOOKUP($F888,'维度字典'!$M$2:$N$50,2,0),"求和")="手工录入","",IF(IFERROR(VLOOKUP($F888,'维度字典'!$M$2:$N$50,2,0),"求和")="最新值",IFERROR(LOOKUP(9.99E+307,G888:R888),""),SUM(G888:R888))))</f>
        <v/>
      </c>
      <c r="T888" s="33" t="n"/>
    </row>
    <row r="889">
      <c r="A889" s="26">
        <f>IF($B889="","",ROW()-3)</f>
        <v/>
      </c>
      <c r="B889" s="27" t="n"/>
      <c r="C889" s="27" t="n"/>
      <c r="D889" s="28" t="n"/>
      <c r="E889" s="29" t="n"/>
      <c r="F889" s="30" t="n"/>
      <c r="G889" s="31" t="n"/>
      <c r="H889" s="31" t="n"/>
      <c r="I889" s="31" t="n"/>
      <c r="J889" s="31" t="n"/>
      <c r="K889" s="31" t="n"/>
      <c r="L889" s="31" t="n"/>
      <c r="M889" s="31" t="n"/>
      <c r="N889" s="31" t="n"/>
      <c r="O889" s="31" t="n"/>
      <c r="P889" s="31" t="n"/>
      <c r="Q889" s="31" t="n"/>
      <c r="R889" s="31" t="n"/>
      <c r="S889" s="32">
        <f>IF($F889="","",IF(IFERROR(VLOOKUP($F889,'维度字典'!$M$2:$N$50,2,0),"求和")="手工录入","",IF(IFERROR(VLOOKUP($F889,'维度字典'!$M$2:$N$50,2,0),"求和")="最新值",IFERROR(LOOKUP(9.99E+307,G889:R889),""),SUM(G889:R889))))</f>
        <v/>
      </c>
      <c r="T889" s="33" t="n"/>
    </row>
    <row r="890">
      <c r="A890" s="26">
        <f>IF($B890="","",ROW()-3)</f>
        <v/>
      </c>
      <c r="B890" s="27" t="n"/>
      <c r="C890" s="27" t="n"/>
      <c r="D890" s="28" t="n"/>
      <c r="E890" s="29" t="n"/>
      <c r="F890" s="30" t="n"/>
      <c r="G890" s="31" t="n"/>
      <c r="H890" s="31" t="n"/>
      <c r="I890" s="31" t="n"/>
      <c r="J890" s="31" t="n"/>
      <c r="K890" s="31" t="n"/>
      <c r="L890" s="31" t="n"/>
      <c r="M890" s="31" t="n"/>
      <c r="N890" s="31" t="n"/>
      <c r="O890" s="31" t="n"/>
      <c r="P890" s="31" t="n"/>
      <c r="Q890" s="31" t="n"/>
      <c r="R890" s="31" t="n"/>
      <c r="S890" s="32">
        <f>IF($F890="","",IF(IFERROR(VLOOKUP($F890,'维度字典'!$M$2:$N$50,2,0),"求和")="手工录入","",IF(IFERROR(VLOOKUP($F890,'维度字典'!$M$2:$N$50,2,0),"求和")="最新值",IFERROR(LOOKUP(9.99E+307,G890:R890),""),SUM(G890:R890))))</f>
        <v/>
      </c>
      <c r="T890" s="33" t="n"/>
    </row>
    <row r="891">
      <c r="A891" s="26">
        <f>IF($B891="","",ROW()-3)</f>
        <v/>
      </c>
      <c r="B891" s="27" t="n"/>
      <c r="C891" s="27" t="n"/>
      <c r="D891" s="28" t="n"/>
      <c r="E891" s="29" t="n"/>
      <c r="F891" s="30" t="n"/>
      <c r="G891" s="31" t="n"/>
      <c r="H891" s="31" t="n"/>
      <c r="I891" s="31" t="n"/>
      <c r="J891" s="31" t="n"/>
      <c r="K891" s="31" t="n"/>
      <c r="L891" s="31" t="n"/>
      <c r="M891" s="31" t="n"/>
      <c r="N891" s="31" t="n"/>
      <c r="O891" s="31" t="n"/>
      <c r="P891" s="31" t="n"/>
      <c r="Q891" s="31" t="n"/>
      <c r="R891" s="31" t="n"/>
      <c r="S891" s="32">
        <f>IF($F891="","",IF(IFERROR(VLOOKUP($F891,'维度字典'!$M$2:$N$50,2,0),"求和")="手工录入","",IF(IFERROR(VLOOKUP($F891,'维度字典'!$M$2:$N$50,2,0),"求和")="最新值",IFERROR(LOOKUP(9.99E+307,G891:R891),""),SUM(G891:R891))))</f>
        <v/>
      </c>
      <c r="T891" s="33" t="n"/>
    </row>
    <row r="892">
      <c r="A892" s="26">
        <f>IF($B892="","",ROW()-3)</f>
        <v/>
      </c>
      <c r="B892" s="27" t="n"/>
      <c r="C892" s="27" t="n"/>
      <c r="D892" s="28" t="n"/>
      <c r="E892" s="29" t="n"/>
      <c r="F892" s="30" t="n"/>
      <c r="G892" s="31" t="n"/>
      <c r="H892" s="31" t="n"/>
      <c r="I892" s="31" t="n"/>
      <c r="J892" s="31" t="n"/>
      <c r="K892" s="31" t="n"/>
      <c r="L892" s="31" t="n"/>
      <c r="M892" s="31" t="n"/>
      <c r="N892" s="31" t="n"/>
      <c r="O892" s="31" t="n"/>
      <c r="P892" s="31" t="n"/>
      <c r="Q892" s="31" t="n"/>
      <c r="R892" s="31" t="n"/>
      <c r="S892" s="32">
        <f>IF($F892="","",IF(IFERROR(VLOOKUP($F892,'维度字典'!$M$2:$N$50,2,0),"求和")="手工录入","",IF(IFERROR(VLOOKUP($F892,'维度字典'!$M$2:$N$50,2,0),"求和")="最新值",IFERROR(LOOKUP(9.99E+307,G892:R892),""),SUM(G892:R892))))</f>
        <v/>
      </c>
      <c r="T892" s="33" t="n"/>
    </row>
    <row r="893">
      <c r="A893" s="26">
        <f>IF($B893="","",ROW()-3)</f>
        <v/>
      </c>
      <c r="B893" s="27" t="n"/>
      <c r="C893" s="27" t="n"/>
      <c r="D893" s="28" t="n"/>
      <c r="E893" s="29" t="n"/>
      <c r="F893" s="30" t="n"/>
      <c r="G893" s="31" t="n"/>
      <c r="H893" s="31" t="n"/>
      <c r="I893" s="31" t="n"/>
      <c r="J893" s="31" t="n"/>
      <c r="K893" s="31" t="n"/>
      <c r="L893" s="31" t="n"/>
      <c r="M893" s="31" t="n"/>
      <c r="N893" s="31" t="n"/>
      <c r="O893" s="31" t="n"/>
      <c r="P893" s="31" t="n"/>
      <c r="Q893" s="31" t="n"/>
      <c r="R893" s="31" t="n"/>
      <c r="S893" s="32">
        <f>IF($F893="","",IF(IFERROR(VLOOKUP($F893,'维度字典'!$M$2:$N$50,2,0),"求和")="手工录入","",IF(IFERROR(VLOOKUP($F893,'维度字典'!$M$2:$N$50,2,0),"求和")="最新值",IFERROR(LOOKUP(9.99E+307,G893:R893),""),SUM(G893:R893))))</f>
        <v/>
      </c>
      <c r="T893" s="33" t="n"/>
    </row>
    <row r="894">
      <c r="A894" s="26">
        <f>IF($B894="","",ROW()-3)</f>
        <v/>
      </c>
      <c r="B894" s="27" t="n"/>
      <c r="C894" s="27" t="n"/>
      <c r="D894" s="28" t="n"/>
      <c r="E894" s="29" t="n"/>
      <c r="F894" s="30" t="n"/>
      <c r="G894" s="31" t="n"/>
      <c r="H894" s="31" t="n"/>
      <c r="I894" s="31" t="n"/>
      <c r="J894" s="31" t="n"/>
      <c r="K894" s="31" t="n"/>
      <c r="L894" s="31" t="n"/>
      <c r="M894" s="31" t="n"/>
      <c r="N894" s="31" t="n"/>
      <c r="O894" s="31" t="n"/>
      <c r="P894" s="31" t="n"/>
      <c r="Q894" s="31" t="n"/>
      <c r="R894" s="31" t="n"/>
      <c r="S894" s="32">
        <f>IF($F894="","",IF(IFERROR(VLOOKUP($F894,'维度字典'!$M$2:$N$50,2,0),"求和")="手工录入","",IF(IFERROR(VLOOKUP($F894,'维度字典'!$M$2:$N$50,2,0),"求和")="最新值",IFERROR(LOOKUP(9.99E+307,G894:R894),""),SUM(G894:R894))))</f>
        <v/>
      </c>
      <c r="T894" s="33" t="n"/>
    </row>
    <row r="895">
      <c r="A895" s="26">
        <f>IF($B895="","",ROW()-3)</f>
        <v/>
      </c>
      <c r="B895" s="27" t="n"/>
      <c r="C895" s="27" t="n"/>
      <c r="D895" s="28" t="n"/>
      <c r="E895" s="29" t="n"/>
      <c r="F895" s="30" t="n"/>
      <c r="G895" s="31" t="n"/>
      <c r="H895" s="31" t="n"/>
      <c r="I895" s="31" t="n"/>
      <c r="J895" s="31" t="n"/>
      <c r="K895" s="31" t="n"/>
      <c r="L895" s="31" t="n"/>
      <c r="M895" s="31" t="n"/>
      <c r="N895" s="31" t="n"/>
      <c r="O895" s="31" t="n"/>
      <c r="P895" s="31" t="n"/>
      <c r="Q895" s="31" t="n"/>
      <c r="R895" s="31" t="n"/>
      <c r="S895" s="32">
        <f>IF($F895="","",IF(IFERROR(VLOOKUP($F895,'维度字典'!$M$2:$N$50,2,0),"求和")="手工录入","",IF(IFERROR(VLOOKUP($F895,'维度字典'!$M$2:$N$50,2,0),"求和")="最新值",IFERROR(LOOKUP(9.99E+307,G895:R895),""),SUM(G895:R895))))</f>
        <v/>
      </c>
      <c r="T895" s="33" t="n"/>
    </row>
    <row r="896">
      <c r="A896" s="26">
        <f>IF($B896="","",ROW()-3)</f>
        <v/>
      </c>
      <c r="B896" s="27" t="n"/>
      <c r="C896" s="27" t="n"/>
      <c r="D896" s="28" t="n"/>
      <c r="E896" s="29" t="n"/>
      <c r="F896" s="30" t="n"/>
      <c r="G896" s="31" t="n"/>
      <c r="H896" s="31" t="n"/>
      <c r="I896" s="31" t="n"/>
      <c r="J896" s="31" t="n"/>
      <c r="K896" s="31" t="n"/>
      <c r="L896" s="31" t="n"/>
      <c r="M896" s="31" t="n"/>
      <c r="N896" s="31" t="n"/>
      <c r="O896" s="31" t="n"/>
      <c r="P896" s="31" t="n"/>
      <c r="Q896" s="31" t="n"/>
      <c r="R896" s="31" t="n"/>
      <c r="S896" s="32">
        <f>IF($F896="","",IF(IFERROR(VLOOKUP($F896,'维度字典'!$M$2:$N$50,2,0),"求和")="手工录入","",IF(IFERROR(VLOOKUP($F896,'维度字典'!$M$2:$N$50,2,0),"求和")="最新值",IFERROR(LOOKUP(9.99E+307,G896:R896),""),SUM(G896:R896))))</f>
        <v/>
      </c>
      <c r="T896" s="33" t="n"/>
    </row>
    <row r="897">
      <c r="A897" s="26">
        <f>IF($B897="","",ROW()-3)</f>
        <v/>
      </c>
      <c r="B897" s="27" t="n"/>
      <c r="C897" s="27" t="n"/>
      <c r="D897" s="28" t="n"/>
      <c r="E897" s="29" t="n"/>
      <c r="F897" s="30" t="n"/>
      <c r="G897" s="31" t="n"/>
      <c r="H897" s="31" t="n"/>
      <c r="I897" s="31" t="n"/>
      <c r="J897" s="31" t="n"/>
      <c r="K897" s="31" t="n"/>
      <c r="L897" s="31" t="n"/>
      <c r="M897" s="31" t="n"/>
      <c r="N897" s="31" t="n"/>
      <c r="O897" s="31" t="n"/>
      <c r="P897" s="31" t="n"/>
      <c r="Q897" s="31" t="n"/>
      <c r="R897" s="31" t="n"/>
      <c r="S897" s="32">
        <f>IF($F897="","",IF(IFERROR(VLOOKUP($F897,'维度字典'!$M$2:$N$50,2,0),"求和")="手工录入","",IF(IFERROR(VLOOKUP($F897,'维度字典'!$M$2:$N$50,2,0),"求和")="最新值",IFERROR(LOOKUP(9.99E+307,G897:R897),""),SUM(G897:R897))))</f>
        <v/>
      </c>
      <c r="T897" s="33" t="n"/>
    </row>
    <row r="898">
      <c r="A898" s="26">
        <f>IF($B898="","",ROW()-3)</f>
        <v/>
      </c>
      <c r="B898" s="27" t="n"/>
      <c r="C898" s="27" t="n"/>
      <c r="D898" s="28" t="n"/>
      <c r="E898" s="29" t="n"/>
      <c r="F898" s="30" t="n"/>
      <c r="G898" s="31" t="n"/>
      <c r="H898" s="31" t="n"/>
      <c r="I898" s="31" t="n"/>
      <c r="J898" s="31" t="n"/>
      <c r="K898" s="31" t="n"/>
      <c r="L898" s="31" t="n"/>
      <c r="M898" s="31" t="n"/>
      <c r="N898" s="31" t="n"/>
      <c r="O898" s="31" t="n"/>
      <c r="P898" s="31" t="n"/>
      <c r="Q898" s="31" t="n"/>
      <c r="R898" s="31" t="n"/>
      <c r="S898" s="32">
        <f>IF($F898="","",IF(IFERROR(VLOOKUP($F898,'维度字典'!$M$2:$N$50,2,0),"求和")="手工录入","",IF(IFERROR(VLOOKUP($F898,'维度字典'!$M$2:$N$50,2,0),"求和")="最新值",IFERROR(LOOKUP(9.99E+307,G898:R898),""),SUM(G898:R898))))</f>
        <v/>
      </c>
      <c r="T898" s="33" t="n"/>
    </row>
    <row r="899">
      <c r="A899" s="26">
        <f>IF($B899="","",ROW()-3)</f>
        <v/>
      </c>
      <c r="B899" s="27" t="n"/>
      <c r="C899" s="27" t="n"/>
      <c r="D899" s="28" t="n"/>
      <c r="E899" s="29" t="n"/>
      <c r="F899" s="30" t="n"/>
      <c r="G899" s="31" t="n"/>
      <c r="H899" s="31" t="n"/>
      <c r="I899" s="31" t="n"/>
      <c r="J899" s="31" t="n"/>
      <c r="K899" s="31" t="n"/>
      <c r="L899" s="31" t="n"/>
      <c r="M899" s="31" t="n"/>
      <c r="N899" s="31" t="n"/>
      <c r="O899" s="31" t="n"/>
      <c r="P899" s="31" t="n"/>
      <c r="Q899" s="31" t="n"/>
      <c r="R899" s="31" t="n"/>
      <c r="S899" s="32">
        <f>IF($F899="","",IF(IFERROR(VLOOKUP($F899,'维度字典'!$M$2:$N$50,2,0),"求和")="手工录入","",IF(IFERROR(VLOOKUP($F899,'维度字典'!$M$2:$N$50,2,0),"求和")="最新值",IFERROR(LOOKUP(9.99E+307,G899:R899),""),SUM(G899:R899))))</f>
        <v/>
      </c>
      <c r="T899" s="33" t="n"/>
    </row>
    <row r="900">
      <c r="A900" s="26">
        <f>IF($B900="","",ROW()-3)</f>
        <v/>
      </c>
      <c r="B900" s="27" t="n"/>
      <c r="C900" s="27" t="n"/>
      <c r="D900" s="28" t="n"/>
      <c r="E900" s="29" t="n"/>
      <c r="F900" s="30" t="n"/>
      <c r="G900" s="31" t="n"/>
      <c r="H900" s="31" t="n"/>
      <c r="I900" s="31" t="n"/>
      <c r="J900" s="31" t="n"/>
      <c r="K900" s="31" t="n"/>
      <c r="L900" s="31" t="n"/>
      <c r="M900" s="31" t="n"/>
      <c r="N900" s="31" t="n"/>
      <c r="O900" s="31" t="n"/>
      <c r="P900" s="31" t="n"/>
      <c r="Q900" s="31" t="n"/>
      <c r="R900" s="31" t="n"/>
      <c r="S900" s="32">
        <f>IF($F900="","",IF(IFERROR(VLOOKUP($F900,'维度字典'!$M$2:$N$50,2,0),"求和")="手工录入","",IF(IFERROR(VLOOKUP($F900,'维度字典'!$M$2:$N$50,2,0),"求和")="最新值",IFERROR(LOOKUP(9.99E+307,G900:R900),""),SUM(G900:R900))))</f>
        <v/>
      </c>
      <c r="T900" s="33" t="n"/>
    </row>
    <row r="901">
      <c r="A901" s="26">
        <f>IF($B901="","",ROW()-3)</f>
        <v/>
      </c>
      <c r="B901" s="27" t="n"/>
      <c r="C901" s="27" t="n"/>
      <c r="D901" s="28" t="n"/>
      <c r="E901" s="29" t="n"/>
      <c r="F901" s="30" t="n"/>
      <c r="G901" s="31" t="n"/>
      <c r="H901" s="31" t="n"/>
      <c r="I901" s="31" t="n"/>
      <c r="J901" s="31" t="n"/>
      <c r="K901" s="31" t="n"/>
      <c r="L901" s="31" t="n"/>
      <c r="M901" s="31" t="n"/>
      <c r="N901" s="31" t="n"/>
      <c r="O901" s="31" t="n"/>
      <c r="P901" s="31" t="n"/>
      <c r="Q901" s="31" t="n"/>
      <c r="R901" s="31" t="n"/>
      <c r="S901" s="32">
        <f>IF($F901="","",IF(IFERROR(VLOOKUP($F901,'维度字典'!$M$2:$N$50,2,0),"求和")="手工录入","",IF(IFERROR(VLOOKUP($F901,'维度字典'!$M$2:$N$50,2,0),"求和")="最新值",IFERROR(LOOKUP(9.99E+307,G901:R901),""),SUM(G901:R901))))</f>
        <v/>
      </c>
      <c r="T901" s="33" t="n"/>
    </row>
    <row r="902">
      <c r="A902" s="26">
        <f>IF($B902="","",ROW()-3)</f>
        <v/>
      </c>
      <c r="B902" s="27" t="n"/>
      <c r="C902" s="27" t="n"/>
      <c r="D902" s="28" t="n"/>
      <c r="E902" s="29" t="n"/>
      <c r="F902" s="30" t="n"/>
      <c r="G902" s="31" t="n"/>
      <c r="H902" s="31" t="n"/>
      <c r="I902" s="31" t="n"/>
      <c r="J902" s="31" t="n"/>
      <c r="K902" s="31" t="n"/>
      <c r="L902" s="31" t="n"/>
      <c r="M902" s="31" t="n"/>
      <c r="N902" s="31" t="n"/>
      <c r="O902" s="31" t="n"/>
      <c r="P902" s="31" t="n"/>
      <c r="Q902" s="31" t="n"/>
      <c r="R902" s="31" t="n"/>
      <c r="S902" s="32">
        <f>IF($F902="","",IF(IFERROR(VLOOKUP($F902,'维度字典'!$M$2:$N$50,2,0),"求和")="手工录入","",IF(IFERROR(VLOOKUP($F902,'维度字典'!$M$2:$N$50,2,0),"求和")="最新值",IFERROR(LOOKUP(9.99E+307,G902:R902),""),SUM(G902:R902))))</f>
        <v/>
      </c>
      <c r="T902" s="33" t="n"/>
    </row>
    <row r="903">
      <c r="A903" s="26">
        <f>IF($B903="","",ROW()-3)</f>
        <v/>
      </c>
      <c r="B903" s="27" t="n"/>
      <c r="C903" s="27" t="n"/>
      <c r="D903" s="28" t="n"/>
      <c r="E903" s="29" t="n"/>
      <c r="F903" s="30" t="n"/>
      <c r="G903" s="31" t="n"/>
      <c r="H903" s="31" t="n"/>
      <c r="I903" s="31" t="n"/>
      <c r="J903" s="31" t="n"/>
      <c r="K903" s="31" t="n"/>
      <c r="L903" s="31" t="n"/>
      <c r="M903" s="31" t="n"/>
      <c r="N903" s="31" t="n"/>
      <c r="O903" s="31" t="n"/>
      <c r="P903" s="31" t="n"/>
      <c r="Q903" s="31" t="n"/>
      <c r="R903" s="31" t="n"/>
      <c r="S903" s="32">
        <f>IF($F903="","",IF(IFERROR(VLOOKUP($F903,'维度字典'!$M$2:$N$50,2,0),"求和")="手工录入","",IF(IFERROR(VLOOKUP($F903,'维度字典'!$M$2:$N$50,2,0),"求和")="最新值",IFERROR(LOOKUP(9.99E+307,G903:R903),""),SUM(G903:R903))))</f>
        <v/>
      </c>
      <c r="T903" s="33" t="n"/>
    </row>
    <row r="904">
      <c r="A904" s="26">
        <f>IF($B904="","",ROW()-3)</f>
        <v/>
      </c>
      <c r="B904" s="27" t="n"/>
      <c r="C904" s="27" t="n"/>
      <c r="D904" s="28" t="n"/>
      <c r="E904" s="29" t="n"/>
      <c r="F904" s="30" t="n"/>
      <c r="G904" s="31" t="n"/>
      <c r="H904" s="31" t="n"/>
      <c r="I904" s="31" t="n"/>
      <c r="J904" s="31" t="n"/>
      <c r="K904" s="31" t="n"/>
      <c r="L904" s="31" t="n"/>
      <c r="M904" s="31" t="n"/>
      <c r="N904" s="31" t="n"/>
      <c r="O904" s="31" t="n"/>
      <c r="P904" s="31" t="n"/>
      <c r="Q904" s="31" t="n"/>
      <c r="R904" s="31" t="n"/>
      <c r="S904" s="32">
        <f>IF($F904="","",IF(IFERROR(VLOOKUP($F904,'维度字典'!$M$2:$N$50,2,0),"求和")="手工录入","",IF(IFERROR(VLOOKUP($F904,'维度字典'!$M$2:$N$50,2,0),"求和")="最新值",IFERROR(LOOKUP(9.99E+307,G904:R904),""),SUM(G904:R904))))</f>
        <v/>
      </c>
      <c r="T904" s="33" t="n"/>
    </row>
    <row r="905">
      <c r="A905" s="26">
        <f>IF($B905="","",ROW()-3)</f>
        <v/>
      </c>
      <c r="B905" s="27" t="n"/>
      <c r="C905" s="27" t="n"/>
      <c r="D905" s="28" t="n"/>
      <c r="E905" s="29" t="n"/>
      <c r="F905" s="30" t="n"/>
      <c r="G905" s="31" t="n"/>
      <c r="H905" s="31" t="n"/>
      <c r="I905" s="31" t="n"/>
      <c r="J905" s="31" t="n"/>
      <c r="K905" s="31" t="n"/>
      <c r="L905" s="31" t="n"/>
      <c r="M905" s="31" t="n"/>
      <c r="N905" s="31" t="n"/>
      <c r="O905" s="31" t="n"/>
      <c r="P905" s="31" t="n"/>
      <c r="Q905" s="31" t="n"/>
      <c r="R905" s="31" t="n"/>
      <c r="S905" s="32">
        <f>IF($F905="","",IF(IFERROR(VLOOKUP($F905,'维度字典'!$M$2:$N$50,2,0),"求和")="手工录入","",IF(IFERROR(VLOOKUP($F905,'维度字典'!$M$2:$N$50,2,0),"求和")="最新值",IFERROR(LOOKUP(9.99E+307,G905:R905),""),SUM(G905:R905))))</f>
        <v/>
      </c>
      <c r="T905" s="33" t="n"/>
    </row>
    <row r="906">
      <c r="A906" s="26">
        <f>IF($B906="","",ROW()-3)</f>
        <v/>
      </c>
      <c r="B906" s="27" t="n"/>
      <c r="C906" s="27" t="n"/>
      <c r="D906" s="28" t="n"/>
      <c r="E906" s="29" t="n"/>
      <c r="F906" s="30" t="n"/>
      <c r="G906" s="31" t="n"/>
      <c r="H906" s="31" t="n"/>
      <c r="I906" s="31" t="n"/>
      <c r="J906" s="31" t="n"/>
      <c r="K906" s="31" t="n"/>
      <c r="L906" s="31" t="n"/>
      <c r="M906" s="31" t="n"/>
      <c r="N906" s="31" t="n"/>
      <c r="O906" s="31" t="n"/>
      <c r="P906" s="31" t="n"/>
      <c r="Q906" s="31" t="n"/>
      <c r="R906" s="31" t="n"/>
      <c r="S906" s="32">
        <f>IF($F906="","",IF(IFERROR(VLOOKUP($F906,'维度字典'!$M$2:$N$50,2,0),"求和")="手工录入","",IF(IFERROR(VLOOKUP($F906,'维度字典'!$M$2:$N$50,2,0),"求和")="最新值",IFERROR(LOOKUP(9.99E+307,G906:R906),""),SUM(G906:R906))))</f>
        <v/>
      </c>
      <c r="T906" s="33" t="n"/>
    </row>
    <row r="907">
      <c r="A907" s="26">
        <f>IF($B907="","",ROW()-3)</f>
        <v/>
      </c>
      <c r="B907" s="27" t="n"/>
      <c r="C907" s="27" t="n"/>
      <c r="D907" s="28" t="n"/>
      <c r="E907" s="29" t="n"/>
      <c r="F907" s="30" t="n"/>
      <c r="G907" s="31" t="n"/>
      <c r="H907" s="31" t="n"/>
      <c r="I907" s="31" t="n"/>
      <c r="J907" s="31" t="n"/>
      <c r="K907" s="31" t="n"/>
      <c r="L907" s="31" t="n"/>
      <c r="M907" s="31" t="n"/>
      <c r="N907" s="31" t="n"/>
      <c r="O907" s="31" t="n"/>
      <c r="P907" s="31" t="n"/>
      <c r="Q907" s="31" t="n"/>
      <c r="R907" s="31" t="n"/>
      <c r="S907" s="32">
        <f>IF($F907="","",IF(IFERROR(VLOOKUP($F907,'维度字典'!$M$2:$N$50,2,0),"求和")="手工录入","",IF(IFERROR(VLOOKUP($F907,'维度字典'!$M$2:$N$50,2,0),"求和")="最新值",IFERROR(LOOKUP(9.99E+307,G907:R907),""),SUM(G907:R907))))</f>
        <v/>
      </c>
      <c r="T907" s="33" t="n"/>
    </row>
    <row r="908">
      <c r="A908" s="26">
        <f>IF($B908="","",ROW()-3)</f>
        <v/>
      </c>
      <c r="B908" s="27" t="n"/>
      <c r="C908" s="27" t="n"/>
      <c r="D908" s="28" t="n"/>
      <c r="E908" s="29" t="n"/>
      <c r="F908" s="30" t="n"/>
      <c r="G908" s="31" t="n"/>
      <c r="H908" s="31" t="n"/>
      <c r="I908" s="31" t="n"/>
      <c r="J908" s="31" t="n"/>
      <c r="K908" s="31" t="n"/>
      <c r="L908" s="31" t="n"/>
      <c r="M908" s="31" t="n"/>
      <c r="N908" s="31" t="n"/>
      <c r="O908" s="31" t="n"/>
      <c r="P908" s="31" t="n"/>
      <c r="Q908" s="31" t="n"/>
      <c r="R908" s="31" t="n"/>
      <c r="S908" s="32">
        <f>IF($F908="","",IF(IFERROR(VLOOKUP($F908,'维度字典'!$M$2:$N$50,2,0),"求和")="手工录入","",IF(IFERROR(VLOOKUP($F908,'维度字典'!$M$2:$N$50,2,0),"求和")="最新值",IFERROR(LOOKUP(9.99E+307,G908:R908),""),SUM(G908:R908))))</f>
        <v/>
      </c>
      <c r="T908" s="33" t="n"/>
    </row>
    <row r="909">
      <c r="A909" s="26">
        <f>IF($B909="","",ROW()-3)</f>
        <v/>
      </c>
      <c r="B909" s="27" t="n"/>
      <c r="C909" s="27" t="n"/>
      <c r="D909" s="28" t="n"/>
      <c r="E909" s="29" t="n"/>
      <c r="F909" s="30" t="n"/>
      <c r="G909" s="31" t="n"/>
      <c r="H909" s="31" t="n"/>
      <c r="I909" s="31" t="n"/>
      <c r="J909" s="31" t="n"/>
      <c r="K909" s="31" t="n"/>
      <c r="L909" s="31" t="n"/>
      <c r="M909" s="31" t="n"/>
      <c r="N909" s="31" t="n"/>
      <c r="O909" s="31" t="n"/>
      <c r="P909" s="31" t="n"/>
      <c r="Q909" s="31" t="n"/>
      <c r="R909" s="31" t="n"/>
      <c r="S909" s="32">
        <f>IF($F909="","",IF(IFERROR(VLOOKUP($F909,'维度字典'!$M$2:$N$50,2,0),"求和")="手工录入","",IF(IFERROR(VLOOKUP($F909,'维度字典'!$M$2:$N$50,2,0),"求和")="最新值",IFERROR(LOOKUP(9.99E+307,G909:R909),""),SUM(G909:R909))))</f>
        <v/>
      </c>
      <c r="T909" s="33" t="n"/>
    </row>
    <row r="910">
      <c r="A910" s="26">
        <f>IF($B910="","",ROW()-3)</f>
        <v/>
      </c>
      <c r="B910" s="27" t="n"/>
      <c r="C910" s="27" t="n"/>
      <c r="D910" s="28" t="n"/>
      <c r="E910" s="29" t="n"/>
      <c r="F910" s="30" t="n"/>
      <c r="G910" s="31" t="n"/>
      <c r="H910" s="31" t="n"/>
      <c r="I910" s="31" t="n"/>
      <c r="J910" s="31" t="n"/>
      <c r="K910" s="31" t="n"/>
      <c r="L910" s="31" t="n"/>
      <c r="M910" s="31" t="n"/>
      <c r="N910" s="31" t="n"/>
      <c r="O910" s="31" t="n"/>
      <c r="P910" s="31" t="n"/>
      <c r="Q910" s="31" t="n"/>
      <c r="R910" s="31" t="n"/>
      <c r="S910" s="32">
        <f>IF($F910="","",IF(IFERROR(VLOOKUP($F910,'维度字典'!$M$2:$N$50,2,0),"求和")="手工录入","",IF(IFERROR(VLOOKUP($F910,'维度字典'!$M$2:$N$50,2,0),"求和")="最新值",IFERROR(LOOKUP(9.99E+307,G910:R910),""),SUM(G910:R910))))</f>
        <v/>
      </c>
      <c r="T910" s="33" t="n"/>
    </row>
    <row r="911">
      <c r="A911" s="26">
        <f>IF($B911="","",ROW()-3)</f>
        <v/>
      </c>
      <c r="B911" s="27" t="n"/>
      <c r="C911" s="27" t="n"/>
      <c r="D911" s="28" t="n"/>
      <c r="E911" s="29" t="n"/>
      <c r="F911" s="30" t="n"/>
      <c r="G911" s="31" t="n"/>
      <c r="H911" s="31" t="n"/>
      <c r="I911" s="31" t="n"/>
      <c r="J911" s="31" t="n"/>
      <c r="K911" s="31" t="n"/>
      <c r="L911" s="31" t="n"/>
      <c r="M911" s="31" t="n"/>
      <c r="N911" s="31" t="n"/>
      <c r="O911" s="31" t="n"/>
      <c r="P911" s="31" t="n"/>
      <c r="Q911" s="31" t="n"/>
      <c r="R911" s="31" t="n"/>
      <c r="S911" s="32">
        <f>IF($F911="","",IF(IFERROR(VLOOKUP($F911,'维度字典'!$M$2:$N$50,2,0),"求和")="手工录入","",IF(IFERROR(VLOOKUP($F911,'维度字典'!$M$2:$N$50,2,0),"求和")="最新值",IFERROR(LOOKUP(9.99E+307,G911:R911),""),SUM(G911:R911))))</f>
        <v/>
      </c>
      <c r="T911" s="33" t="n"/>
    </row>
    <row r="912">
      <c r="A912" s="26">
        <f>IF($B912="","",ROW()-3)</f>
        <v/>
      </c>
      <c r="B912" s="27" t="n"/>
      <c r="C912" s="27" t="n"/>
      <c r="D912" s="28" t="n"/>
      <c r="E912" s="29" t="n"/>
      <c r="F912" s="30" t="n"/>
      <c r="G912" s="31" t="n"/>
      <c r="H912" s="31" t="n"/>
      <c r="I912" s="31" t="n"/>
      <c r="J912" s="31" t="n"/>
      <c r="K912" s="31" t="n"/>
      <c r="L912" s="31" t="n"/>
      <c r="M912" s="31" t="n"/>
      <c r="N912" s="31" t="n"/>
      <c r="O912" s="31" t="n"/>
      <c r="P912" s="31" t="n"/>
      <c r="Q912" s="31" t="n"/>
      <c r="R912" s="31" t="n"/>
      <c r="S912" s="32">
        <f>IF($F912="","",IF(IFERROR(VLOOKUP($F912,'维度字典'!$M$2:$N$50,2,0),"求和")="手工录入","",IF(IFERROR(VLOOKUP($F912,'维度字典'!$M$2:$N$50,2,0),"求和")="最新值",IFERROR(LOOKUP(9.99E+307,G912:R912),""),SUM(G912:R912))))</f>
        <v/>
      </c>
      <c r="T912" s="33" t="n"/>
    </row>
    <row r="913">
      <c r="A913" s="26">
        <f>IF($B913="","",ROW()-3)</f>
        <v/>
      </c>
      <c r="B913" s="27" t="n"/>
      <c r="C913" s="27" t="n"/>
      <c r="D913" s="28" t="n"/>
      <c r="E913" s="29" t="n"/>
      <c r="F913" s="30" t="n"/>
      <c r="G913" s="31" t="n"/>
      <c r="H913" s="31" t="n"/>
      <c r="I913" s="31" t="n"/>
      <c r="J913" s="31" t="n"/>
      <c r="K913" s="31" t="n"/>
      <c r="L913" s="31" t="n"/>
      <c r="M913" s="31" t="n"/>
      <c r="N913" s="31" t="n"/>
      <c r="O913" s="31" t="n"/>
      <c r="P913" s="31" t="n"/>
      <c r="Q913" s="31" t="n"/>
      <c r="R913" s="31" t="n"/>
      <c r="S913" s="32">
        <f>IF($F913="","",IF(IFERROR(VLOOKUP($F913,'维度字典'!$M$2:$N$50,2,0),"求和")="手工录入","",IF(IFERROR(VLOOKUP($F913,'维度字典'!$M$2:$N$50,2,0),"求和")="最新值",IFERROR(LOOKUP(9.99E+307,G913:R913),""),SUM(G913:R913))))</f>
        <v/>
      </c>
      <c r="T913" s="33" t="n"/>
    </row>
    <row r="914">
      <c r="A914" s="26">
        <f>IF($B914="","",ROW()-3)</f>
        <v/>
      </c>
      <c r="B914" s="27" t="n"/>
      <c r="C914" s="27" t="n"/>
      <c r="D914" s="28" t="n"/>
      <c r="E914" s="29" t="n"/>
      <c r="F914" s="30" t="n"/>
      <c r="G914" s="31" t="n"/>
      <c r="H914" s="31" t="n"/>
      <c r="I914" s="31" t="n"/>
      <c r="J914" s="31" t="n"/>
      <c r="K914" s="31" t="n"/>
      <c r="L914" s="31" t="n"/>
      <c r="M914" s="31" t="n"/>
      <c r="N914" s="31" t="n"/>
      <c r="O914" s="31" t="n"/>
      <c r="P914" s="31" t="n"/>
      <c r="Q914" s="31" t="n"/>
      <c r="R914" s="31" t="n"/>
      <c r="S914" s="32">
        <f>IF($F914="","",IF(IFERROR(VLOOKUP($F914,'维度字典'!$M$2:$N$50,2,0),"求和")="手工录入","",IF(IFERROR(VLOOKUP($F914,'维度字典'!$M$2:$N$50,2,0),"求和")="最新值",IFERROR(LOOKUP(9.99E+307,G914:R914),""),SUM(G914:R914))))</f>
        <v/>
      </c>
      <c r="T914" s="33" t="n"/>
    </row>
    <row r="915">
      <c r="A915" s="26">
        <f>IF($B915="","",ROW()-3)</f>
        <v/>
      </c>
      <c r="B915" s="27" t="n"/>
      <c r="C915" s="27" t="n"/>
      <c r="D915" s="28" t="n"/>
      <c r="E915" s="29" t="n"/>
      <c r="F915" s="30" t="n"/>
      <c r="G915" s="31" t="n"/>
      <c r="H915" s="31" t="n"/>
      <c r="I915" s="31" t="n"/>
      <c r="J915" s="31" t="n"/>
      <c r="K915" s="31" t="n"/>
      <c r="L915" s="31" t="n"/>
      <c r="M915" s="31" t="n"/>
      <c r="N915" s="31" t="n"/>
      <c r="O915" s="31" t="n"/>
      <c r="P915" s="31" t="n"/>
      <c r="Q915" s="31" t="n"/>
      <c r="R915" s="31" t="n"/>
      <c r="S915" s="32">
        <f>IF($F915="","",IF(IFERROR(VLOOKUP($F915,'维度字典'!$M$2:$N$50,2,0),"求和")="手工录入","",IF(IFERROR(VLOOKUP($F915,'维度字典'!$M$2:$N$50,2,0),"求和")="最新值",IFERROR(LOOKUP(9.99E+307,G915:R915),""),SUM(G915:R915))))</f>
        <v/>
      </c>
      <c r="T915" s="33" t="n"/>
    </row>
    <row r="916">
      <c r="A916" s="26">
        <f>IF($B916="","",ROW()-3)</f>
        <v/>
      </c>
      <c r="B916" s="27" t="n"/>
      <c r="C916" s="27" t="n"/>
      <c r="D916" s="28" t="n"/>
      <c r="E916" s="29" t="n"/>
      <c r="F916" s="30" t="n"/>
      <c r="G916" s="31" t="n"/>
      <c r="H916" s="31" t="n"/>
      <c r="I916" s="31" t="n"/>
      <c r="J916" s="31" t="n"/>
      <c r="K916" s="31" t="n"/>
      <c r="L916" s="31" t="n"/>
      <c r="M916" s="31" t="n"/>
      <c r="N916" s="31" t="n"/>
      <c r="O916" s="31" t="n"/>
      <c r="P916" s="31" t="n"/>
      <c r="Q916" s="31" t="n"/>
      <c r="R916" s="31" t="n"/>
      <c r="S916" s="32">
        <f>IF($F916="","",IF(IFERROR(VLOOKUP($F916,'维度字典'!$M$2:$N$50,2,0),"求和")="手工录入","",IF(IFERROR(VLOOKUP($F916,'维度字典'!$M$2:$N$50,2,0),"求和")="最新值",IFERROR(LOOKUP(9.99E+307,G916:R916),""),SUM(G916:R916))))</f>
        <v/>
      </c>
      <c r="T916" s="33" t="n"/>
    </row>
    <row r="917">
      <c r="A917" s="26">
        <f>IF($B917="","",ROW()-3)</f>
        <v/>
      </c>
      <c r="B917" s="27" t="n"/>
      <c r="C917" s="27" t="n"/>
      <c r="D917" s="28" t="n"/>
      <c r="E917" s="29" t="n"/>
      <c r="F917" s="30" t="n"/>
      <c r="G917" s="31" t="n"/>
      <c r="H917" s="31" t="n"/>
      <c r="I917" s="31" t="n"/>
      <c r="J917" s="31" t="n"/>
      <c r="K917" s="31" t="n"/>
      <c r="L917" s="31" t="n"/>
      <c r="M917" s="31" t="n"/>
      <c r="N917" s="31" t="n"/>
      <c r="O917" s="31" t="n"/>
      <c r="P917" s="31" t="n"/>
      <c r="Q917" s="31" t="n"/>
      <c r="R917" s="31" t="n"/>
      <c r="S917" s="32">
        <f>IF($F917="","",IF(IFERROR(VLOOKUP($F917,'维度字典'!$M$2:$N$50,2,0),"求和")="手工录入","",IF(IFERROR(VLOOKUP($F917,'维度字典'!$M$2:$N$50,2,0),"求和")="最新值",IFERROR(LOOKUP(9.99E+307,G917:R917),""),SUM(G917:R917))))</f>
        <v/>
      </c>
      <c r="T917" s="33" t="n"/>
    </row>
    <row r="918">
      <c r="A918" s="26">
        <f>IF($B918="","",ROW()-3)</f>
        <v/>
      </c>
      <c r="B918" s="27" t="n"/>
      <c r="C918" s="27" t="n"/>
      <c r="D918" s="28" t="n"/>
      <c r="E918" s="29" t="n"/>
      <c r="F918" s="30" t="n"/>
      <c r="G918" s="31" t="n"/>
      <c r="H918" s="31" t="n"/>
      <c r="I918" s="31" t="n"/>
      <c r="J918" s="31" t="n"/>
      <c r="K918" s="31" t="n"/>
      <c r="L918" s="31" t="n"/>
      <c r="M918" s="31" t="n"/>
      <c r="N918" s="31" t="n"/>
      <c r="O918" s="31" t="n"/>
      <c r="P918" s="31" t="n"/>
      <c r="Q918" s="31" t="n"/>
      <c r="R918" s="31" t="n"/>
      <c r="S918" s="32">
        <f>IF($F918="","",IF(IFERROR(VLOOKUP($F918,'维度字典'!$M$2:$N$50,2,0),"求和")="手工录入","",IF(IFERROR(VLOOKUP($F918,'维度字典'!$M$2:$N$50,2,0),"求和")="最新值",IFERROR(LOOKUP(9.99E+307,G918:R918),""),SUM(G918:R918))))</f>
        <v/>
      </c>
      <c r="T918" s="33" t="n"/>
    </row>
    <row r="919">
      <c r="A919" s="26">
        <f>IF($B919="","",ROW()-3)</f>
        <v/>
      </c>
      <c r="B919" s="27" t="n"/>
      <c r="C919" s="27" t="n"/>
      <c r="D919" s="28" t="n"/>
      <c r="E919" s="29" t="n"/>
      <c r="F919" s="30" t="n"/>
      <c r="G919" s="31" t="n"/>
      <c r="H919" s="31" t="n"/>
      <c r="I919" s="31" t="n"/>
      <c r="J919" s="31" t="n"/>
      <c r="K919" s="31" t="n"/>
      <c r="L919" s="31" t="n"/>
      <c r="M919" s="31" t="n"/>
      <c r="N919" s="31" t="n"/>
      <c r="O919" s="31" t="n"/>
      <c r="P919" s="31" t="n"/>
      <c r="Q919" s="31" t="n"/>
      <c r="R919" s="31" t="n"/>
      <c r="S919" s="32">
        <f>IF($F919="","",IF(IFERROR(VLOOKUP($F919,'维度字典'!$M$2:$N$50,2,0),"求和")="手工录入","",IF(IFERROR(VLOOKUP($F919,'维度字典'!$M$2:$N$50,2,0),"求和")="最新值",IFERROR(LOOKUP(9.99E+307,G919:R919),""),SUM(G919:R919))))</f>
        <v/>
      </c>
      <c r="T919" s="33" t="n"/>
    </row>
    <row r="920">
      <c r="A920" s="26">
        <f>IF($B920="","",ROW()-3)</f>
        <v/>
      </c>
      <c r="B920" s="27" t="n"/>
      <c r="C920" s="27" t="n"/>
      <c r="D920" s="28" t="n"/>
      <c r="E920" s="29" t="n"/>
      <c r="F920" s="30" t="n"/>
      <c r="G920" s="31" t="n"/>
      <c r="H920" s="31" t="n"/>
      <c r="I920" s="31" t="n"/>
      <c r="J920" s="31" t="n"/>
      <c r="K920" s="31" t="n"/>
      <c r="L920" s="31" t="n"/>
      <c r="M920" s="31" t="n"/>
      <c r="N920" s="31" t="n"/>
      <c r="O920" s="31" t="n"/>
      <c r="P920" s="31" t="n"/>
      <c r="Q920" s="31" t="n"/>
      <c r="R920" s="31" t="n"/>
      <c r="S920" s="32">
        <f>IF($F920="","",IF(IFERROR(VLOOKUP($F920,'维度字典'!$M$2:$N$50,2,0),"求和")="手工录入","",IF(IFERROR(VLOOKUP($F920,'维度字典'!$M$2:$N$50,2,0),"求和")="最新值",IFERROR(LOOKUP(9.99E+307,G920:R920),""),SUM(G920:R920))))</f>
        <v/>
      </c>
      <c r="T920" s="33" t="n"/>
    </row>
    <row r="921">
      <c r="A921" s="26">
        <f>IF($B921="","",ROW()-3)</f>
        <v/>
      </c>
      <c r="B921" s="27" t="n"/>
      <c r="C921" s="27" t="n"/>
      <c r="D921" s="28" t="n"/>
      <c r="E921" s="29" t="n"/>
      <c r="F921" s="30" t="n"/>
      <c r="G921" s="31" t="n"/>
      <c r="H921" s="31" t="n"/>
      <c r="I921" s="31" t="n"/>
      <c r="J921" s="31" t="n"/>
      <c r="K921" s="31" t="n"/>
      <c r="L921" s="31" t="n"/>
      <c r="M921" s="31" t="n"/>
      <c r="N921" s="31" t="n"/>
      <c r="O921" s="31" t="n"/>
      <c r="P921" s="31" t="n"/>
      <c r="Q921" s="31" t="n"/>
      <c r="R921" s="31" t="n"/>
      <c r="S921" s="32">
        <f>IF($F921="","",IF(IFERROR(VLOOKUP($F921,'维度字典'!$M$2:$N$50,2,0),"求和")="手工录入","",IF(IFERROR(VLOOKUP($F921,'维度字典'!$M$2:$N$50,2,0),"求和")="最新值",IFERROR(LOOKUP(9.99E+307,G921:R921),""),SUM(G921:R921))))</f>
        <v/>
      </c>
      <c r="T921" s="33" t="n"/>
    </row>
    <row r="922">
      <c r="A922" s="26">
        <f>IF($B922="","",ROW()-3)</f>
        <v/>
      </c>
      <c r="B922" s="27" t="n"/>
      <c r="C922" s="27" t="n"/>
      <c r="D922" s="28" t="n"/>
      <c r="E922" s="29" t="n"/>
      <c r="F922" s="30" t="n"/>
      <c r="G922" s="31" t="n"/>
      <c r="H922" s="31" t="n"/>
      <c r="I922" s="31" t="n"/>
      <c r="J922" s="31" t="n"/>
      <c r="K922" s="31" t="n"/>
      <c r="L922" s="31" t="n"/>
      <c r="M922" s="31" t="n"/>
      <c r="N922" s="31" t="n"/>
      <c r="O922" s="31" t="n"/>
      <c r="P922" s="31" t="n"/>
      <c r="Q922" s="31" t="n"/>
      <c r="R922" s="31" t="n"/>
      <c r="S922" s="32">
        <f>IF($F922="","",IF(IFERROR(VLOOKUP($F922,'维度字典'!$M$2:$N$50,2,0),"求和")="手工录入","",IF(IFERROR(VLOOKUP($F922,'维度字典'!$M$2:$N$50,2,0),"求和")="最新值",IFERROR(LOOKUP(9.99E+307,G922:R922),""),SUM(G922:R922))))</f>
        <v/>
      </c>
      <c r="T922" s="33" t="n"/>
    </row>
    <row r="923">
      <c r="A923" s="26">
        <f>IF($B923="","",ROW()-3)</f>
        <v/>
      </c>
      <c r="B923" s="27" t="n"/>
      <c r="C923" s="27" t="n"/>
      <c r="D923" s="28" t="n"/>
      <c r="E923" s="29" t="n"/>
      <c r="F923" s="30" t="n"/>
      <c r="G923" s="31" t="n"/>
      <c r="H923" s="31" t="n"/>
      <c r="I923" s="31" t="n"/>
      <c r="J923" s="31" t="n"/>
      <c r="K923" s="31" t="n"/>
      <c r="L923" s="31" t="n"/>
      <c r="M923" s="31" t="n"/>
      <c r="N923" s="31" t="n"/>
      <c r="O923" s="31" t="n"/>
      <c r="P923" s="31" t="n"/>
      <c r="Q923" s="31" t="n"/>
      <c r="R923" s="31" t="n"/>
      <c r="S923" s="32">
        <f>IF($F923="","",IF(IFERROR(VLOOKUP($F923,'维度字典'!$M$2:$N$50,2,0),"求和")="手工录入","",IF(IFERROR(VLOOKUP($F923,'维度字典'!$M$2:$N$50,2,0),"求和")="最新值",IFERROR(LOOKUP(9.99E+307,G923:R923),""),SUM(G923:R923))))</f>
        <v/>
      </c>
      <c r="T923" s="33" t="n"/>
    </row>
    <row r="924">
      <c r="A924" s="26">
        <f>IF($B924="","",ROW()-3)</f>
        <v/>
      </c>
      <c r="B924" s="27" t="n"/>
      <c r="C924" s="27" t="n"/>
      <c r="D924" s="28" t="n"/>
      <c r="E924" s="29" t="n"/>
      <c r="F924" s="30" t="n"/>
      <c r="G924" s="31" t="n"/>
      <c r="H924" s="31" t="n"/>
      <c r="I924" s="31" t="n"/>
      <c r="J924" s="31" t="n"/>
      <c r="K924" s="31" t="n"/>
      <c r="L924" s="31" t="n"/>
      <c r="M924" s="31" t="n"/>
      <c r="N924" s="31" t="n"/>
      <c r="O924" s="31" t="n"/>
      <c r="P924" s="31" t="n"/>
      <c r="Q924" s="31" t="n"/>
      <c r="R924" s="31" t="n"/>
      <c r="S924" s="32">
        <f>IF($F924="","",IF(IFERROR(VLOOKUP($F924,'维度字典'!$M$2:$N$50,2,0),"求和")="手工录入","",IF(IFERROR(VLOOKUP($F924,'维度字典'!$M$2:$N$50,2,0),"求和")="最新值",IFERROR(LOOKUP(9.99E+307,G924:R924),""),SUM(G924:R924))))</f>
        <v/>
      </c>
      <c r="T924" s="33" t="n"/>
    </row>
    <row r="925">
      <c r="A925" s="26">
        <f>IF($B925="","",ROW()-3)</f>
        <v/>
      </c>
      <c r="B925" s="27" t="n"/>
      <c r="C925" s="27" t="n"/>
      <c r="D925" s="28" t="n"/>
      <c r="E925" s="29" t="n"/>
      <c r="F925" s="30" t="n"/>
      <c r="G925" s="31" t="n"/>
      <c r="H925" s="31" t="n"/>
      <c r="I925" s="31" t="n"/>
      <c r="J925" s="31" t="n"/>
      <c r="K925" s="31" t="n"/>
      <c r="L925" s="31" t="n"/>
      <c r="M925" s="31" t="n"/>
      <c r="N925" s="31" t="n"/>
      <c r="O925" s="31" t="n"/>
      <c r="P925" s="31" t="n"/>
      <c r="Q925" s="31" t="n"/>
      <c r="R925" s="31" t="n"/>
      <c r="S925" s="32">
        <f>IF($F925="","",IF(IFERROR(VLOOKUP($F925,'维度字典'!$M$2:$N$50,2,0),"求和")="手工录入","",IF(IFERROR(VLOOKUP($F925,'维度字典'!$M$2:$N$50,2,0),"求和")="最新值",IFERROR(LOOKUP(9.99E+307,G925:R925),""),SUM(G925:R925))))</f>
        <v/>
      </c>
      <c r="T925" s="33" t="n"/>
    </row>
    <row r="926">
      <c r="A926" s="26">
        <f>IF($B926="","",ROW()-3)</f>
        <v/>
      </c>
      <c r="B926" s="27" t="n"/>
      <c r="C926" s="27" t="n"/>
      <c r="D926" s="28" t="n"/>
      <c r="E926" s="29" t="n"/>
      <c r="F926" s="30" t="n"/>
      <c r="G926" s="31" t="n"/>
      <c r="H926" s="31" t="n"/>
      <c r="I926" s="31" t="n"/>
      <c r="J926" s="31" t="n"/>
      <c r="K926" s="31" t="n"/>
      <c r="L926" s="31" t="n"/>
      <c r="M926" s="31" t="n"/>
      <c r="N926" s="31" t="n"/>
      <c r="O926" s="31" t="n"/>
      <c r="P926" s="31" t="n"/>
      <c r="Q926" s="31" t="n"/>
      <c r="R926" s="31" t="n"/>
      <c r="S926" s="32">
        <f>IF($F926="","",IF(IFERROR(VLOOKUP($F926,'维度字典'!$M$2:$N$50,2,0),"求和")="手工录入","",IF(IFERROR(VLOOKUP($F926,'维度字典'!$M$2:$N$50,2,0),"求和")="最新值",IFERROR(LOOKUP(9.99E+307,G926:R926),""),SUM(G926:R926))))</f>
        <v/>
      </c>
      <c r="T926" s="33" t="n"/>
    </row>
    <row r="927">
      <c r="A927" s="26">
        <f>IF($B927="","",ROW()-3)</f>
        <v/>
      </c>
      <c r="B927" s="27" t="n"/>
      <c r="C927" s="27" t="n"/>
      <c r="D927" s="28" t="n"/>
      <c r="E927" s="29" t="n"/>
      <c r="F927" s="30" t="n"/>
      <c r="G927" s="31" t="n"/>
      <c r="H927" s="31" t="n"/>
      <c r="I927" s="31" t="n"/>
      <c r="J927" s="31" t="n"/>
      <c r="K927" s="31" t="n"/>
      <c r="L927" s="31" t="n"/>
      <c r="M927" s="31" t="n"/>
      <c r="N927" s="31" t="n"/>
      <c r="O927" s="31" t="n"/>
      <c r="P927" s="31" t="n"/>
      <c r="Q927" s="31" t="n"/>
      <c r="R927" s="31" t="n"/>
      <c r="S927" s="32">
        <f>IF($F927="","",IF(IFERROR(VLOOKUP($F927,'维度字典'!$M$2:$N$50,2,0),"求和")="手工录入","",IF(IFERROR(VLOOKUP($F927,'维度字典'!$M$2:$N$50,2,0),"求和")="最新值",IFERROR(LOOKUP(9.99E+307,G927:R927),""),SUM(G927:R927))))</f>
        <v/>
      </c>
      <c r="T927" s="33" t="n"/>
    </row>
    <row r="928">
      <c r="A928" s="26">
        <f>IF($B928="","",ROW()-3)</f>
        <v/>
      </c>
      <c r="B928" s="27" t="n"/>
      <c r="C928" s="27" t="n"/>
      <c r="D928" s="28" t="n"/>
      <c r="E928" s="29" t="n"/>
      <c r="F928" s="30" t="n"/>
      <c r="G928" s="31" t="n"/>
      <c r="H928" s="31" t="n"/>
      <c r="I928" s="31" t="n"/>
      <c r="J928" s="31" t="n"/>
      <c r="K928" s="31" t="n"/>
      <c r="L928" s="31" t="n"/>
      <c r="M928" s="31" t="n"/>
      <c r="N928" s="31" t="n"/>
      <c r="O928" s="31" t="n"/>
      <c r="P928" s="31" t="n"/>
      <c r="Q928" s="31" t="n"/>
      <c r="R928" s="31" t="n"/>
      <c r="S928" s="32">
        <f>IF($F928="","",IF(IFERROR(VLOOKUP($F928,'维度字典'!$M$2:$N$50,2,0),"求和")="手工录入","",IF(IFERROR(VLOOKUP($F928,'维度字典'!$M$2:$N$50,2,0),"求和")="最新值",IFERROR(LOOKUP(9.99E+307,G928:R928),""),SUM(G928:R928))))</f>
        <v/>
      </c>
      <c r="T928" s="33" t="n"/>
    </row>
    <row r="929">
      <c r="A929" s="26">
        <f>IF($B929="","",ROW()-3)</f>
        <v/>
      </c>
      <c r="B929" s="27" t="n"/>
      <c r="C929" s="27" t="n"/>
      <c r="D929" s="28" t="n"/>
      <c r="E929" s="29" t="n"/>
      <c r="F929" s="30" t="n"/>
      <c r="G929" s="31" t="n"/>
      <c r="H929" s="31" t="n"/>
      <c r="I929" s="31" t="n"/>
      <c r="J929" s="31" t="n"/>
      <c r="K929" s="31" t="n"/>
      <c r="L929" s="31" t="n"/>
      <c r="M929" s="31" t="n"/>
      <c r="N929" s="31" t="n"/>
      <c r="O929" s="31" t="n"/>
      <c r="P929" s="31" t="n"/>
      <c r="Q929" s="31" t="n"/>
      <c r="R929" s="31" t="n"/>
      <c r="S929" s="32">
        <f>IF($F929="","",IF(IFERROR(VLOOKUP($F929,'维度字典'!$M$2:$N$50,2,0),"求和")="手工录入","",IF(IFERROR(VLOOKUP($F929,'维度字典'!$M$2:$N$50,2,0),"求和")="最新值",IFERROR(LOOKUP(9.99E+307,G929:R929),""),SUM(G929:R929))))</f>
        <v/>
      </c>
      <c r="T929" s="33" t="n"/>
    </row>
    <row r="930">
      <c r="A930" s="26">
        <f>IF($B930="","",ROW()-3)</f>
        <v/>
      </c>
      <c r="B930" s="27" t="n"/>
      <c r="C930" s="27" t="n"/>
      <c r="D930" s="28" t="n"/>
      <c r="E930" s="29" t="n"/>
      <c r="F930" s="30" t="n"/>
      <c r="G930" s="31" t="n"/>
      <c r="H930" s="31" t="n"/>
      <c r="I930" s="31" t="n"/>
      <c r="J930" s="31" t="n"/>
      <c r="K930" s="31" t="n"/>
      <c r="L930" s="31" t="n"/>
      <c r="M930" s="31" t="n"/>
      <c r="N930" s="31" t="n"/>
      <c r="O930" s="31" t="n"/>
      <c r="P930" s="31" t="n"/>
      <c r="Q930" s="31" t="n"/>
      <c r="R930" s="31" t="n"/>
      <c r="S930" s="32">
        <f>IF($F930="","",IF(IFERROR(VLOOKUP($F930,'维度字典'!$M$2:$N$50,2,0),"求和")="手工录入","",IF(IFERROR(VLOOKUP($F930,'维度字典'!$M$2:$N$50,2,0),"求和")="最新值",IFERROR(LOOKUP(9.99E+307,G930:R930),""),SUM(G930:R930))))</f>
        <v/>
      </c>
      <c r="T930" s="33" t="n"/>
    </row>
    <row r="931">
      <c r="A931" s="26">
        <f>IF($B931="","",ROW()-3)</f>
        <v/>
      </c>
      <c r="B931" s="27" t="n"/>
      <c r="C931" s="27" t="n"/>
      <c r="D931" s="28" t="n"/>
      <c r="E931" s="29" t="n"/>
      <c r="F931" s="30" t="n"/>
      <c r="G931" s="31" t="n"/>
      <c r="H931" s="31" t="n"/>
      <c r="I931" s="31" t="n"/>
      <c r="J931" s="31" t="n"/>
      <c r="K931" s="31" t="n"/>
      <c r="L931" s="31" t="n"/>
      <c r="M931" s="31" t="n"/>
      <c r="N931" s="31" t="n"/>
      <c r="O931" s="31" t="n"/>
      <c r="P931" s="31" t="n"/>
      <c r="Q931" s="31" t="n"/>
      <c r="R931" s="31" t="n"/>
      <c r="S931" s="32">
        <f>IF($F931="","",IF(IFERROR(VLOOKUP($F931,'维度字典'!$M$2:$N$50,2,0),"求和")="手工录入","",IF(IFERROR(VLOOKUP($F931,'维度字典'!$M$2:$N$50,2,0),"求和")="最新值",IFERROR(LOOKUP(9.99E+307,G931:R931),""),SUM(G931:R931))))</f>
        <v/>
      </c>
      <c r="T931" s="33" t="n"/>
    </row>
    <row r="932">
      <c r="A932" s="26">
        <f>IF($B932="","",ROW()-3)</f>
        <v/>
      </c>
      <c r="B932" s="27" t="n"/>
      <c r="C932" s="27" t="n"/>
      <c r="D932" s="28" t="n"/>
      <c r="E932" s="29" t="n"/>
      <c r="F932" s="30" t="n"/>
      <c r="G932" s="31" t="n"/>
      <c r="H932" s="31" t="n"/>
      <c r="I932" s="31" t="n"/>
      <c r="J932" s="31" t="n"/>
      <c r="K932" s="31" t="n"/>
      <c r="L932" s="31" t="n"/>
      <c r="M932" s="31" t="n"/>
      <c r="N932" s="31" t="n"/>
      <c r="O932" s="31" t="n"/>
      <c r="P932" s="31" t="n"/>
      <c r="Q932" s="31" t="n"/>
      <c r="R932" s="31" t="n"/>
      <c r="S932" s="32">
        <f>IF($F932="","",IF(IFERROR(VLOOKUP($F932,'维度字典'!$M$2:$N$50,2,0),"求和")="手工录入","",IF(IFERROR(VLOOKUP($F932,'维度字典'!$M$2:$N$50,2,0),"求和")="最新值",IFERROR(LOOKUP(9.99E+307,G932:R932),""),SUM(G932:R932))))</f>
        <v/>
      </c>
      <c r="T932" s="33" t="n"/>
    </row>
    <row r="933">
      <c r="A933" s="26">
        <f>IF($B933="","",ROW()-3)</f>
        <v/>
      </c>
      <c r="B933" s="27" t="n"/>
      <c r="C933" s="27" t="n"/>
      <c r="D933" s="28" t="n"/>
      <c r="E933" s="29" t="n"/>
      <c r="F933" s="30" t="n"/>
      <c r="G933" s="31" t="n"/>
      <c r="H933" s="31" t="n"/>
      <c r="I933" s="31" t="n"/>
      <c r="J933" s="31" t="n"/>
      <c r="K933" s="31" t="n"/>
      <c r="L933" s="31" t="n"/>
      <c r="M933" s="31" t="n"/>
      <c r="N933" s="31" t="n"/>
      <c r="O933" s="31" t="n"/>
      <c r="P933" s="31" t="n"/>
      <c r="Q933" s="31" t="n"/>
      <c r="R933" s="31" t="n"/>
      <c r="S933" s="32">
        <f>IF($F933="","",IF(IFERROR(VLOOKUP($F933,'维度字典'!$M$2:$N$50,2,0),"求和")="手工录入","",IF(IFERROR(VLOOKUP($F933,'维度字典'!$M$2:$N$50,2,0),"求和")="最新值",IFERROR(LOOKUP(9.99E+307,G933:R933),""),SUM(G933:R933))))</f>
        <v/>
      </c>
      <c r="T933" s="33" t="n"/>
    </row>
    <row r="934">
      <c r="A934" s="26">
        <f>IF($B934="","",ROW()-3)</f>
        <v/>
      </c>
      <c r="B934" s="27" t="n"/>
      <c r="C934" s="27" t="n"/>
      <c r="D934" s="28" t="n"/>
      <c r="E934" s="29" t="n"/>
      <c r="F934" s="30" t="n"/>
      <c r="G934" s="31" t="n"/>
      <c r="H934" s="31" t="n"/>
      <c r="I934" s="31" t="n"/>
      <c r="J934" s="31" t="n"/>
      <c r="K934" s="31" t="n"/>
      <c r="L934" s="31" t="n"/>
      <c r="M934" s="31" t="n"/>
      <c r="N934" s="31" t="n"/>
      <c r="O934" s="31" t="n"/>
      <c r="P934" s="31" t="n"/>
      <c r="Q934" s="31" t="n"/>
      <c r="R934" s="31" t="n"/>
      <c r="S934" s="32">
        <f>IF($F934="","",IF(IFERROR(VLOOKUP($F934,'维度字典'!$M$2:$N$50,2,0),"求和")="手工录入","",IF(IFERROR(VLOOKUP($F934,'维度字典'!$M$2:$N$50,2,0),"求和")="最新值",IFERROR(LOOKUP(9.99E+307,G934:R934),""),SUM(G934:R934))))</f>
        <v/>
      </c>
      <c r="T934" s="33" t="n"/>
    </row>
    <row r="935">
      <c r="A935" s="26">
        <f>IF($B935="","",ROW()-3)</f>
        <v/>
      </c>
      <c r="B935" s="27" t="n"/>
      <c r="C935" s="27" t="n"/>
      <c r="D935" s="28" t="n"/>
      <c r="E935" s="29" t="n"/>
      <c r="F935" s="30" t="n"/>
      <c r="G935" s="31" t="n"/>
      <c r="H935" s="31" t="n"/>
      <c r="I935" s="31" t="n"/>
      <c r="J935" s="31" t="n"/>
      <c r="K935" s="31" t="n"/>
      <c r="L935" s="31" t="n"/>
      <c r="M935" s="31" t="n"/>
      <c r="N935" s="31" t="n"/>
      <c r="O935" s="31" t="n"/>
      <c r="P935" s="31" t="n"/>
      <c r="Q935" s="31" t="n"/>
      <c r="R935" s="31" t="n"/>
      <c r="S935" s="32">
        <f>IF($F935="","",IF(IFERROR(VLOOKUP($F935,'维度字典'!$M$2:$N$50,2,0),"求和")="手工录入","",IF(IFERROR(VLOOKUP($F935,'维度字典'!$M$2:$N$50,2,0),"求和")="最新值",IFERROR(LOOKUP(9.99E+307,G935:R935),""),SUM(G935:R935))))</f>
        <v/>
      </c>
      <c r="T935" s="33" t="n"/>
    </row>
    <row r="936">
      <c r="A936" s="26">
        <f>IF($B936="","",ROW()-3)</f>
        <v/>
      </c>
      <c r="B936" s="27" t="n"/>
      <c r="C936" s="27" t="n"/>
      <c r="D936" s="28" t="n"/>
      <c r="E936" s="29" t="n"/>
      <c r="F936" s="30" t="n"/>
      <c r="G936" s="31" t="n"/>
      <c r="H936" s="31" t="n"/>
      <c r="I936" s="31" t="n"/>
      <c r="J936" s="31" t="n"/>
      <c r="K936" s="31" t="n"/>
      <c r="L936" s="31" t="n"/>
      <c r="M936" s="31" t="n"/>
      <c r="N936" s="31" t="n"/>
      <c r="O936" s="31" t="n"/>
      <c r="P936" s="31" t="n"/>
      <c r="Q936" s="31" t="n"/>
      <c r="R936" s="31" t="n"/>
      <c r="S936" s="32">
        <f>IF($F936="","",IF(IFERROR(VLOOKUP($F936,'维度字典'!$M$2:$N$50,2,0),"求和")="手工录入","",IF(IFERROR(VLOOKUP($F936,'维度字典'!$M$2:$N$50,2,0),"求和")="最新值",IFERROR(LOOKUP(9.99E+307,G936:R936),""),SUM(G936:R936))))</f>
        <v/>
      </c>
      <c r="T936" s="33" t="n"/>
    </row>
    <row r="937">
      <c r="A937" s="26">
        <f>IF($B937="","",ROW()-3)</f>
        <v/>
      </c>
      <c r="B937" s="27" t="n"/>
      <c r="C937" s="27" t="n"/>
      <c r="D937" s="28" t="n"/>
      <c r="E937" s="29" t="n"/>
      <c r="F937" s="30" t="n"/>
      <c r="G937" s="31" t="n"/>
      <c r="H937" s="31" t="n"/>
      <c r="I937" s="31" t="n"/>
      <c r="J937" s="31" t="n"/>
      <c r="K937" s="31" t="n"/>
      <c r="L937" s="31" t="n"/>
      <c r="M937" s="31" t="n"/>
      <c r="N937" s="31" t="n"/>
      <c r="O937" s="31" t="n"/>
      <c r="P937" s="31" t="n"/>
      <c r="Q937" s="31" t="n"/>
      <c r="R937" s="31" t="n"/>
      <c r="S937" s="32">
        <f>IF($F937="","",IF(IFERROR(VLOOKUP($F937,'维度字典'!$M$2:$N$50,2,0),"求和")="手工录入","",IF(IFERROR(VLOOKUP($F937,'维度字典'!$M$2:$N$50,2,0),"求和")="最新值",IFERROR(LOOKUP(9.99E+307,G937:R937),""),SUM(G937:R937))))</f>
        <v/>
      </c>
      <c r="T937" s="33" t="n"/>
    </row>
    <row r="938">
      <c r="A938" s="26">
        <f>IF($B938="","",ROW()-3)</f>
        <v/>
      </c>
      <c r="B938" s="27" t="n"/>
      <c r="C938" s="27" t="n"/>
      <c r="D938" s="28" t="n"/>
      <c r="E938" s="29" t="n"/>
      <c r="F938" s="30" t="n"/>
      <c r="G938" s="31" t="n"/>
      <c r="H938" s="31" t="n"/>
      <c r="I938" s="31" t="n"/>
      <c r="J938" s="31" t="n"/>
      <c r="K938" s="31" t="n"/>
      <c r="L938" s="31" t="n"/>
      <c r="M938" s="31" t="n"/>
      <c r="N938" s="31" t="n"/>
      <c r="O938" s="31" t="n"/>
      <c r="P938" s="31" t="n"/>
      <c r="Q938" s="31" t="n"/>
      <c r="R938" s="31" t="n"/>
      <c r="S938" s="32">
        <f>IF($F938="","",IF(IFERROR(VLOOKUP($F938,'维度字典'!$M$2:$N$50,2,0),"求和")="手工录入","",IF(IFERROR(VLOOKUP($F938,'维度字典'!$M$2:$N$50,2,0),"求和")="最新值",IFERROR(LOOKUP(9.99E+307,G938:R938),""),SUM(G938:R938))))</f>
        <v/>
      </c>
      <c r="T938" s="33" t="n"/>
    </row>
    <row r="939">
      <c r="A939" s="26">
        <f>IF($B939="","",ROW()-3)</f>
        <v/>
      </c>
      <c r="B939" s="27" t="n"/>
      <c r="C939" s="27" t="n"/>
      <c r="D939" s="28" t="n"/>
      <c r="E939" s="29" t="n"/>
      <c r="F939" s="30" t="n"/>
      <c r="G939" s="31" t="n"/>
      <c r="H939" s="31" t="n"/>
      <c r="I939" s="31" t="n"/>
      <c r="J939" s="31" t="n"/>
      <c r="K939" s="31" t="n"/>
      <c r="L939" s="31" t="n"/>
      <c r="M939" s="31" t="n"/>
      <c r="N939" s="31" t="n"/>
      <c r="O939" s="31" t="n"/>
      <c r="P939" s="31" t="n"/>
      <c r="Q939" s="31" t="n"/>
      <c r="R939" s="31" t="n"/>
      <c r="S939" s="32">
        <f>IF($F939="","",IF(IFERROR(VLOOKUP($F939,'维度字典'!$M$2:$N$50,2,0),"求和")="手工录入","",IF(IFERROR(VLOOKUP($F939,'维度字典'!$M$2:$N$50,2,0),"求和")="最新值",IFERROR(LOOKUP(9.99E+307,G939:R939),""),SUM(G939:R939))))</f>
        <v/>
      </c>
      <c r="T939" s="33" t="n"/>
    </row>
    <row r="940">
      <c r="A940" s="26">
        <f>IF($B940="","",ROW()-3)</f>
        <v/>
      </c>
      <c r="B940" s="27" t="n"/>
      <c r="C940" s="27" t="n"/>
      <c r="D940" s="28" t="n"/>
      <c r="E940" s="29" t="n"/>
      <c r="F940" s="30" t="n"/>
      <c r="G940" s="31" t="n"/>
      <c r="H940" s="31" t="n"/>
      <c r="I940" s="31" t="n"/>
      <c r="J940" s="31" t="n"/>
      <c r="K940" s="31" t="n"/>
      <c r="L940" s="31" t="n"/>
      <c r="M940" s="31" t="n"/>
      <c r="N940" s="31" t="n"/>
      <c r="O940" s="31" t="n"/>
      <c r="P940" s="31" t="n"/>
      <c r="Q940" s="31" t="n"/>
      <c r="R940" s="31" t="n"/>
      <c r="S940" s="32">
        <f>IF($F940="","",IF(IFERROR(VLOOKUP($F940,'维度字典'!$M$2:$N$50,2,0),"求和")="手工录入","",IF(IFERROR(VLOOKUP($F940,'维度字典'!$M$2:$N$50,2,0),"求和")="最新值",IFERROR(LOOKUP(9.99E+307,G940:R940),""),SUM(G940:R940))))</f>
        <v/>
      </c>
      <c r="T940" s="33" t="n"/>
    </row>
    <row r="941">
      <c r="A941" s="26">
        <f>IF($B941="","",ROW()-3)</f>
        <v/>
      </c>
      <c r="B941" s="27" t="n"/>
      <c r="C941" s="27" t="n"/>
      <c r="D941" s="28" t="n"/>
      <c r="E941" s="29" t="n"/>
      <c r="F941" s="30" t="n"/>
      <c r="G941" s="31" t="n"/>
      <c r="H941" s="31" t="n"/>
      <c r="I941" s="31" t="n"/>
      <c r="J941" s="31" t="n"/>
      <c r="K941" s="31" t="n"/>
      <c r="L941" s="31" t="n"/>
      <c r="M941" s="31" t="n"/>
      <c r="N941" s="31" t="n"/>
      <c r="O941" s="31" t="n"/>
      <c r="P941" s="31" t="n"/>
      <c r="Q941" s="31" t="n"/>
      <c r="R941" s="31" t="n"/>
      <c r="S941" s="32">
        <f>IF($F941="","",IF(IFERROR(VLOOKUP($F941,'维度字典'!$M$2:$N$50,2,0),"求和")="手工录入","",IF(IFERROR(VLOOKUP($F941,'维度字典'!$M$2:$N$50,2,0),"求和")="最新值",IFERROR(LOOKUP(9.99E+307,G941:R941),""),SUM(G941:R941))))</f>
        <v/>
      </c>
      <c r="T941" s="33" t="n"/>
    </row>
    <row r="942">
      <c r="A942" s="26">
        <f>IF($B942="","",ROW()-3)</f>
        <v/>
      </c>
      <c r="B942" s="27" t="n"/>
      <c r="C942" s="27" t="n"/>
      <c r="D942" s="28" t="n"/>
      <c r="E942" s="29" t="n"/>
      <c r="F942" s="30" t="n"/>
      <c r="G942" s="31" t="n"/>
      <c r="H942" s="31" t="n"/>
      <c r="I942" s="31" t="n"/>
      <c r="J942" s="31" t="n"/>
      <c r="K942" s="31" t="n"/>
      <c r="L942" s="31" t="n"/>
      <c r="M942" s="31" t="n"/>
      <c r="N942" s="31" t="n"/>
      <c r="O942" s="31" t="n"/>
      <c r="P942" s="31" t="n"/>
      <c r="Q942" s="31" t="n"/>
      <c r="R942" s="31" t="n"/>
      <c r="S942" s="32">
        <f>IF($F942="","",IF(IFERROR(VLOOKUP($F942,'维度字典'!$M$2:$N$50,2,0),"求和")="手工录入","",IF(IFERROR(VLOOKUP($F942,'维度字典'!$M$2:$N$50,2,0),"求和")="最新值",IFERROR(LOOKUP(9.99E+307,G942:R942),""),SUM(G942:R942))))</f>
        <v/>
      </c>
      <c r="T942" s="33" t="n"/>
    </row>
    <row r="943">
      <c r="A943" s="26">
        <f>IF($B943="","",ROW()-3)</f>
        <v/>
      </c>
      <c r="B943" s="27" t="n"/>
      <c r="C943" s="27" t="n"/>
      <c r="D943" s="28" t="n"/>
      <c r="E943" s="29" t="n"/>
      <c r="F943" s="30" t="n"/>
      <c r="G943" s="31" t="n"/>
      <c r="H943" s="31" t="n"/>
      <c r="I943" s="31" t="n"/>
      <c r="J943" s="31" t="n"/>
      <c r="K943" s="31" t="n"/>
      <c r="L943" s="31" t="n"/>
      <c r="M943" s="31" t="n"/>
      <c r="N943" s="31" t="n"/>
      <c r="O943" s="31" t="n"/>
      <c r="P943" s="31" t="n"/>
      <c r="Q943" s="31" t="n"/>
      <c r="R943" s="31" t="n"/>
      <c r="S943" s="32">
        <f>IF($F943="","",IF(IFERROR(VLOOKUP($F943,'维度字典'!$M$2:$N$50,2,0),"求和")="手工录入","",IF(IFERROR(VLOOKUP($F943,'维度字典'!$M$2:$N$50,2,0),"求和")="最新值",IFERROR(LOOKUP(9.99E+307,G943:R943),""),SUM(G943:R943))))</f>
        <v/>
      </c>
      <c r="T943" s="33" t="n"/>
    </row>
    <row r="944">
      <c r="A944" s="26">
        <f>IF($B944="","",ROW()-3)</f>
        <v/>
      </c>
      <c r="B944" s="27" t="n"/>
      <c r="C944" s="27" t="n"/>
      <c r="D944" s="28" t="n"/>
      <c r="E944" s="29" t="n"/>
      <c r="F944" s="30" t="n"/>
      <c r="G944" s="31" t="n"/>
      <c r="H944" s="31" t="n"/>
      <c r="I944" s="31" t="n"/>
      <c r="J944" s="31" t="n"/>
      <c r="K944" s="31" t="n"/>
      <c r="L944" s="31" t="n"/>
      <c r="M944" s="31" t="n"/>
      <c r="N944" s="31" t="n"/>
      <c r="O944" s="31" t="n"/>
      <c r="P944" s="31" t="n"/>
      <c r="Q944" s="31" t="n"/>
      <c r="R944" s="31" t="n"/>
      <c r="S944" s="32">
        <f>IF($F944="","",IF(IFERROR(VLOOKUP($F944,'维度字典'!$M$2:$N$50,2,0),"求和")="手工录入","",IF(IFERROR(VLOOKUP($F944,'维度字典'!$M$2:$N$50,2,0),"求和")="最新值",IFERROR(LOOKUP(9.99E+307,G944:R944),""),SUM(G944:R944))))</f>
        <v/>
      </c>
      <c r="T944" s="33" t="n"/>
    </row>
    <row r="945">
      <c r="A945" s="26">
        <f>IF($B945="","",ROW()-3)</f>
        <v/>
      </c>
      <c r="B945" s="27" t="n"/>
      <c r="C945" s="27" t="n"/>
      <c r="D945" s="28" t="n"/>
      <c r="E945" s="29" t="n"/>
      <c r="F945" s="30" t="n"/>
      <c r="G945" s="31" t="n"/>
      <c r="H945" s="31" t="n"/>
      <c r="I945" s="31" t="n"/>
      <c r="J945" s="31" t="n"/>
      <c r="K945" s="31" t="n"/>
      <c r="L945" s="31" t="n"/>
      <c r="M945" s="31" t="n"/>
      <c r="N945" s="31" t="n"/>
      <c r="O945" s="31" t="n"/>
      <c r="P945" s="31" t="n"/>
      <c r="Q945" s="31" t="n"/>
      <c r="R945" s="31" t="n"/>
      <c r="S945" s="32">
        <f>IF($F945="","",IF(IFERROR(VLOOKUP($F945,'维度字典'!$M$2:$N$50,2,0),"求和")="手工录入","",IF(IFERROR(VLOOKUP($F945,'维度字典'!$M$2:$N$50,2,0),"求和")="最新值",IFERROR(LOOKUP(9.99E+307,G945:R945),""),SUM(G945:R945))))</f>
        <v/>
      </c>
      <c r="T945" s="33" t="n"/>
    </row>
    <row r="946">
      <c r="A946" s="26">
        <f>IF($B946="","",ROW()-3)</f>
        <v/>
      </c>
      <c r="B946" s="27" t="n"/>
      <c r="C946" s="27" t="n"/>
      <c r="D946" s="28" t="n"/>
      <c r="E946" s="29" t="n"/>
      <c r="F946" s="30" t="n"/>
      <c r="G946" s="31" t="n"/>
      <c r="H946" s="31" t="n"/>
      <c r="I946" s="31" t="n"/>
      <c r="J946" s="31" t="n"/>
      <c r="K946" s="31" t="n"/>
      <c r="L946" s="31" t="n"/>
      <c r="M946" s="31" t="n"/>
      <c r="N946" s="31" t="n"/>
      <c r="O946" s="31" t="n"/>
      <c r="P946" s="31" t="n"/>
      <c r="Q946" s="31" t="n"/>
      <c r="R946" s="31" t="n"/>
      <c r="S946" s="32">
        <f>IF($F946="","",IF(IFERROR(VLOOKUP($F946,'维度字典'!$M$2:$N$50,2,0),"求和")="手工录入","",IF(IFERROR(VLOOKUP($F946,'维度字典'!$M$2:$N$50,2,0),"求和")="最新值",IFERROR(LOOKUP(9.99E+307,G946:R946),""),SUM(G946:R946))))</f>
        <v/>
      </c>
      <c r="T946" s="33" t="n"/>
    </row>
    <row r="947">
      <c r="A947" s="26">
        <f>IF($B947="","",ROW()-3)</f>
        <v/>
      </c>
      <c r="B947" s="27" t="n"/>
      <c r="C947" s="27" t="n"/>
      <c r="D947" s="28" t="n"/>
      <c r="E947" s="29" t="n"/>
      <c r="F947" s="30" t="n"/>
      <c r="G947" s="31" t="n"/>
      <c r="H947" s="31" t="n"/>
      <c r="I947" s="31" t="n"/>
      <c r="J947" s="31" t="n"/>
      <c r="K947" s="31" t="n"/>
      <c r="L947" s="31" t="n"/>
      <c r="M947" s="31" t="n"/>
      <c r="N947" s="31" t="n"/>
      <c r="O947" s="31" t="n"/>
      <c r="P947" s="31" t="n"/>
      <c r="Q947" s="31" t="n"/>
      <c r="R947" s="31" t="n"/>
      <c r="S947" s="32">
        <f>IF($F947="","",IF(IFERROR(VLOOKUP($F947,'维度字典'!$M$2:$N$50,2,0),"求和")="手工录入","",IF(IFERROR(VLOOKUP($F947,'维度字典'!$M$2:$N$50,2,0),"求和")="最新值",IFERROR(LOOKUP(9.99E+307,G947:R947),""),SUM(G947:R947))))</f>
        <v/>
      </c>
      <c r="T947" s="33" t="n"/>
    </row>
    <row r="948">
      <c r="A948" s="26">
        <f>IF($B948="","",ROW()-3)</f>
        <v/>
      </c>
      <c r="B948" s="27" t="n"/>
      <c r="C948" s="27" t="n"/>
      <c r="D948" s="28" t="n"/>
      <c r="E948" s="29" t="n"/>
      <c r="F948" s="30" t="n"/>
      <c r="G948" s="31" t="n"/>
      <c r="H948" s="31" t="n"/>
      <c r="I948" s="31" t="n"/>
      <c r="J948" s="31" t="n"/>
      <c r="K948" s="31" t="n"/>
      <c r="L948" s="31" t="n"/>
      <c r="M948" s="31" t="n"/>
      <c r="N948" s="31" t="n"/>
      <c r="O948" s="31" t="n"/>
      <c r="P948" s="31" t="n"/>
      <c r="Q948" s="31" t="n"/>
      <c r="R948" s="31" t="n"/>
      <c r="S948" s="32">
        <f>IF($F948="","",IF(IFERROR(VLOOKUP($F948,'维度字典'!$M$2:$N$50,2,0),"求和")="手工录入","",IF(IFERROR(VLOOKUP($F948,'维度字典'!$M$2:$N$50,2,0),"求和")="最新值",IFERROR(LOOKUP(9.99E+307,G948:R948),""),SUM(G948:R948))))</f>
        <v/>
      </c>
      <c r="T948" s="33" t="n"/>
    </row>
    <row r="949">
      <c r="A949" s="26">
        <f>IF($B949="","",ROW()-3)</f>
        <v/>
      </c>
      <c r="B949" s="27" t="n"/>
      <c r="C949" s="27" t="n"/>
      <c r="D949" s="28" t="n"/>
      <c r="E949" s="29" t="n"/>
      <c r="F949" s="30" t="n"/>
      <c r="G949" s="31" t="n"/>
      <c r="H949" s="31" t="n"/>
      <c r="I949" s="31" t="n"/>
      <c r="J949" s="31" t="n"/>
      <c r="K949" s="31" t="n"/>
      <c r="L949" s="31" t="n"/>
      <c r="M949" s="31" t="n"/>
      <c r="N949" s="31" t="n"/>
      <c r="O949" s="31" t="n"/>
      <c r="P949" s="31" t="n"/>
      <c r="Q949" s="31" t="n"/>
      <c r="R949" s="31" t="n"/>
      <c r="S949" s="32">
        <f>IF($F949="","",IF(IFERROR(VLOOKUP($F949,'维度字典'!$M$2:$N$50,2,0),"求和")="手工录入","",IF(IFERROR(VLOOKUP($F949,'维度字典'!$M$2:$N$50,2,0),"求和")="最新值",IFERROR(LOOKUP(9.99E+307,G949:R949),""),SUM(G949:R949))))</f>
        <v/>
      </c>
      <c r="T949" s="33" t="n"/>
    </row>
    <row r="950">
      <c r="A950" s="26">
        <f>IF($B950="","",ROW()-3)</f>
        <v/>
      </c>
      <c r="B950" s="27" t="n"/>
      <c r="C950" s="27" t="n"/>
      <c r="D950" s="28" t="n"/>
      <c r="E950" s="29" t="n"/>
      <c r="F950" s="30" t="n"/>
      <c r="G950" s="31" t="n"/>
      <c r="H950" s="31" t="n"/>
      <c r="I950" s="31" t="n"/>
      <c r="J950" s="31" t="n"/>
      <c r="K950" s="31" t="n"/>
      <c r="L950" s="31" t="n"/>
      <c r="M950" s="31" t="n"/>
      <c r="N950" s="31" t="n"/>
      <c r="O950" s="31" t="n"/>
      <c r="P950" s="31" t="n"/>
      <c r="Q950" s="31" t="n"/>
      <c r="R950" s="31" t="n"/>
      <c r="S950" s="32">
        <f>IF($F950="","",IF(IFERROR(VLOOKUP($F950,'维度字典'!$M$2:$N$50,2,0),"求和")="手工录入","",IF(IFERROR(VLOOKUP($F950,'维度字典'!$M$2:$N$50,2,0),"求和")="最新值",IFERROR(LOOKUP(9.99E+307,G950:R950),""),SUM(G950:R950))))</f>
        <v/>
      </c>
      <c r="T950" s="33" t="n"/>
    </row>
    <row r="951">
      <c r="A951" s="26">
        <f>IF($B951="","",ROW()-3)</f>
        <v/>
      </c>
      <c r="B951" s="27" t="n"/>
      <c r="C951" s="27" t="n"/>
      <c r="D951" s="28" t="n"/>
      <c r="E951" s="29" t="n"/>
      <c r="F951" s="30" t="n"/>
      <c r="G951" s="31" t="n"/>
      <c r="H951" s="31" t="n"/>
      <c r="I951" s="31" t="n"/>
      <c r="J951" s="31" t="n"/>
      <c r="K951" s="31" t="n"/>
      <c r="L951" s="31" t="n"/>
      <c r="M951" s="31" t="n"/>
      <c r="N951" s="31" t="n"/>
      <c r="O951" s="31" t="n"/>
      <c r="P951" s="31" t="n"/>
      <c r="Q951" s="31" t="n"/>
      <c r="R951" s="31" t="n"/>
      <c r="S951" s="32">
        <f>IF($F951="","",IF(IFERROR(VLOOKUP($F951,'维度字典'!$M$2:$N$50,2,0),"求和")="手工录入","",IF(IFERROR(VLOOKUP($F951,'维度字典'!$M$2:$N$50,2,0),"求和")="最新值",IFERROR(LOOKUP(9.99E+307,G951:R951),""),SUM(G951:R951))))</f>
        <v/>
      </c>
      <c r="T951" s="33" t="n"/>
    </row>
    <row r="952">
      <c r="A952" s="26">
        <f>IF($B952="","",ROW()-3)</f>
        <v/>
      </c>
      <c r="B952" s="27" t="n"/>
      <c r="C952" s="27" t="n"/>
      <c r="D952" s="28" t="n"/>
      <c r="E952" s="29" t="n"/>
      <c r="F952" s="30" t="n"/>
      <c r="G952" s="31" t="n"/>
      <c r="H952" s="31" t="n"/>
      <c r="I952" s="31" t="n"/>
      <c r="J952" s="31" t="n"/>
      <c r="K952" s="31" t="n"/>
      <c r="L952" s="31" t="n"/>
      <c r="M952" s="31" t="n"/>
      <c r="N952" s="31" t="n"/>
      <c r="O952" s="31" t="n"/>
      <c r="P952" s="31" t="n"/>
      <c r="Q952" s="31" t="n"/>
      <c r="R952" s="31" t="n"/>
      <c r="S952" s="32">
        <f>IF($F952="","",IF(IFERROR(VLOOKUP($F952,'维度字典'!$M$2:$N$50,2,0),"求和")="手工录入","",IF(IFERROR(VLOOKUP($F952,'维度字典'!$M$2:$N$50,2,0),"求和")="最新值",IFERROR(LOOKUP(9.99E+307,G952:R952),""),SUM(G952:R952))))</f>
        <v/>
      </c>
      <c r="T952" s="33" t="n"/>
    </row>
    <row r="953">
      <c r="A953" s="26">
        <f>IF($B953="","",ROW()-3)</f>
        <v/>
      </c>
      <c r="B953" s="27" t="n"/>
      <c r="C953" s="27" t="n"/>
      <c r="D953" s="28" t="n"/>
      <c r="E953" s="29" t="n"/>
      <c r="F953" s="30" t="n"/>
      <c r="G953" s="31" t="n"/>
      <c r="H953" s="31" t="n"/>
      <c r="I953" s="31" t="n"/>
      <c r="J953" s="31" t="n"/>
      <c r="K953" s="31" t="n"/>
      <c r="L953" s="31" t="n"/>
      <c r="M953" s="31" t="n"/>
      <c r="N953" s="31" t="n"/>
      <c r="O953" s="31" t="n"/>
      <c r="P953" s="31" t="n"/>
      <c r="Q953" s="31" t="n"/>
      <c r="R953" s="31" t="n"/>
      <c r="S953" s="32">
        <f>IF($F953="","",IF(IFERROR(VLOOKUP($F953,'维度字典'!$M$2:$N$50,2,0),"求和")="手工录入","",IF(IFERROR(VLOOKUP($F953,'维度字典'!$M$2:$N$50,2,0),"求和")="最新值",IFERROR(LOOKUP(9.99E+307,G953:R953),""),SUM(G953:R953))))</f>
        <v/>
      </c>
      <c r="T953" s="33" t="n"/>
    </row>
    <row r="954">
      <c r="A954" s="26">
        <f>IF($B954="","",ROW()-3)</f>
        <v/>
      </c>
      <c r="B954" s="27" t="n"/>
      <c r="C954" s="27" t="n"/>
      <c r="D954" s="28" t="n"/>
      <c r="E954" s="29" t="n"/>
      <c r="F954" s="30" t="n"/>
      <c r="G954" s="31" t="n"/>
      <c r="H954" s="31" t="n"/>
      <c r="I954" s="31" t="n"/>
      <c r="J954" s="31" t="n"/>
      <c r="K954" s="31" t="n"/>
      <c r="L954" s="31" t="n"/>
      <c r="M954" s="31" t="n"/>
      <c r="N954" s="31" t="n"/>
      <c r="O954" s="31" t="n"/>
      <c r="P954" s="31" t="n"/>
      <c r="Q954" s="31" t="n"/>
      <c r="R954" s="31" t="n"/>
      <c r="S954" s="32">
        <f>IF($F954="","",IF(IFERROR(VLOOKUP($F954,'维度字典'!$M$2:$N$50,2,0),"求和")="手工录入","",IF(IFERROR(VLOOKUP($F954,'维度字典'!$M$2:$N$50,2,0),"求和")="最新值",IFERROR(LOOKUP(9.99E+307,G954:R954),""),SUM(G954:R954))))</f>
        <v/>
      </c>
      <c r="T954" s="33" t="n"/>
    </row>
    <row r="955">
      <c r="A955" s="26">
        <f>IF($B955="","",ROW()-3)</f>
        <v/>
      </c>
      <c r="B955" s="27" t="n"/>
      <c r="C955" s="27" t="n"/>
      <c r="D955" s="28" t="n"/>
      <c r="E955" s="29" t="n"/>
      <c r="F955" s="30" t="n"/>
      <c r="G955" s="31" t="n"/>
      <c r="H955" s="31" t="n"/>
      <c r="I955" s="31" t="n"/>
      <c r="J955" s="31" t="n"/>
      <c r="K955" s="31" t="n"/>
      <c r="L955" s="31" t="n"/>
      <c r="M955" s="31" t="n"/>
      <c r="N955" s="31" t="n"/>
      <c r="O955" s="31" t="n"/>
      <c r="P955" s="31" t="n"/>
      <c r="Q955" s="31" t="n"/>
      <c r="R955" s="31" t="n"/>
      <c r="S955" s="32">
        <f>IF($F955="","",IF(IFERROR(VLOOKUP($F955,'维度字典'!$M$2:$N$50,2,0),"求和")="手工录入","",IF(IFERROR(VLOOKUP($F955,'维度字典'!$M$2:$N$50,2,0),"求和")="最新值",IFERROR(LOOKUP(9.99E+307,G955:R955),""),SUM(G955:R955))))</f>
        <v/>
      </c>
      <c r="T955" s="33" t="n"/>
    </row>
    <row r="956">
      <c r="A956" s="26">
        <f>IF($B956="","",ROW()-3)</f>
        <v/>
      </c>
      <c r="B956" s="27" t="n"/>
      <c r="C956" s="27" t="n"/>
      <c r="D956" s="28" t="n"/>
      <c r="E956" s="29" t="n"/>
      <c r="F956" s="30" t="n"/>
      <c r="G956" s="31" t="n"/>
      <c r="H956" s="31" t="n"/>
      <c r="I956" s="31" t="n"/>
      <c r="J956" s="31" t="n"/>
      <c r="K956" s="31" t="n"/>
      <c r="L956" s="31" t="n"/>
      <c r="M956" s="31" t="n"/>
      <c r="N956" s="31" t="n"/>
      <c r="O956" s="31" t="n"/>
      <c r="P956" s="31" t="n"/>
      <c r="Q956" s="31" t="n"/>
      <c r="R956" s="31" t="n"/>
      <c r="S956" s="32">
        <f>IF($F956="","",IF(IFERROR(VLOOKUP($F956,'维度字典'!$M$2:$N$50,2,0),"求和")="手工录入","",IF(IFERROR(VLOOKUP($F956,'维度字典'!$M$2:$N$50,2,0),"求和")="最新值",IFERROR(LOOKUP(9.99E+307,G956:R956),""),SUM(G956:R956))))</f>
        <v/>
      </c>
      <c r="T956" s="33" t="n"/>
    </row>
    <row r="957">
      <c r="A957" s="26">
        <f>IF($B957="","",ROW()-3)</f>
        <v/>
      </c>
      <c r="B957" s="27" t="n"/>
      <c r="C957" s="27" t="n"/>
      <c r="D957" s="28" t="n"/>
      <c r="E957" s="29" t="n"/>
      <c r="F957" s="30" t="n"/>
      <c r="G957" s="31" t="n"/>
      <c r="H957" s="31" t="n"/>
      <c r="I957" s="31" t="n"/>
      <c r="J957" s="31" t="n"/>
      <c r="K957" s="31" t="n"/>
      <c r="L957" s="31" t="n"/>
      <c r="M957" s="31" t="n"/>
      <c r="N957" s="31" t="n"/>
      <c r="O957" s="31" t="n"/>
      <c r="P957" s="31" t="n"/>
      <c r="Q957" s="31" t="n"/>
      <c r="R957" s="31" t="n"/>
      <c r="S957" s="32">
        <f>IF($F957="","",IF(IFERROR(VLOOKUP($F957,'维度字典'!$M$2:$N$50,2,0),"求和")="手工录入","",IF(IFERROR(VLOOKUP($F957,'维度字典'!$M$2:$N$50,2,0),"求和")="最新值",IFERROR(LOOKUP(9.99E+307,G957:R957),""),SUM(G957:R957))))</f>
        <v/>
      </c>
      <c r="T957" s="33" t="n"/>
    </row>
    <row r="958">
      <c r="A958" s="26">
        <f>IF($B958="","",ROW()-3)</f>
        <v/>
      </c>
      <c r="B958" s="27" t="n"/>
      <c r="C958" s="27" t="n"/>
      <c r="D958" s="28" t="n"/>
      <c r="E958" s="29" t="n"/>
      <c r="F958" s="30" t="n"/>
      <c r="G958" s="31" t="n"/>
      <c r="H958" s="31" t="n"/>
      <c r="I958" s="31" t="n"/>
      <c r="J958" s="31" t="n"/>
      <c r="K958" s="31" t="n"/>
      <c r="L958" s="31" t="n"/>
      <c r="M958" s="31" t="n"/>
      <c r="N958" s="31" t="n"/>
      <c r="O958" s="31" t="n"/>
      <c r="P958" s="31" t="n"/>
      <c r="Q958" s="31" t="n"/>
      <c r="R958" s="31" t="n"/>
      <c r="S958" s="32">
        <f>IF($F958="","",IF(IFERROR(VLOOKUP($F958,'维度字典'!$M$2:$N$50,2,0),"求和")="手工录入","",IF(IFERROR(VLOOKUP($F958,'维度字典'!$M$2:$N$50,2,0),"求和")="最新值",IFERROR(LOOKUP(9.99E+307,G958:R958),""),SUM(G958:R958))))</f>
        <v/>
      </c>
      <c r="T958" s="33" t="n"/>
    </row>
    <row r="959">
      <c r="A959" s="26">
        <f>IF($B959="","",ROW()-3)</f>
        <v/>
      </c>
      <c r="B959" s="27" t="n"/>
      <c r="C959" s="27" t="n"/>
      <c r="D959" s="28" t="n"/>
      <c r="E959" s="29" t="n"/>
      <c r="F959" s="30" t="n"/>
      <c r="G959" s="31" t="n"/>
      <c r="H959" s="31" t="n"/>
      <c r="I959" s="31" t="n"/>
      <c r="J959" s="31" t="n"/>
      <c r="K959" s="31" t="n"/>
      <c r="L959" s="31" t="n"/>
      <c r="M959" s="31" t="n"/>
      <c r="N959" s="31" t="n"/>
      <c r="O959" s="31" t="n"/>
      <c r="P959" s="31" t="n"/>
      <c r="Q959" s="31" t="n"/>
      <c r="R959" s="31" t="n"/>
      <c r="S959" s="32">
        <f>IF($F959="","",IF(IFERROR(VLOOKUP($F959,'维度字典'!$M$2:$N$50,2,0),"求和")="手工录入","",IF(IFERROR(VLOOKUP($F959,'维度字典'!$M$2:$N$50,2,0),"求和")="最新值",IFERROR(LOOKUP(9.99E+307,G959:R959),""),SUM(G959:R959))))</f>
        <v/>
      </c>
      <c r="T959" s="33" t="n"/>
    </row>
    <row r="960">
      <c r="A960" s="26">
        <f>IF($B960="","",ROW()-3)</f>
        <v/>
      </c>
      <c r="B960" s="27" t="n"/>
      <c r="C960" s="27" t="n"/>
      <c r="D960" s="28" t="n"/>
      <c r="E960" s="29" t="n"/>
      <c r="F960" s="30" t="n"/>
      <c r="G960" s="31" t="n"/>
      <c r="H960" s="31" t="n"/>
      <c r="I960" s="31" t="n"/>
      <c r="J960" s="31" t="n"/>
      <c r="K960" s="31" t="n"/>
      <c r="L960" s="31" t="n"/>
      <c r="M960" s="31" t="n"/>
      <c r="N960" s="31" t="n"/>
      <c r="O960" s="31" t="n"/>
      <c r="P960" s="31" t="n"/>
      <c r="Q960" s="31" t="n"/>
      <c r="R960" s="31" t="n"/>
      <c r="S960" s="32">
        <f>IF($F960="","",IF(IFERROR(VLOOKUP($F960,'维度字典'!$M$2:$N$50,2,0),"求和")="手工录入","",IF(IFERROR(VLOOKUP($F960,'维度字典'!$M$2:$N$50,2,0),"求和")="最新值",IFERROR(LOOKUP(9.99E+307,G960:R960),""),SUM(G960:R960))))</f>
        <v/>
      </c>
      <c r="T960" s="33" t="n"/>
    </row>
    <row r="961">
      <c r="A961" s="26">
        <f>IF($B961="","",ROW()-3)</f>
        <v/>
      </c>
      <c r="B961" s="27" t="n"/>
      <c r="C961" s="27" t="n"/>
      <c r="D961" s="28" t="n"/>
      <c r="E961" s="29" t="n"/>
      <c r="F961" s="30" t="n"/>
      <c r="G961" s="31" t="n"/>
      <c r="H961" s="31" t="n"/>
      <c r="I961" s="31" t="n"/>
      <c r="J961" s="31" t="n"/>
      <c r="K961" s="31" t="n"/>
      <c r="L961" s="31" t="n"/>
      <c r="M961" s="31" t="n"/>
      <c r="N961" s="31" t="n"/>
      <c r="O961" s="31" t="n"/>
      <c r="P961" s="31" t="n"/>
      <c r="Q961" s="31" t="n"/>
      <c r="R961" s="31" t="n"/>
      <c r="S961" s="32">
        <f>IF($F961="","",IF(IFERROR(VLOOKUP($F961,'维度字典'!$M$2:$N$50,2,0),"求和")="手工录入","",IF(IFERROR(VLOOKUP($F961,'维度字典'!$M$2:$N$50,2,0),"求和")="最新值",IFERROR(LOOKUP(9.99E+307,G961:R961),""),SUM(G961:R961))))</f>
        <v/>
      </c>
      <c r="T961" s="33" t="n"/>
    </row>
    <row r="962">
      <c r="A962" s="26">
        <f>IF($B962="","",ROW()-3)</f>
        <v/>
      </c>
      <c r="B962" s="27" t="n"/>
      <c r="C962" s="27" t="n"/>
      <c r="D962" s="28" t="n"/>
      <c r="E962" s="29" t="n"/>
      <c r="F962" s="30" t="n"/>
      <c r="G962" s="31" t="n"/>
      <c r="H962" s="31" t="n"/>
      <c r="I962" s="31" t="n"/>
      <c r="J962" s="31" t="n"/>
      <c r="K962" s="31" t="n"/>
      <c r="L962" s="31" t="n"/>
      <c r="M962" s="31" t="n"/>
      <c r="N962" s="31" t="n"/>
      <c r="O962" s="31" t="n"/>
      <c r="P962" s="31" t="n"/>
      <c r="Q962" s="31" t="n"/>
      <c r="R962" s="31" t="n"/>
      <c r="S962" s="32">
        <f>IF($F962="","",IF(IFERROR(VLOOKUP($F962,'维度字典'!$M$2:$N$50,2,0),"求和")="手工录入","",IF(IFERROR(VLOOKUP($F962,'维度字典'!$M$2:$N$50,2,0),"求和")="最新值",IFERROR(LOOKUP(9.99E+307,G962:R962),""),SUM(G962:R962))))</f>
        <v/>
      </c>
      <c r="T962" s="33" t="n"/>
    </row>
    <row r="963">
      <c r="A963" s="26">
        <f>IF($B963="","",ROW()-3)</f>
        <v/>
      </c>
      <c r="B963" s="27" t="n"/>
      <c r="C963" s="27" t="n"/>
      <c r="D963" s="28" t="n"/>
      <c r="E963" s="29" t="n"/>
      <c r="F963" s="30" t="n"/>
      <c r="G963" s="31" t="n"/>
      <c r="H963" s="31" t="n"/>
      <c r="I963" s="31" t="n"/>
      <c r="J963" s="31" t="n"/>
      <c r="K963" s="31" t="n"/>
      <c r="L963" s="31" t="n"/>
      <c r="M963" s="31" t="n"/>
      <c r="N963" s="31" t="n"/>
      <c r="O963" s="31" t="n"/>
      <c r="P963" s="31" t="n"/>
      <c r="Q963" s="31" t="n"/>
      <c r="R963" s="31" t="n"/>
      <c r="S963" s="32">
        <f>IF($F963="","",IF(IFERROR(VLOOKUP($F963,'维度字典'!$M$2:$N$50,2,0),"求和")="手工录入","",IF(IFERROR(VLOOKUP($F963,'维度字典'!$M$2:$N$50,2,0),"求和")="最新值",IFERROR(LOOKUP(9.99E+307,G963:R963),""),SUM(G963:R963))))</f>
        <v/>
      </c>
      <c r="T963" s="33" t="n"/>
    </row>
    <row r="964">
      <c r="A964" s="26">
        <f>IF($B964="","",ROW()-3)</f>
        <v/>
      </c>
      <c r="B964" s="27" t="n"/>
      <c r="C964" s="27" t="n"/>
      <c r="D964" s="28" t="n"/>
      <c r="E964" s="29" t="n"/>
      <c r="F964" s="30" t="n"/>
      <c r="G964" s="31" t="n"/>
      <c r="H964" s="31" t="n"/>
      <c r="I964" s="31" t="n"/>
      <c r="J964" s="31" t="n"/>
      <c r="K964" s="31" t="n"/>
      <c r="L964" s="31" t="n"/>
      <c r="M964" s="31" t="n"/>
      <c r="N964" s="31" t="n"/>
      <c r="O964" s="31" t="n"/>
      <c r="P964" s="31" t="n"/>
      <c r="Q964" s="31" t="n"/>
      <c r="R964" s="31" t="n"/>
      <c r="S964" s="32">
        <f>IF($F964="","",IF(IFERROR(VLOOKUP($F964,'维度字典'!$M$2:$N$50,2,0),"求和")="手工录入","",IF(IFERROR(VLOOKUP($F964,'维度字典'!$M$2:$N$50,2,0),"求和")="最新值",IFERROR(LOOKUP(9.99E+307,G964:R964),""),SUM(G964:R964))))</f>
        <v/>
      </c>
      <c r="T964" s="33" t="n"/>
    </row>
    <row r="965">
      <c r="A965" s="26">
        <f>IF($B965="","",ROW()-3)</f>
        <v/>
      </c>
      <c r="B965" s="27" t="n"/>
      <c r="C965" s="27" t="n"/>
      <c r="D965" s="28" t="n"/>
      <c r="E965" s="29" t="n"/>
      <c r="F965" s="30" t="n"/>
      <c r="G965" s="31" t="n"/>
      <c r="H965" s="31" t="n"/>
      <c r="I965" s="31" t="n"/>
      <c r="J965" s="31" t="n"/>
      <c r="K965" s="31" t="n"/>
      <c r="L965" s="31" t="n"/>
      <c r="M965" s="31" t="n"/>
      <c r="N965" s="31" t="n"/>
      <c r="O965" s="31" t="n"/>
      <c r="P965" s="31" t="n"/>
      <c r="Q965" s="31" t="n"/>
      <c r="R965" s="31" t="n"/>
      <c r="S965" s="32">
        <f>IF($F965="","",IF(IFERROR(VLOOKUP($F965,'维度字典'!$M$2:$N$50,2,0),"求和")="手工录入","",IF(IFERROR(VLOOKUP($F965,'维度字典'!$M$2:$N$50,2,0),"求和")="最新值",IFERROR(LOOKUP(9.99E+307,G965:R965),""),SUM(G965:R965))))</f>
        <v/>
      </c>
      <c r="T965" s="33" t="n"/>
    </row>
    <row r="966">
      <c r="A966" s="26">
        <f>IF($B966="","",ROW()-3)</f>
        <v/>
      </c>
      <c r="B966" s="27" t="n"/>
      <c r="C966" s="27" t="n"/>
      <c r="D966" s="28" t="n"/>
      <c r="E966" s="29" t="n"/>
      <c r="F966" s="30" t="n"/>
      <c r="G966" s="31" t="n"/>
      <c r="H966" s="31" t="n"/>
      <c r="I966" s="31" t="n"/>
      <c r="J966" s="31" t="n"/>
      <c r="K966" s="31" t="n"/>
      <c r="L966" s="31" t="n"/>
      <c r="M966" s="31" t="n"/>
      <c r="N966" s="31" t="n"/>
      <c r="O966" s="31" t="n"/>
      <c r="P966" s="31" t="n"/>
      <c r="Q966" s="31" t="n"/>
      <c r="R966" s="31" t="n"/>
      <c r="S966" s="32">
        <f>IF($F966="","",IF(IFERROR(VLOOKUP($F966,'维度字典'!$M$2:$N$50,2,0),"求和")="手工录入","",IF(IFERROR(VLOOKUP($F966,'维度字典'!$M$2:$N$50,2,0),"求和")="最新值",IFERROR(LOOKUP(9.99E+307,G966:R966),""),SUM(G966:R966))))</f>
        <v/>
      </c>
      <c r="T966" s="33" t="n"/>
    </row>
    <row r="967">
      <c r="A967" s="26">
        <f>IF($B967="","",ROW()-3)</f>
        <v/>
      </c>
      <c r="B967" s="27" t="n"/>
      <c r="C967" s="27" t="n"/>
      <c r="D967" s="28" t="n"/>
      <c r="E967" s="29" t="n"/>
      <c r="F967" s="30" t="n"/>
      <c r="G967" s="31" t="n"/>
      <c r="H967" s="31" t="n"/>
      <c r="I967" s="31" t="n"/>
      <c r="J967" s="31" t="n"/>
      <c r="K967" s="31" t="n"/>
      <c r="L967" s="31" t="n"/>
      <c r="M967" s="31" t="n"/>
      <c r="N967" s="31" t="n"/>
      <c r="O967" s="31" t="n"/>
      <c r="P967" s="31" t="n"/>
      <c r="Q967" s="31" t="n"/>
      <c r="R967" s="31" t="n"/>
      <c r="S967" s="32">
        <f>IF($F967="","",IF(IFERROR(VLOOKUP($F967,'维度字典'!$M$2:$N$50,2,0),"求和")="手工录入","",IF(IFERROR(VLOOKUP($F967,'维度字典'!$M$2:$N$50,2,0),"求和")="最新值",IFERROR(LOOKUP(9.99E+307,G967:R967),""),SUM(G967:R967))))</f>
        <v/>
      </c>
      <c r="T967" s="33" t="n"/>
    </row>
    <row r="968">
      <c r="A968" s="26">
        <f>IF($B968="","",ROW()-3)</f>
        <v/>
      </c>
      <c r="B968" s="27" t="n"/>
      <c r="C968" s="27" t="n"/>
      <c r="D968" s="28" t="n"/>
      <c r="E968" s="29" t="n"/>
      <c r="F968" s="30" t="n"/>
      <c r="G968" s="31" t="n"/>
      <c r="H968" s="31" t="n"/>
      <c r="I968" s="31" t="n"/>
      <c r="J968" s="31" t="n"/>
      <c r="K968" s="31" t="n"/>
      <c r="L968" s="31" t="n"/>
      <c r="M968" s="31" t="n"/>
      <c r="N968" s="31" t="n"/>
      <c r="O968" s="31" t="n"/>
      <c r="P968" s="31" t="n"/>
      <c r="Q968" s="31" t="n"/>
      <c r="R968" s="31" t="n"/>
      <c r="S968" s="32">
        <f>IF($F968="","",IF(IFERROR(VLOOKUP($F968,'维度字典'!$M$2:$N$50,2,0),"求和")="手工录入","",IF(IFERROR(VLOOKUP($F968,'维度字典'!$M$2:$N$50,2,0),"求和")="最新值",IFERROR(LOOKUP(9.99E+307,G968:R968),""),SUM(G968:R968))))</f>
        <v/>
      </c>
      <c r="T968" s="33" t="n"/>
    </row>
    <row r="969">
      <c r="A969" s="26">
        <f>IF($B969="","",ROW()-3)</f>
        <v/>
      </c>
      <c r="B969" s="27" t="n"/>
      <c r="C969" s="27" t="n"/>
      <c r="D969" s="28" t="n"/>
      <c r="E969" s="29" t="n"/>
      <c r="F969" s="30" t="n"/>
      <c r="G969" s="31" t="n"/>
      <c r="H969" s="31" t="n"/>
      <c r="I969" s="31" t="n"/>
      <c r="J969" s="31" t="n"/>
      <c r="K969" s="31" t="n"/>
      <c r="L969" s="31" t="n"/>
      <c r="M969" s="31" t="n"/>
      <c r="N969" s="31" t="n"/>
      <c r="O969" s="31" t="n"/>
      <c r="P969" s="31" t="n"/>
      <c r="Q969" s="31" t="n"/>
      <c r="R969" s="31" t="n"/>
      <c r="S969" s="32">
        <f>IF($F969="","",IF(IFERROR(VLOOKUP($F969,'维度字典'!$M$2:$N$50,2,0),"求和")="手工录入","",IF(IFERROR(VLOOKUP($F969,'维度字典'!$M$2:$N$50,2,0),"求和")="最新值",IFERROR(LOOKUP(9.99E+307,G969:R969),""),SUM(G969:R969))))</f>
        <v/>
      </c>
      <c r="T969" s="33" t="n"/>
    </row>
    <row r="970">
      <c r="A970" s="26">
        <f>IF($B970="","",ROW()-3)</f>
        <v/>
      </c>
      <c r="B970" s="27" t="n"/>
      <c r="C970" s="27" t="n"/>
      <c r="D970" s="28" t="n"/>
      <c r="E970" s="29" t="n"/>
      <c r="F970" s="30" t="n"/>
      <c r="G970" s="31" t="n"/>
      <c r="H970" s="31" t="n"/>
      <c r="I970" s="31" t="n"/>
      <c r="J970" s="31" t="n"/>
      <c r="K970" s="31" t="n"/>
      <c r="L970" s="31" t="n"/>
      <c r="M970" s="31" t="n"/>
      <c r="N970" s="31" t="n"/>
      <c r="O970" s="31" t="n"/>
      <c r="P970" s="31" t="n"/>
      <c r="Q970" s="31" t="n"/>
      <c r="R970" s="31" t="n"/>
      <c r="S970" s="32">
        <f>IF($F970="","",IF(IFERROR(VLOOKUP($F970,'维度字典'!$M$2:$N$50,2,0),"求和")="手工录入","",IF(IFERROR(VLOOKUP($F970,'维度字典'!$M$2:$N$50,2,0),"求和")="最新值",IFERROR(LOOKUP(9.99E+307,G970:R970),""),SUM(G970:R970))))</f>
        <v/>
      </c>
      <c r="T970" s="33" t="n"/>
    </row>
    <row r="971">
      <c r="A971" s="26">
        <f>IF($B971="","",ROW()-3)</f>
        <v/>
      </c>
      <c r="B971" s="27" t="n"/>
      <c r="C971" s="27" t="n"/>
      <c r="D971" s="28" t="n"/>
      <c r="E971" s="29" t="n"/>
      <c r="F971" s="30" t="n"/>
      <c r="G971" s="31" t="n"/>
      <c r="H971" s="31" t="n"/>
      <c r="I971" s="31" t="n"/>
      <c r="J971" s="31" t="n"/>
      <c r="K971" s="31" t="n"/>
      <c r="L971" s="31" t="n"/>
      <c r="M971" s="31" t="n"/>
      <c r="N971" s="31" t="n"/>
      <c r="O971" s="31" t="n"/>
      <c r="P971" s="31" t="n"/>
      <c r="Q971" s="31" t="n"/>
      <c r="R971" s="31" t="n"/>
      <c r="S971" s="32">
        <f>IF($F971="","",IF(IFERROR(VLOOKUP($F971,'维度字典'!$M$2:$N$50,2,0),"求和")="手工录入","",IF(IFERROR(VLOOKUP($F971,'维度字典'!$M$2:$N$50,2,0),"求和")="最新值",IFERROR(LOOKUP(9.99E+307,G971:R971),""),SUM(G971:R971))))</f>
        <v/>
      </c>
      <c r="T971" s="33" t="n"/>
    </row>
    <row r="972">
      <c r="A972" s="26">
        <f>IF($B972="","",ROW()-3)</f>
        <v/>
      </c>
      <c r="B972" s="27" t="n"/>
      <c r="C972" s="27" t="n"/>
      <c r="D972" s="28" t="n"/>
      <c r="E972" s="29" t="n"/>
      <c r="F972" s="30" t="n"/>
      <c r="G972" s="31" t="n"/>
      <c r="H972" s="31" t="n"/>
      <c r="I972" s="31" t="n"/>
      <c r="J972" s="31" t="n"/>
      <c r="K972" s="31" t="n"/>
      <c r="L972" s="31" t="n"/>
      <c r="M972" s="31" t="n"/>
      <c r="N972" s="31" t="n"/>
      <c r="O972" s="31" t="n"/>
      <c r="P972" s="31" t="n"/>
      <c r="Q972" s="31" t="n"/>
      <c r="R972" s="31" t="n"/>
      <c r="S972" s="32">
        <f>IF($F972="","",IF(IFERROR(VLOOKUP($F972,'维度字典'!$M$2:$N$50,2,0),"求和")="手工录入","",IF(IFERROR(VLOOKUP($F972,'维度字典'!$M$2:$N$50,2,0),"求和")="最新值",IFERROR(LOOKUP(9.99E+307,G972:R972),""),SUM(G972:R972))))</f>
        <v/>
      </c>
      <c r="T972" s="33" t="n"/>
    </row>
    <row r="973">
      <c r="A973" s="26">
        <f>IF($B973="","",ROW()-3)</f>
        <v/>
      </c>
      <c r="B973" s="27" t="n"/>
      <c r="C973" s="27" t="n"/>
      <c r="D973" s="28" t="n"/>
      <c r="E973" s="29" t="n"/>
      <c r="F973" s="30" t="n"/>
      <c r="G973" s="31" t="n"/>
      <c r="H973" s="31" t="n"/>
      <c r="I973" s="31" t="n"/>
      <c r="J973" s="31" t="n"/>
      <c r="K973" s="31" t="n"/>
      <c r="L973" s="31" t="n"/>
      <c r="M973" s="31" t="n"/>
      <c r="N973" s="31" t="n"/>
      <c r="O973" s="31" t="n"/>
      <c r="P973" s="31" t="n"/>
      <c r="Q973" s="31" t="n"/>
      <c r="R973" s="31" t="n"/>
      <c r="S973" s="32">
        <f>IF($F973="","",IF(IFERROR(VLOOKUP($F973,'维度字典'!$M$2:$N$50,2,0),"求和")="手工录入","",IF(IFERROR(VLOOKUP($F973,'维度字典'!$M$2:$N$50,2,0),"求和")="最新值",IFERROR(LOOKUP(9.99E+307,G973:R973),""),SUM(G973:R973))))</f>
        <v/>
      </c>
      <c r="T973" s="33" t="n"/>
    </row>
    <row r="974">
      <c r="A974" s="26">
        <f>IF($B974="","",ROW()-3)</f>
        <v/>
      </c>
      <c r="B974" s="27" t="n"/>
      <c r="C974" s="27" t="n"/>
      <c r="D974" s="28" t="n"/>
      <c r="E974" s="29" t="n"/>
      <c r="F974" s="30" t="n"/>
      <c r="G974" s="31" t="n"/>
      <c r="H974" s="31" t="n"/>
      <c r="I974" s="31" t="n"/>
      <c r="J974" s="31" t="n"/>
      <c r="K974" s="31" t="n"/>
      <c r="L974" s="31" t="n"/>
      <c r="M974" s="31" t="n"/>
      <c r="N974" s="31" t="n"/>
      <c r="O974" s="31" t="n"/>
      <c r="P974" s="31" t="n"/>
      <c r="Q974" s="31" t="n"/>
      <c r="R974" s="31" t="n"/>
      <c r="S974" s="32">
        <f>IF($F974="","",IF(IFERROR(VLOOKUP($F974,'维度字典'!$M$2:$N$50,2,0),"求和")="手工录入","",IF(IFERROR(VLOOKUP($F974,'维度字典'!$M$2:$N$50,2,0),"求和")="最新值",IFERROR(LOOKUP(9.99E+307,G974:R974),""),SUM(G974:R974))))</f>
        <v/>
      </c>
      <c r="T974" s="33" t="n"/>
    </row>
    <row r="975">
      <c r="A975" s="26">
        <f>IF($B975="","",ROW()-3)</f>
        <v/>
      </c>
      <c r="B975" s="27" t="n"/>
      <c r="C975" s="27" t="n"/>
      <c r="D975" s="28" t="n"/>
      <c r="E975" s="29" t="n"/>
      <c r="F975" s="30" t="n"/>
      <c r="G975" s="31" t="n"/>
      <c r="H975" s="31" t="n"/>
      <c r="I975" s="31" t="n"/>
      <c r="J975" s="31" t="n"/>
      <c r="K975" s="31" t="n"/>
      <c r="L975" s="31" t="n"/>
      <c r="M975" s="31" t="n"/>
      <c r="N975" s="31" t="n"/>
      <c r="O975" s="31" t="n"/>
      <c r="P975" s="31" t="n"/>
      <c r="Q975" s="31" t="n"/>
      <c r="R975" s="31" t="n"/>
      <c r="S975" s="32">
        <f>IF($F975="","",IF(IFERROR(VLOOKUP($F975,'维度字典'!$M$2:$N$50,2,0),"求和")="手工录入","",IF(IFERROR(VLOOKUP($F975,'维度字典'!$M$2:$N$50,2,0),"求和")="最新值",IFERROR(LOOKUP(9.99E+307,G975:R975),""),SUM(G975:R975))))</f>
        <v/>
      </c>
      <c r="T975" s="33" t="n"/>
    </row>
    <row r="976">
      <c r="A976" s="26">
        <f>IF($B976="","",ROW()-3)</f>
        <v/>
      </c>
      <c r="B976" s="27" t="n"/>
      <c r="C976" s="27" t="n"/>
      <c r="D976" s="28" t="n"/>
      <c r="E976" s="29" t="n"/>
      <c r="F976" s="30" t="n"/>
      <c r="G976" s="31" t="n"/>
      <c r="H976" s="31" t="n"/>
      <c r="I976" s="31" t="n"/>
      <c r="J976" s="31" t="n"/>
      <c r="K976" s="31" t="n"/>
      <c r="L976" s="31" t="n"/>
      <c r="M976" s="31" t="n"/>
      <c r="N976" s="31" t="n"/>
      <c r="O976" s="31" t="n"/>
      <c r="P976" s="31" t="n"/>
      <c r="Q976" s="31" t="n"/>
      <c r="R976" s="31" t="n"/>
      <c r="S976" s="32">
        <f>IF($F976="","",IF(IFERROR(VLOOKUP($F976,'维度字典'!$M$2:$N$50,2,0),"求和")="手工录入","",IF(IFERROR(VLOOKUP($F976,'维度字典'!$M$2:$N$50,2,0),"求和")="最新值",IFERROR(LOOKUP(9.99E+307,G976:R976),""),SUM(G976:R976))))</f>
        <v/>
      </c>
      <c r="T976" s="33" t="n"/>
    </row>
    <row r="977">
      <c r="A977" s="26">
        <f>IF($B977="","",ROW()-3)</f>
        <v/>
      </c>
      <c r="B977" s="27" t="n"/>
      <c r="C977" s="27" t="n"/>
      <c r="D977" s="28" t="n"/>
      <c r="E977" s="29" t="n"/>
      <c r="F977" s="30" t="n"/>
      <c r="G977" s="31" t="n"/>
      <c r="H977" s="31" t="n"/>
      <c r="I977" s="31" t="n"/>
      <c r="J977" s="31" t="n"/>
      <c r="K977" s="31" t="n"/>
      <c r="L977" s="31" t="n"/>
      <c r="M977" s="31" t="n"/>
      <c r="N977" s="31" t="n"/>
      <c r="O977" s="31" t="n"/>
      <c r="P977" s="31" t="n"/>
      <c r="Q977" s="31" t="n"/>
      <c r="R977" s="31" t="n"/>
      <c r="S977" s="32">
        <f>IF($F977="","",IF(IFERROR(VLOOKUP($F977,'维度字典'!$M$2:$N$50,2,0),"求和")="手工录入","",IF(IFERROR(VLOOKUP($F977,'维度字典'!$M$2:$N$50,2,0),"求和")="最新值",IFERROR(LOOKUP(9.99E+307,G977:R977),""),SUM(G977:R977))))</f>
        <v/>
      </c>
      <c r="T977" s="33" t="n"/>
    </row>
    <row r="978">
      <c r="A978" s="26">
        <f>IF($B978="","",ROW()-3)</f>
        <v/>
      </c>
      <c r="B978" s="27" t="n"/>
      <c r="C978" s="27" t="n"/>
      <c r="D978" s="28" t="n"/>
      <c r="E978" s="29" t="n"/>
      <c r="F978" s="30" t="n"/>
      <c r="G978" s="31" t="n"/>
      <c r="H978" s="31" t="n"/>
      <c r="I978" s="31" t="n"/>
      <c r="J978" s="31" t="n"/>
      <c r="K978" s="31" t="n"/>
      <c r="L978" s="31" t="n"/>
      <c r="M978" s="31" t="n"/>
      <c r="N978" s="31" t="n"/>
      <c r="O978" s="31" t="n"/>
      <c r="P978" s="31" t="n"/>
      <c r="Q978" s="31" t="n"/>
      <c r="R978" s="31" t="n"/>
      <c r="S978" s="32">
        <f>IF($F978="","",IF(IFERROR(VLOOKUP($F978,'维度字典'!$M$2:$N$50,2,0),"求和")="手工录入","",IF(IFERROR(VLOOKUP($F978,'维度字典'!$M$2:$N$50,2,0),"求和")="最新值",IFERROR(LOOKUP(9.99E+307,G978:R978),""),SUM(G978:R978))))</f>
        <v/>
      </c>
      <c r="T978" s="33" t="n"/>
    </row>
    <row r="979">
      <c r="A979" s="26">
        <f>IF($B979="","",ROW()-3)</f>
        <v/>
      </c>
      <c r="B979" s="27" t="n"/>
      <c r="C979" s="27" t="n"/>
      <c r="D979" s="28" t="n"/>
      <c r="E979" s="29" t="n"/>
      <c r="F979" s="30" t="n"/>
      <c r="G979" s="31" t="n"/>
      <c r="H979" s="31" t="n"/>
      <c r="I979" s="31" t="n"/>
      <c r="J979" s="31" t="n"/>
      <c r="K979" s="31" t="n"/>
      <c r="L979" s="31" t="n"/>
      <c r="M979" s="31" t="n"/>
      <c r="N979" s="31" t="n"/>
      <c r="O979" s="31" t="n"/>
      <c r="P979" s="31" t="n"/>
      <c r="Q979" s="31" t="n"/>
      <c r="R979" s="31" t="n"/>
      <c r="S979" s="32">
        <f>IF($F979="","",IF(IFERROR(VLOOKUP($F979,'维度字典'!$M$2:$N$50,2,0),"求和")="手工录入","",IF(IFERROR(VLOOKUP($F979,'维度字典'!$M$2:$N$50,2,0),"求和")="最新值",IFERROR(LOOKUP(9.99E+307,G979:R979),""),SUM(G979:R979))))</f>
        <v/>
      </c>
      <c r="T979" s="33" t="n"/>
    </row>
    <row r="980">
      <c r="A980" s="26">
        <f>IF($B980="","",ROW()-3)</f>
        <v/>
      </c>
      <c r="B980" s="27" t="n"/>
      <c r="C980" s="27" t="n"/>
      <c r="D980" s="28" t="n"/>
      <c r="E980" s="29" t="n"/>
      <c r="F980" s="30" t="n"/>
      <c r="G980" s="31" t="n"/>
      <c r="H980" s="31" t="n"/>
      <c r="I980" s="31" t="n"/>
      <c r="J980" s="31" t="n"/>
      <c r="K980" s="31" t="n"/>
      <c r="L980" s="31" t="n"/>
      <c r="M980" s="31" t="n"/>
      <c r="N980" s="31" t="n"/>
      <c r="O980" s="31" t="n"/>
      <c r="P980" s="31" t="n"/>
      <c r="Q980" s="31" t="n"/>
      <c r="R980" s="31" t="n"/>
      <c r="S980" s="32">
        <f>IF($F980="","",IF(IFERROR(VLOOKUP($F980,'维度字典'!$M$2:$N$50,2,0),"求和")="手工录入","",IF(IFERROR(VLOOKUP($F980,'维度字典'!$M$2:$N$50,2,0),"求和")="最新值",IFERROR(LOOKUP(9.99E+307,G980:R980),""),SUM(G980:R980))))</f>
        <v/>
      </c>
      <c r="T980" s="33" t="n"/>
    </row>
    <row r="981">
      <c r="A981" s="26">
        <f>IF($B981="","",ROW()-3)</f>
        <v/>
      </c>
      <c r="B981" s="27" t="n"/>
      <c r="C981" s="27" t="n"/>
      <c r="D981" s="28" t="n"/>
      <c r="E981" s="29" t="n"/>
      <c r="F981" s="30" t="n"/>
      <c r="G981" s="31" t="n"/>
      <c r="H981" s="31" t="n"/>
      <c r="I981" s="31" t="n"/>
      <c r="J981" s="31" t="n"/>
      <c r="K981" s="31" t="n"/>
      <c r="L981" s="31" t="n"/>
      <c r="M981" s="31" t="n"/>
      <c r="N981" s="31" t="n"/>
      <c r="O981" s="31" t="n"/>
      <c r="P981" s="31" t="n"/>
      <c r="Q981" s="31" t="n"/>
      <c r="R981" s="31" t="n"/>
      <c r="S981" s="32">
        <f>IF($F981="","",IF(IFERROR(VLOOKUP($F981,'维度字典'!$M$2:$N$50,2,0),"求和")="手工录入","",IF(IFERROR(VLOOKUP($F981,'维度字典'!$M$2:$N$50,2,0),"求和")="最新值",IFERROR(LOOKUP(9.99E+307,G981:R981),""),SUM(G981:R981))))</f>
        <v/>
      </c>
      <c r="T981" s="33" t="n"/>
    </row>
    <row r="982">
      <c r="A982" s="26">
        <f>IF($B982="","",ROW()-3)</f>
        <v/>
      </c>
      <c r="B982" s="27" t="n"/>
      <c r="C982" s="27" t="n"/>
      <c r="D982" s="28" t="n"/>
      <c r="E982" s="29" t="n"/>
      <c r="F982" s="30" t="n"/>
      <c r="G982" s="31" t="n"/>
      <c r="H982" s="31" t="n"/>
      <c r="I982" s="31" t="n"/>
      <c r="J982" s="31" t="n"/>
      <c r="K982" s="31" t="n"/>
      <c r="L982" s="31" t="n"/>
      <c r="M982" s="31" t="n"/>
      <c r="N982" s="31" t="n"/>
      <c r="O982" s="31" t="n"/>
      <c r="P982" s="31" t="n"/>
      <c r="Q982" s="31" t="n"/>
      <c r="R982" s="31" t="n"/>
      <c r="S982" s="32">
        <f>IF($F982="","",IF(IFERROR(VLOOKUP($F982,'维度字典'!$M$2:$N$50,2,0),"求和")="手工录入","",IF(IFERROR(VLOOKUP($F982,'维度字典'!$M$2:$N$50,2,0),"求和")="最新值",IFERROR(LOOKUP(9.99E+307,G982:R982),""),SUM(G982:R982))))</f>
        <v/>
      </c>
      <c r="T982" s="33" t="n"/>
    </row>
    <row r="983">
      <c r="A983" s="26">
        <f>IF($B983="","",ROW()-3)</f>
        <v/>
      </c>
      <c r="B983" s="27" t="n"/>
      <c r="C983" s="27" t="n"/>
      <c r="D983" s="28" t="n"/>
      <c r="E983" s="29" t="n"/>
      <c r="F983" s="30" t="n"/>
      <c r="G983" s="31" t="n"/>
      <c r="H983" s="31" t="n"/>
      <c r="I983" s="31" t="n"/>
      <c r="J983" s="31" t="n"/>
      <c r="K983" s="31" t="n"/>
      <c r="L983" s="31" t="n"/>
      <c r="M983" s="31" t="n"/>
      <c r="N983" s="31" t="n"/>
      <c r="O983" s="31" t="n"/>
      <c r="P983" s="31" t="n"/>
      <c r="Q983" s="31" t="n"/>
      <c r="R983" s="31" t="n"/>
      <c r="S983" s="32">
        <f>IF($F983="","",IF(IFERROR(VLOOKUP($F983,'维度字典'!$M$2:$N$50,2,0),"求和")="手工录入","",IF(IFERROR(VLOOKUP($F983,'维度字典'!$M$2:$N$50,2,0),"求和")="最新值",IFERROR(LOOKUP(9.99E+307,G983:R983),""),SUM(G983:R983))))</f>
        <v/>
      </c>
      <c r="T983" s="33" t="n"/>
    </row>
    <row r="984">
      <c r="A984" s="26">
        <f>IF($B984="","",ROW()-3)</f>
        <v/>
      </c>
      <c r="B984" s="27" t="n"/>
      <c r="C984" s="27" t="n"/>
      <c r="D984" s="28" t="n"/>
      <c r="E984" s="29" t="n"/>
      <c r="F984" s="30" t="n"/>
      <c r="G984" s="31" t="n"/>
      <c r="H984" s="31" t="n"/>
      <c r="I984" s="31" t="n"/>
      <c r="J984" s="31" t="n"/>
      <c r="K984" s="31" t="n"/>
      <c r="L984" s="31" t="n"/>
      <c r="M984" s="31" t="n"/>
      <c r="N984" s="31" t="n"/>
      <c r="O984" s="31" t="n"/>
      <c r="P984" s="31" t="n"/>
      <c r="Q984" s="31" t="n"/>
      <c r="R984" s="31" t="n"/>
      <c r="S984" s="32">
        <f>IF($F984="","",IF(IFERROR(VLOOKUP($F984,'维度字典'!$M$2:$N$50,2,0),"求和")="手工录入","",IF(IFERROR(VLOOKUP($F984,'维度字典'!$M$2:$N$50,2,0),"求和")="最新值",IFERROR(LOOKUP(9.99E+307,G984:R984),""),SUM(G984:R984))))</f>
        <v/>
      </c>
      <c r="T984" s="33" t="n"/>
    </row>
    <row r="985">
      <c r="A985" s="26">
        <f>IF($B985="","",ROW()-3)</f>
        <v/>
      </c>
      <c r="B985" s="27" t="n"/>
      <c r="C985" s="27" t="n"/>
      <c r="D985" s="28" t="n"/>
      <c r="E985" s="29" t="n"/>
      <c r="F985" s="30" t="n"/>
      <c r="G985" s="31" t="n"/>
      <c r="H985" s="31" t="n"/>
      <c r="I985" s="31" t="n"/>
      <c r="J985" s="31" t="n"/>
      <c r="K985" s="31" t="n"/>
      <c r="L985" s="31" t="n"/>
      <c r="M985" s="31" t="n"/>
      <c r="N985" s="31" t="n"/>
      <c r="O985" s="31" t="n"/>
      <c r="P985" s="31" t="n"/>
      <c r="Q985" s="31" t="n"/>
      <c r="R985" s="31" t="n"/>
      <c r="S985" s="32">
        <f>IF($F985="","",IF(IFERROR(VLOOKUP($F985,'维度字典'!$M$2:$N$50,2,0),"求和")="手工录入","",IF(IFERROR(VLOOKUP($F985,'维度字典'!$M$2:$N$50,2,0),"求和")="最新值",IFERROR(LOOKUP(9.99E+307,G985:R985),""),SUM(G985:R985))))</f>
        <v/>
      </c>
      <c r="T985" s="33" t="n"/>
    </row>
    <row r="986">
      <c r="A986" s="26">
        <f>IF($B986="","",ROW()-3)</f>
        <v/>
      </c>
      <c r="B986" s="27" t="n"/>
      <c r="C986" s="27" t="n"/>
      <c r="D986" s="28" t="n"/>
      <c r="E986" s="29" t="n"/>
      <c r="F986" s="30" t="n"/>
      <c r="G986" s="31" t="n"/>
      <c r="H986" s="31" t="n"/>
      <c r="I986" s="31" t="n"/>
      <c r="J986" s="31" t="n"/>
      <c r="K986" s="31" t="n"/>
      <c r="L986" s="31" t="n"/>
      <c r="M986" s="31" t="n"/>
      <c r="N986" s="31" t="n"/>
      <c r="O986" s="31" t="n"/>
      <c r="P986" s="31" t="n"/>
      <c r="Q986" s="31" t="n"/>
      <c r="R986" s="31" t="n"/>
      <c r="S986" s="32">
        <f>IF($F986="","",IF(IFERROR(VLOOKUP($F986,'维度字典'!$M$2:$N$50,2,0),"求和")="手工录入","",IF(IFERROR(VLOOKUP($F986,'维度字典'!$M$2:$N$50,2,0),"求和")="最新值",IFERROR(LOOKUP(9.99E+307,G986:R986),""),SUM(G986:R986))))</f>
        <v/>
      </c>
      <c r="T986" s="33" t="n"/>
    </row>
    <row r="987">
      <c r="A987" s="26">
        <f>IF($B987="","",ROW()-3)</f>
        <v/>
      </c>
      <c r="B987" s="27" t="n"/>
      <c r="C987" s="27" t="n"/>
      <c r="D987" s="28" t="n"/>
      <c r="E987" s="29" t="n"/>
      <c r="F987" s="30" t="n"/>
      <c r="G987" s="31" t="n"/>
      <c r="H987" s="31" t="n"/>
      <c r="I987" s="31" t="n"/>
      <c r="J987" s="31" t="n"/>
      <c r="K987" s="31" t="n"/>
      <c r="L987" s="31" t="n"/>
      <c r="M987" s="31" t="n"/>
      <c r="N987" s="31" t="n"/>
      <c r="O987" s="31" t="n"/>
      <c r="P987" s="31" t="n"/>
      <c r="Q987" s="31" t="n"/>
      <c r="R987" s="31" t="n"/>
      <c r="S987" s="32">
        <f>IF($F987="","",IF(IFERROR(VLOOKUP($F987,'维度字典'!$M$2:$N$50,2,0),"求和")="手工录入","",IF(IFERROR(VLOOKUP($F987,'维度字典'!$M$2:$N$50,2,0),"求和")="最新值",IFERROR(LOOKUP(9.99E+307,G987:R987),""),SUM(G987:R987))))</f>
        <v/>
      </c>
      <c r="T987" s="33" t="n"/>
    </row>
    <row r="988">
      <c r="A988" s="26">
        <f>IF($B988="","",ROW()-3)</f>
        <v/>
      </c>
      <c r="B988" s="27" t="n"/>
      <c r="C988" s="27" t="n"/>
      <c r="D988" s="28" t="n"/>
      <c r="E988" s="29" t="n"/>
      <c r="F988" s="30" t="n"/>
      <c r="G988" s="31" t="n"/>
      <c r="H988" s="31" t="n"/>
      <c r="I988" s="31" t="n"/>
      <c r="J988" s="31" t="n"/>
      <c r="K988" s="31" t="n"/>
      <c r="L988" s="31" t="n"/>
      <c r="M988" s="31" t="n"/>
      <c r="N988" s="31" t="n"/>
      <c r="O988" s="31" t="n"/>
      <c r="P988" s="31" t="n"/>
      <c r="Q988" s="31" t="n"/>
      <c r="R988" s="31" t="n"/>
      <c r="S988" s="32">
        <f>IF($F988="","",IF(IFERROR(VLOOKUP($F988,'维度字典'!$M$2:$N$50,2,0),"求和")="手工录入","",IF(IFERROR(VLOOKUP($F988,'维度字典'!$M$2:$N$50,2,0),"求和")="最新值",IFERROR(LOOKUP(9.99E+307,G988:R988),""),SUM(G988:R988))))</f>
        <v/>
      </c>
      <c r="T988" s="33" t="n"/>
    </row>
    <row r="989">
      <c r="A989" s="26">
        <f>IF($B989="","",ROW()-3)</f>
        <v/>
      </c>
      <c r="B989" s="27" t="n"/>
      <c r="C989" s="27" t="n"/>
      <c r="D989" s="28" t="n"/>
      <c r="E989" s="29" t="n"/>
      <c r="F989" s="30" t="n"/>
      <c r="G989" s="31" t="n"/>
      <c r="H989" s="31" t="n"/>
      <c r="I989" s="31" t="n"/>
      <c r="J989" s="31" t="n"/>
      <c r="K989" s="31" t="n"/>
      <c r="L989" s="31" t="n"/>
      <c r="M989" s="31" t="n"/>
      <c r="N989" s="31" t="n"/>
      <c r="O989" s="31" t="n"/>
      <c r="P989" s="31" t="n"/>
      <c r="Q989" s="31" t="n"/>
      <c r="R989" s="31" t="n"/>
      <c r="S989" s="32">
        <f>IF($F989="","",IF(IFERROR(VLOOKUP($F989,'维度字典'!$M$2:$N$50,2,0),"求和")="手工录入","",IF(IFERROR(VLOOKUP($F989,'维度字典'!$M$2:$N$50,2,0),"求和")="最新值",IFERROR(LOOKUP(9.99E+307,G989:R989),""),SUM(G989:R989))))</f>
        <v/>
      </c>
      <c r="T989" s="33" t="n"/>
    </row>
    <row r="990">
      <c r="A990" s="26">
        <f>IF($B990="","",ROW()-3)</f>
        <v/>
      </c>
      <c r="B990" s="27" t="n"/>
      <c r="C990" s="27" t="n"/>
      <c r="D990" s="28" t="n"/>
      <c r="E990" s="29" t="n"/>
      <c r="F990" s="30" t="n"/>
      <c r="G990" s="31" t="n"/>
      <c r="H990" s="31" t="n"/>
      <c r="I990" s="31" t="n"/>
      <c r="J990" s="31" t="n"/>
      <c r="K990" s="31" t="n"/>
      <c r="L990" s="31" t="n"/>
      <c r="M990" s="31" t="n"/>
      <c r="N990" s="31" t="n"/>
      <c r="O990" s="31" t="n"/>
      <c r="P990" s="31" t="n"/>
      <c r="Q990" s="31" t="n"/>
      <c r="R990" s="31" t="n"/>
      <c r="S990" s="32">
        <f>IF($F990="","",IF(IFERROR(VLOOKUP($F990,'维度字典'!$M$2:$N$50,2,0),"求和")="手工录入","",IF(IFERROR(VLOOKUP($F990,'维度字典'!$M$2:$N$50,2,0),"求和")="最新值",IFERROR(LOOKUP(9.99E+307,G990:R990),""),SUM(G990:R990))))</f>
        <v/>
      </c>
      <c r="T990" s="33" t="n"/>
    </row>
    <row r="991">
      <c r="A991" s="26">
        <f>IF($B991="","",ROW()-3)</f>
        <v/>
      </c>
      <c r="B991" s="27" t="n"/>
      <c r="C991" s="27" t="n"/>
      <c r="D991" s="28" t="n"/>
      <c r="E991" s="29" t="n"/>
      <c r="F991" s="30" t="n"/>
      <c r="G991" s="31" t="n"/>
      <c r="H991" s="31" t="n"/>
      <c r="I991" s="31" t="n"/>
      <c r="J991" s="31" t="n"/>
      <c r="K991" s="31" t="n"/>
      <c r="L991" s="31" t="n"/>
      <c r="M991" s="31" t="n"/>
      <c r="N991" s="31" t="n"/>
      <c r="O991" s="31" t="n"/>
      <c r="P991" s="31" t="n"/>
      <c r="Q991" s="31" t="n"/>
      <c r="R991" s="31" t="n"/>
      <c r="S991" s="32">
        <f>IF($F991="","",IF(IFERROR(VLOOKUP($F991,'维度字典'!$M$2:$N$50,2,0),"求和")="手工录入","",IF(IFERROR(VLOOKUP($F991,'维度字典'!$M$2:$N$50,2,0),"求和")="最新值",IFERROR(LOOKUP(9.99E+307,G991:R991),""),SUM(G991:R991))))</f>
        <v/>
      </c>
      <c r="T991" s="33" t="n"/>
    </row>
    <row r="992">
      <c r="A992" s="26">
        <f>IF($B992="","",ROW()-3)</f>
        <v/>
      </c>
      <c r="B992" s="27" t="n"/>
      <c r="C992" s="27" t="n"/>
      <c r="D992" s="28" t="n"/>
      <c r="E992" s="29" t="n"/>
      <c r="F992" s="30" t="n"/>
      <c r="G992" s="31" t="n"/>
      <c r="H992" s="31" t="n"/>
      <c r="I992" s="31" t="n"/>
      <c r="J992" s="31" t="n"/>
      <c r="K992" s="31" t="n"/>
      <c r="L992" s="31" t="n"/>
      <c r="M992" s="31" t="n"/>
      <c r="N992" s="31" t="n"/>
      <c r="O992" s="31" t="n"/>
      <c r="P992" s="31" t="n"/>
      <c r="Q992" s="31" t="n"/>
      <c r="R992" s="31" t="n"/>
      <c r="S992" s="32">
        <f>IF($F992="","",IF(IFERROR(VLOOKUP($F992,'维度字典'!$M$2:$N$50,2,0),"求和")="手工录入","",IF(IFERROR(VLOOKUP($F992,'维度字典'!$M$2:$N$50,2,0),"求和")="最新值",IFERROR(LOOKUP(9.99E+307,G992:R992),""),SUM(G992:R992))))</f>
        <v/>
      </c>
      <c r="T992" s="33" t="n"/>
    </row>
    <row r="993">
      <c r="A993" s="26">
        <f>IF($B993="","",ROW()-3)</f>
        <v/>
      </c>
      <c r="B993" s="27" t="n"/>
      <c r="C993" s="27" t="n"/>
      <c r="D993" s="28" t="n"/>
      <c r="E993" s="29" t="n"/>
      <c r="F993" s="30" t="n"/>
      <c r="G993" s="31" t="n"/>
      <c r="H993" s="31" t="n"/>
      <c r="I993" s="31" t="n"/>
      <c r="J993" s="31" t="n"/>
      <c r="K993" s="31" t="n"/>
      <c r="L993" s="31" t="n"/>
      <c r="M993" s="31" t="n"/>
      <c r="N993" s="31" t="n"/>
      <c r="O993" s="31" t="n"/>
      <c r="P993" s="31" t="n"/>
      <c r="Q993" s="31" t="n"/>
      <c r="R993" s="31" t="n"/>
      <c r="S993" s="32">
        <f>IF($F993="","",IF(IFERROR(VLOOKUP($F993,'维度字典'!$M$2:$N$50,2,0),"求和")="手工录入","",IF(IFERROR(VLOOKUP($F993,'维度字典'!$M$2:$N$50,2,0),"求和")="最新值",IFERROR(LOOKUP(9.99E+307,G993:R993),""),SUM(G993:R993))))</f>
        <v/>
      </c>
      <c r="T993" s="33" t="n"/>
    </row>
    <row r="994">
      <c r="A994" s="26">
        <f>IF($B994="","",ROW()-3)</f>
        <v/>
      </c>
      <c r="B994" s="27" t="n"/>
      <c r="C994" s="27" t="n"/>
      <c r="D994" s="28" t="n"/>
      <c r="E994" s="29" t="n"/>
      <c r="F994" s="30" t="n"/>
      <c r="G994" s="31" t="n"/>
      <c r="H994" s="31" t="n"/>
      <c r="I994" s="31" t="n"/>
      <c r="J994" s="31" t="n"/>
      <c r="K994" s="31" t="n"/>
      <c r="L994" s="31" t="n"/>
      <c r="M994" s="31" t="n"/>
      <c r="N994" s="31" t="n"/>
      <c r="O994" s="31" t="n"/>
      <c r="P994" s="31" t="n"/>
      <c r="Q994" s="31" t="n"/>
      <c r="R994" s="31" t="n"/>
      <c r="S994" s="32">
        <f>IF($F994="","",IF(IFERROR(VLOOKUP($F994,'维度字典'!$M$2:$N$50,2,0),"求和")="手工录入","",IF(IFERROR(VLOOKUP($F994,'维度字典'!$M$2:$N$50,2,0),"求和")="最新值",IFERROR(LOOKUP(9.99E+307,G994:R994),""),SUM(G994:R994))))</f>
        <v/>
      </c>
      <c r="T994" s="33" t="n"/>
    </row>
    <row r="995">
      <c r="A995" s="26">
        <f>IF($B995="","",ROW()-3)</f>
        <v/>
      </c>
      <c r="B995" s="27" t="n"/>
      <c r="C995" s="27" t="n"/>
      <c r="D995" s="28" t="n"/>
      <c r="E995" s="29" t="n"/>
      <c r="F995" s="30" t="n"/>
      <c r="G995" s="31" t="n"/>
      <c r="H995" s="31" t="n"/>
      <c r="I995" s="31" t="n"/>
      <c r="J995" s="31" t="n"/>
      <c r="K995" s="31" t="n"/>
      <c r="L995" s="31" t="n"/>
      <c r="M995" s="31" t="n"/>
      <c r="N995" s="31" t="n"/>
      <c r="O995" s="31" t="n"/>
      <c r="P995" s="31" t="n"/>
      <c r="Q995" s="31" t="n"/>
      <c r="R995" s="31" t="n"/>
      <c r="S995" s="32">
        <f>IF($F995="","",IF(IFERROR(VLOOKUP($F995,'维度字典'!$M$2:$N$50,2,0),"求和")="手工录入","",IF(IFERROR(VLOOKUP($F995,'维度字典'!$M$2:$N$50,2,0),"求和")="最新值",IFERROR(LOOKUP(9.99E+307,G995:R995),""),SUM(G995:R995))))</f>
        <v/>
      </c>
      <c r="T995" s="33" t="n"/>
    </row>
    <row r="996">
      <c r="A996" s="26">
        <f>IF($B996="","",ROW()-3)</f>
        <v/>
      </c>
      <c r="B996" s="27" t="n"/>
      <c r="C996" s="27" t="n"/>
      <c r="D996" s="28" t="n"/>
      <c r="E996" s="29" t="n"/>
      <c r="F996" s="30" t="n"/>
      <c r="G996" s="31" t="n"/>
      <c r="H996" s="31" t="n"/>
      <c r="I996" s="31" t="n"/>
      <c r="J996" s="31" t="n"/>
      <c r="K996" s="31" t="n"/>
      <c r="L996" s="31" t="n"/>
      <c r="M996" s="31" t="n"/>
      <c r="N996" s="31" t="n"/>
      <c r="O996" s="31" t="n"/>
      <c r="P996" s="31" t="n"/>
      <c r="Q996" s="31" t="n"/>
      <c r="R996" s="31" t="n"/>
      <c r="S996" s="32">
        <f>IF($F996="","",IF(IFERROR(VLOOKUP($F996,'维度字典'!$M$2:$N$50,2,0),"求和")="手工录入","",IF(IFERROR(VLOOKUP($F996,'维度字典'!$M$2:$N$50,2,0),"求和")="最新值",IFERROR(LOOKUP(9.99E+307,G996:R996),""),SUM(G996:R996))))</f>
        <v/>
      </c>
      <c r="T996" s="33" t="n"/>
    </row>
    <row r="997">
      <c r="A997" s="26">
        <f>IF($B997="","",ROW()-3)</f>
        <v/>
      </c>
      <c r="B997" s="27" t="n"/>
      <c r="C997" s="27" t="n"/>
      <c r="D997" s="28" t="n"/>
      <c r="E997" s="29" t="n"/>
      <c r="F997" s="30" t="n"/>
      <c r="G997" s="31" t="n"/>
      <c r="H997" s="31" t="n"/>
      <c r="I997" s="31" t="n"/>
      <c r="J997" s="31" t="n"/>
      <c r="K997" s="31" t="n"/>
      <c r="L997" s="31" t="n"/>
      <c r="M997" s="31" t="n"/>
      <c r="N997" s="31" t="n"/>
      <c r="O997" s="31" t="n"/>
      <c r="P997" s="31" t="n"/>
      <c r="Q997" s="31" t="n"/>
      <c r="R997" s="31" t="n"/>
      <c r="S997" s="32">
        <f>IF($F997="","",IF(IFERROR(VLOOKUP($F997,'维度字典'!$M$2:$N$50,2,0),"求和")="手工录入","",IF(IFERROR(VLOOKUP($F997,'维度字典'!$M$2:$N$50,2,0),"求和")="最新值",IFERROR(LOOKUP(9.99E+307,G997:R997),""),SUM(G997:R997))))</f>
        <v/>
      </c>
      <c r="T997" s="33" t="n"/>
    </row>
    <row r="998">
      <c r="A998" s="26">
        <f>IF($B998="","",ROW()-3)</f>
        <v/>
      </c>
      <c r="B998" s="27" t="n"/>
      <c r="C998" s="27" t="n"/>
      <c r="D998" s="28" t="n"/>
      <c r="E998" s="29" t="n"/>
      <c r="F998" s="30" t="n"/>
      <c r="G998" s="31" t="n"/>
      <c r="H998" s="31" t="n"/>
      <c r="I998" s="31" t="n"/>
      <c r="J998" s="31" t="n"/>
      <c r="K998" s="31" t="n"/>
      <c r="L998" s="31" t="n"/>
      <c r="M998" s="31" t="n"/>
      <c r="N998" s="31" t="n"/>
      <c r="O998" s="31" t="n"/>
      <c r="P998" s="31" t="n"/>
      <c r="Q998" s="31" t="n"/>
      <c r="R998" s="31" t="n"/>
      <c r="S998" s="32">
        <f>IF($F998="","",IF(IFERROR(VLOOKUP($F998,'维度字典'!$M$2:$N$50,2,0),"求和")="手工录入","",IF(IFERROR(VLOOKUP($F998,'维度字典'!$M$2:$N$50,2,0),"求和")="最新值",IFERROR(LOOKUP(9.99E+307,G998:R998),""),SUM(G998:R998))))</f>
        <v/>
      </c>
      <c r="T998" s="33" t="n"/>
    </row>
    <row r="999">
      <c r="A999" s="26">
        <f>IF($B999="","",ROW()-3)</f>
        <v/>
      </c>
      <c r="B999" s="27" t="n"/>
      <c r="C999" s="27" t="n"/>
      <c r="D999" s="28" t="n"/>
      <c r="E999" s="29" t="n"/>
      <c r="F999" s="30" t="n"/>
      <c r="G999" s="31" t="n"/>
      <c r="H999" s="31" t="n"/>
      <c r="I999" s="31" t="n"/>
      <c r="J999" s="31" t="n"/>
      <c r="K999" s="31" t="n"/>
      <c r="L999" s="31" t="n"/>
      <c r="M999" s="31" t="n"/>
      <c r="N999" s="31" t="n"/>
      <c r="O999" s="31" t="n"/>
      <c r="P999" s="31" t="n"/>
      <c r="Q999" s="31" t="n"/>
      <c r="R999" s="31" t="n"/>
      <c r="S999" s="32">
        <f>IF($F999="","",IF(IFERROR(VLOOKUP($F999,'维度字典'!$M$2:$N$50,2,0),"求和")="手工录入","",IF(IFERROR(VLOOKUP($F999,'维度字典'!$M$2:$N$50,2,0),"求和")="最新值",IFERROR(LOOKUP(9.99E+307,G999:R999),""),SUM(G999:R999))))</f>
        <v/>
      </c>
      <c r="T999" s="33" t="n"/>
    </row>
    <row r="1000">
      <c r="A1000" s="26">
        <f>IF($B1000="","",ROW()-3)</f>
        <v/>
      </c>
      <c r="B1000" s="27" t="n"/>
      <c r="C1000" s="27" t="n"/>
      <c r="D1000" s="28" t="n"/>
      <c r="E1000" s="29" t="n"/>
      <c r="F1000" s="30" t="n"/>
      <c r="G1000" s="31" t="n"/>
      <c r="H1000" s="31" t="n"/>
      <c r="I1000" s="31" t="n"/>
      <c r="J1000" s="31" t="n"/>
      <c r="K1000" s="31" t="n"/>
      <c r="L1000" s="31" t="n"/>
      <c r="M1000" s="31" t="n"/>
      <c r="N1000" s="31" t="n"/>
      <c r="O1000" s="31" t="n"/>
      <c r="P1000" s="31" t="n"/>
      <c r="Q1000" s="31" t="n"/>
      <c r="R1000" s="31" t="n"/>
      <c r="S1000" s="32">
        <f>IF($F1000="","",IF(IFERROR(VLOOKUP($F1000,'维度字典'!$M$2:$N$50,2,0),"求和")="手工录入","",IF(IFERROR(VLOOKUP($F1000,'维度字典'!$M$2:$N$50,2,0),"求和")="最新值",IFERROR(LOOKUP(9.99E+307,G1000:R1000),""),SUM(G1000:R1000))))</f>
        <v/>
      </c>
      <c r="T1000" s="33" t="n"/>
    </row>
    <row r="1001">
      <c r="A1001" s="26">
        <f>IF($B1001="","",ROW()-3)</f>
        <v/>
      </c>
      <c r="B1001" s="27" t="n"/>
      <c r="C1001" s="27" t="n"/>
      <c r="D1001" s="28" t="n"/>
      <c r="E1001" s="29" t="n"/>
      <c r="F1001" s="30" t="n"/>
      <c r="G1001" s="31" t="n"/>
      <c r="H1001" s="31" t="n"/>
      <c r="I1001" s="31" t="n"/>
      <c r="J1001" s="31" t="n"/>
      <c r="K1001" s="31" t="n"/>
      <c r="L1001" s="31" t="n"/>
      <c r="M1001" s="31" t="n"/>
      <c r="N1001" s="31" t="n"/>
      <c r="O1001" s="31" t="n"/>
      <c r="P1001" s="31" t="n"/>
      <c r="Q1001" s="31" t="n"/>
      <c r="R1001" s="31" t="n"/>
      <c r="S1001" s="32">
        <f>IF($F1001="","",IF(IFERROR(VLOOKUP($F1001,'维度字典'!$M$2:$N$50,2,0),"求和")="手工录入","",IF(IFERROR(VLOOKUP($F1001,'维度字典'!$M$2:$N$50,2,0),"求和")="最新值",IFERROR(LOOKUP(9.99E+307,G1001:R1001),""),SUM(G1001:R1001))))</f>
        <v/>
      </c>
      <c r="T1001" s="33" t="n"/>
    </row>
    <row r="1002">
      <c r="A1002" s="26">
        <f>IF($B1002="","",ROW()-3)</f>
        <v/>
      </c>
      <c r="B1002" s="27" t="n"/>
      <c r="C1002" s="27" t="n"/>
      <c r="D1002" s="28" t="n"/>
      <c r="E1002" s="29" t="n"/>
      <c r="F1002" s="30" t="n"/>
      <c r="G1002" s="31" t="n"/>
      <c r="H1002" s="31" t="n"/>
      <c r="I1002" s="31" t="n"/>
      <c r="J1002" s="31" t="n"/>
      <c r="K1002" s="31" t="n"/>
      <c r="L1002" s="31" t="n"/>
      <c r="M1002" s="31" t="n"/>
      <c r="N1002" s="31" t="n"/>
      <c r="O1002" s="31" t="n"/>
      <c r="P1002" s="31" t="n"/>
      <c r="Q1002" s="31" t="n"/>
      <c r="R1002" s="31" t="n"/>
      <c r="S1002" s="32">
        <f>IF($F1002="","",IF(IFERROR(VLOOKUP($F1002,'维度字典'!$M$2:$N$50,2,0),"求和")="手工录入","",IF(IFERROR(VLOOKUP($F1002,'维度字典'!$M$2:$N$50,2,0),"求和")="最新值",IFERROR(LOOKUP(9.99E+307,G1002:R1002),""),SUM(G1002:R1002))))</f>
        <v/>
      </c>
      <c r="T1002" s="33" t="n"/>
    </row>
    <row r="1003">
      <c r="A1003" s="26">
        <f>IF($B1003="","",ROW()-3)</f>
        <v/>
      </c>
      <c r="B1003" s="27" t="n"/>
      <c r="C1003" s="27" t="n"/>
      <c r="D1003" s="28" t="n"/>
      <c r="E1003" s="29" t="n"/>
      <c r="F1003" s="30" t="n"/>
      <c r="G1003" s="31" t="n"/>
      <c r="H1003" s="31" t="n"/>
      <c r="I1003" s="31" t="n"/>
      <c r="J1003" s="31" t="n"/>
      <c r="K1003" s="31" t="n"/>
      <c r="L1003" s="31" t="n"/>
      <c r="M1003" s="31" t="n"/>
      <c r="N1003" s="31" t="n"/>
      <c r="O1003" s="31" t="n"/>
      <c r="P1003" s="31" t="n"/>
      <c r="Q1003" s="31" t="n"/>
      <c r="R1003" s="31" t="n"/>
      <c r="S1003" s="32">
        <f>IF($F1003="","",IF(IFERROR(VLOOKUP($F1003,'维度字典'!$M$2:$N$50,2,0),"求和")="手工录入","",IF(IFERROR(VLOOKUP($F1003,'维度字典'!$M$2:$N$50,2,0),"求和")="最新值",IFERROR(LOOKUP(9.99E+307,G1003:R1003),""),SUM(G1003:R1003))))</f>
        <v/>
      </c>
      <c r="T1003" s="33" t="n"/>
    </row>
    <row r="1004">
      <c r="A1004" s="26">
        <f>IF($B1004="","",ROW()-3)</f>
        <v/>
      </c>
      <c r="B1004" s="27" t="n"/>
      <c r="C1004" s="27" t="n"/>
      <c r="D1004" s="28" t="n"/>
      <c r="E1004" s="29" t="n"/>
      <c r="F1004" s="30" t="n"/>
      <c r="G1004" s="31" t="n"/>
      <c r="H1004" s="31" t="n"/>
      <c r="I1004" s="31" t="n"/>
      <c r="J1004" s="31" t="n"/>
      <c r="K1004" s="31" t="n"/>
      <c r="L1004" s="31" t="n"/>
      <c r="M1004" s="31" t="n"/>
      <c r="N1004" s="31" t="n"/>
      <c r="O1004" s="31" t="n"/>
      <c r="P1004" s="31" t="n"/>
      <c r="Q1004" s="31" t="n"/>
      <c r="R1004" s="31" t="n"/>
      <c r="S1004" s="32">
        <f>IF($F1004="","",IF(IFERROR(VLOOKUP($F1004,'维度字典'!$M$2:$N$50,2,0),"求和")="手工录入","",IF(IFERROR(VLOOKUP($F1004,'维度字典'!$M$2:$N$50,2,0),"求和")="最新值",IFERROR(LOOKUP(9.99E+307,G1004:R1004),""),SUM(G1004:R1004))))</f>
        <v/>
      </c>
      <c r="T1004" s="33" t="n"/>
    </row>
    <row r="1005">
      <c r="A1005" s="26">
        <f>IF($B1005="","",ROW()-3)</f>
        <v/>
      </c>
      <c r="B1005" s="27" t="n"/>
      <c r="C1005" s="27" t="n"/>
      <c r="D1005" s="28" t="n"/>
      <c r="E1005" s="29" t="n"/>
      <c r="F1005" s="30" t="n"/>
      <c r="G1005" s="31" t="n"/>
      <c r="H1005" s="31" t="n"/>
      <c r="I1005" s="31" t="n"/>
      <c r="J1005" s="31" t="n"/>
      <c r="K1005" s="31" t="n"/>
      <c r="L1005" s="31" t="n"/>
      <c r="M1005" s="31" t="n"/>
      <c r="N1005" s="31" t="n"/>
      <c r="O1005" s="31" t="n"/>
      <c r="P1005" s="31" t="n"/>
      <c r="Q1005" s="31" t="n"/>
      <c r="R1005" s="31" t="n"/>
      <c r="S1005" s="32">
        <f>IF($F1005="","",IF(IFERROR(VLOOKUP($F1005,'维度字典'!$M$2:$N$50,2,0),"求和")="手工录入","",IF(IFERROR(VLOOKUP($F1005,'维度字典'!$M$2:$N$50,2,0),"求和")="最新值",IFERROR(LOOKUP(9.99E+307,G1005:R1005),""),SUM(G1005:R1005))))</f>
        <v/>
      </c>
      <c r="T1005" s="33" t="n"/>
    </row>
    <row r="1006">
      <c r="A1006" s="26">
        <f>IF($B1006="","",ROW()-3)</f>
        <v/>
      </c>
      <c r="B1006" s="27" t="n"/>
      <c r="C1006" s="27" t="n"/>
      <c r="D1006" s="28" t="n"/>
      <c r="E1006" s="29" t="n"/>
      <c r="F1006" s="30" t="n"/>
      <c r="G1006" s="31" t="n"/>
      <c r="H1006" s="31" t="n"/>
      <c r="I1006" s="31" t="n"/>
      <c r="J1006" s="31" t="n"/>
      <c r="K1006" s="31" t="n"/>
      <c r="L1006" s="31" t="n"/>
      <c r="M1006" s="31" t="n"/>
      <c r="N1006" s="31" t="n"/>
      <c r="O1006" s="31" t="n"/>
      <c r="P1006" s="31" t="n"/>
      <c r="Q1006" s="31" t="n"/>
      <c r="R1006" s="31" t="n"/>
      <c r="S1006" s="32">
        <f>IF($F1006="","",IF(IFERROR(VLOOKUP($F1006,'维度字典'!$M$2:$N$50,2,0),"求和")="手工录入","",IF(IFERROR(VLOOKUP($F1006,'维度字典'!$M$2:$N$50,2,0),"求和")="最新值",IFERROR(LOOKUP(9.99E+307,G1006:R1006),""),SUM(G1006:R1006))))</f>
        <v/>
      </c>
      <c r="T1006" s="33" t="n"/>
    </row>
    <row r="1007">
      <c r="A1007" s="26">
        <f>IF($B1007="","",ROW()-3)</f>
        <v/>
      </c>
      <c r="B1007" s="27" t="n"/>
      <c r="C1007" s="27" t="n"/>
      <c r="D1007" s="28" t="n"/>
      <c r="E1007" s="29" t="n"/>
      <c r="F1007" s="30" t="n"/>
      <c r="G1007" s="31" t="n"/>
      <c r="H1007" s="31" t="n"/>
      <c r="I1007" s="31" t="n"/>
      <c r="J1007" s="31" t="n"/>
      <c r="K1007" s="31" t="n"/>
      <c r="L1007" s="31" t="n"/>
      <c r="M1007" s="31" t="n"/>
      <c r="N1007" s="31" t="n"/>
      <c r="O1007" s="31" t="n"/>
      <c r="P1007" s="31" t="n"/>
      <c r="Q1007" s="31" t="n"/>
      <c r="R1007" s="31" t="n"/>
      <c r="S1007" s="32">
        <f>IF($F1007="","",IF(IFERROR(VLOOKUP($F1007,'维度字典'!$M$2:$N$50,2,0),"求和")="手工录入","",IF(IFERROR(VLOOKUP($F1007,'维度字典'!$M$2:$N$50,2,0),"求和")="最新值",IFERROR(LOOKUP(9.99E+307,G1007:R1007),""),SUM(G1007:R1007))))</f>
        <v/>
      </c>
      <c r="T1007" s="33" t="n"/>
    </row>
    <row r="1008">
      <c r="A1008" s="26">
        <f>IF($B1008="","",ROW()-3)</f>
        <v/>
      </c>
      <c r="B1008" s="27" t="n"/>
      <c r="C1008" s="27" t="n"/>
      <c r="D1008" s="28" t="n"/>
      <c r="E1008" s="29" t="n"/>
      <c r="F1008" s="30" t="n"/>
      <c r="G1008" s="31" t="n"/>
      <c r="H1008" s="31" t="n"/>
      <c r="I1008" s="31" t="n"/>
      <c r="J1008" s="31" t="n"/>
      <c r="K1008" s="31" t="n"/>
      <c r="L1008" s="31" t="n"/>
      <c r="M1008" s="31" t="n"/>
      <c r="N1008" s="31" t="n"/>
      <c r="O1008" s="31" t="n"/>
      <c r="P1008" s="31" t="n"/>
      <c r="Q1008" s="31" t="n"/>
      <c r="R1008" s="31" t="n"/>
      <c r="S1008" s="32">
        <f>IF($F1008="","",IF(IFERROR(VLOOKUP($F1008,'维度字典'!$M$2:$N$50,2,0),"求和")="手工录入","",IF(IFERROR(VLOOKUP($F1008,'维度字典'!$M$2:$N$50,2,0),"求和")="最新值",IFERROR(LOOKUP(9.99E+307,G1008:R1008),""),SUM(G1008:R1008))))</f>
        <v/>
      </c>
      <c r="T1008" s="33" t="n"/>
    </row>
    <row r="1009">
      <c r="A1009" s="26">
        <f>IF($B1009="","",ROW()-3)</f>
        <v/>
      </c>
      <c r="B1009" s="27" t="n"/>
      <c r="C1009" s="27" t="n"/>
      <c r="D1009" s="28" t="n"/>
      <c r="E1009" s="29" t="n"/>
      <c r="F1009" s="30" t="n"/>
      <c r="G1009" s="31" t="n"/>
      <c r="H1009" s="31" t="n"/>
      <c r="I1009" s="31" t="n"/>
      <c r="J1009" s="31" t="n"/>
      <c r="K1009" s="31" t="n"/>
      <c r="L1009" s="31" t="n"/>
      <c r="M1009" s="31" t="n"/>
      <c r="N1009" s="31" t="n"/>
      <c r="O1009" s="31" t="n"/>
      <c r="P1009" s="31" t="n"/>
      <c r="Q1009" s="31" t="n"/>
      <c r="R1009" s="31" t="n"/>
      <c r="S1009" s="32">
        <f>IF($F1009="","",IF(IFERROR(VLOOKUP($F1009,'维度字典'!$M$2:$N$50,2,0),"求和")="手工录入","",IF(IFERROR(VLOOKUP($F1009,'维度字典'!$M$2:$N$50,2,0),"求和")="最新值",IFERROR(LOOKUP(9.99E+307,G1009:R1009),""),SUM(G1009:R1009))))</f>
        <v/>
      </c>
      <c r="T1009" s="33" t="n"/>
    </row>
    <row r="1010">
      <c r="A1010" s="26">
        <f>IF($B1010="","",ROW()-3)</f>
        <v/>
      </c>
      <c r="B1010" s="27" t="n"/>
      <c r="C1010" s="27" t="n"/>
      <c r="D1010" s="28" t="n"/>
      <c r="E1010" s="29" t="n"/>
      <c r="F1010" s="30" t="n"/>
      <c r="G1010" s="31" t="n"/>
      <c r="H1010" s="31" t="n"/>
      <c r="I1010" s="31" t="n"/>
      <c r="J1010" s="31" t="n"/>
      <c r="K1010" s="31" t="n"/>
      <c r="L1010" s="31" t="n"/>
      <c r="M1010" s="31" t="n"/>
      <c r="N1010" s="31" t="n"/>
      <c r="O1010" s="31" t="n"/>
      <c r="P1010" s="31" t="n"/>
      <c r="Q1010" s="31" t="n"/>
      <c r="R1010" s="31" t="n"/>
      <c r="S1010" s="32">
        <f>IF($F1010="","",IF(IFERROR(VLOOKUP($F1010,'维度字典'!$M$2:$N$50,2,0),"求和")="手工录入","",IF(IFERROR(VLOOKUP($F1010,'维度字典'!$M$2:$N$50,2,0),"求和")="最新值",IFERROR(LOOKUP(9.99E+307,G1010:R1010),""),SUM(G1010:R1010))))</f>
        <v/>
      </c>
      <c r="T1010" s="33" t="n"/>
    </row>
    <row r="1011">
      <c r="A1011" s="26">
        <f>IF($B1011="","",ROW()-3)</f>
        <v/>
      </c>
      <c r="B1011" s="27" t="n"/>
      <c r="C1011" s="27" t="n"/>
      <c r="D1011" s="28" t="n"/>
      <c r="E1011" s="29" t="n"/>
      <c r="F1011" s="30" t="n"/>
      <c r="G1011" s="31" t="n"/>
      <c r="H1011" s="31" t="n"/>
      <c r="I1011" s="31" t="n"/>
      <c r="J1011" s="31" t="n"/>
      <c r="K1011" s="31" t="n"/>
      <c r="L1011" s="31" t="n"/>
      <c r="M1011" s="31" t="n"/>
      <c r="N1011" s="31" t="n"/>
      <c r="O1011" s="31" t="n"/>
      <c r="P1011" s="31" t="n"/>
      <c r="Q1011" s="31" t="n"/>
      <c r="R1011" s="31" t="n"/>
      <c r="S1011" s="32">
        <f>IF($F1011="","",IF(IFERROR(VLOOKUP($F1011,'维度字典'!$M$2:$N$50,2,0),"求和")="手工录入","",IF(IFERROR(VLOOKUP($F1011,'维度字典'!$M$2:$N$50,2,0),"求和")="最新值",IFERROR(LOOKUP(9.99E+307,G1011:R1011),""),SUM(G1011:R1011))))</f>
        <v/>
      </c>
      <c r="T1011" s="33" t="n"/>
    </row>
    <row r="1012">
      <c r="A1012" s="26">
        <f>IF($B1012="","",ROW()-3)</f>
        <v/>
      </c>
      <c r="B1012" s="27" t="n"/>
      <c r="C1012" s="27" t="n"/>
      <c r="D1012" s="28" t="n"/>
      <c r="E1012" s="29" t="n"/>
      <c r="F1012" s="30" t="n"/>
      <c r="G1012" s="31" t="n"/>
      <c r="H1012" s="31" t="n"/>
      <c r="I1012" s="31" t="n"/>
      <c r="J1012" s="31" t="n"/>
      <c r="K1012" s="31" t="n"/>
      <c r="L1012" s="31" t="n"/>
      <c r="M1012" s="31" t="n"/>
      <c r="N1012" s="31" t="n"/>
      <c r="O1012" s="31" t="n"/>
      <c r="P1012" s="31" t="n"/>
      <c r="Q1012" s="31" t="n"/>
      <c r="R1012" s="31" t="n"/>
      <c r="S1012" s="32">
        <f>IF($F1012="","",IF(IFERROR(VLOOKUP($F1012,'维度字典'!$M$2:$N$50,2,0),"求和")="手工录入","",IF(IFERROR(VLOOKUP($F1012,'维度字典'!$M$2:$N$50,2,0),"求和")="最新值",IFERROR(LOOKUP(9.99E+307,G1012:R1012),""),SUM(G1012:R1012))))</f>
        <v/>
      </c>
      <c r="T1012" s="33" t="n"/>
    </row>
    <row r="1013">
      <c r="A1013" s="26">
        <f>IF($B1013="","",ROW()-3)</f>
        <v/>
      </c>
      <c r="B1013" s="27" t="n"/>
      <c r="C1013" s="27" t="n"/>
      <c r="D1013" s="28" t="n"/>
      <c r="E1013" s="29" t="n"/>
      <c r="F1013" s="30" t="n"/>
      <c r="G1013" s="31" t="n"/>
      <c r="H1013" s="31" t="n"/>
      <c r="I1013" s="31" t="n"/>
      <c r="J1013" s="31" t="n"/>
      <c r="K1013" s="31" t="n"/>
      <c r="L1013" s="31" t="n"/>
      <c r="M1013" s="31" t="n"/>
      <c r="N1013" s="31" t="n"/>
      <c r="O1013" s="31" t="n"/>
      <c r="P1013" s="31" t="n"/>
      <c r="Q1013" s="31" t="n"/>
      <c r="R1013" s="31" t="n"/>
      <c r="S1013" s="32">
        <f>IF($F1013="","",IF(IFERROR(VLOOKUP($F1013,'维度字典'!$M$2:$N$50,2,0),"求和")="手工录入","",IF(IFERROR(VLOOKUP($F1013,'维度字典'!$M$2:$N$50,2,0),"求和")="最新值",IFERROR(LOOKUP(9.99E+307,G1013:R1013),""),SUM(G1013:R1013))))</f>
        <v/>
      </c>
      <c r="T1013" s="33" t="n"/>
    </row>
    <row r="1014">
      <c r="A1014" s="26">
        <f>IF($B1014="","",ROW()-3)</f>
        <v/>
      </c>
      <c r="B1014" s="27" t="n"/>
      <c r="C1014" s="27" t="n"/>
      <c r="D1014" s="28" t="n"/>
      <c r="E1014" s="29" t="n"/>
      <c r="F1014" s="30" t="n"/>
      <c r="G1014" s="31" t="n"/>
      <c r="H1014" s="31" t="n"/>
      <c r="I1014" s="31" t="n"/>
      <c r="J1014" s="31" t="n"/>
      <c r="K1014" s="31" t="n"/>
      <c r="L1014" s="31" t="n"/>
      <c r="M1014" s="31" t="n"/>
      <c r="N1014" s="31" t="n"/>
      <c r="O1014" s="31" t="n"/>
      <c r="P1014" s="31" t="n"/>
      <c r="Q1014" s="31" t="n"/>
      <c r="R1014" s="31" t="n"/>
      <c r="S1014" s="32">
        <f>IF($F1014="","",IF(IFERROR(VLOOKUP($F1014,'维度字典'!$M$2:$N$50,2,0),"求和")="手工录入","",IF(IFERROR(VLOOKUP($F1014,'维度字典'!$M$2:$N$50,2,0),"求和")="最新值",IFERROR(LOOKUP(9.99E+307,G1014:R1014),""),SUM(G1014:R1014))))</f>
        <v/>
      </c>
      <c r="T1014" s="33" t="n"/>
    </row>
    <row r="1015">
      <c r="A1015" s="26">
        <f>IF($B1015="","",ROW()-3)</f>
        <v/>
      </c>
      <c r="B1015" s="27" t="n"/>
      <c r="C1015" s="27" t="n"/>
      <c r="D1015" s="28" t="n"/>
      <c r="E1015" s="29" t="n"/>
      <c r="F1015" s="30" t="n"/>
      <c r="G1015" s="31" t="n"/>
      <c r="H1015" s="31" t="n"/>
      <c r="I1015" s="31" t="n"/>
      <c r="J1015" s="31" t="n"/>
      <c r="K1015" s="31" t="n"/>
      <c r="L1015" s="31" t="n"/>
      <c r="M1015" s="31" t="n"/>
      <c r="N1015" s="31" t="n"/>
      <c r="O1015" s="31" t="n"/>
      <c r="P1015" s="31" t="n"/>
      <c r="Q1015" s="31" t="n"/>
      <c r="R1015" s="31" t="n"/>
      <c r="S1015" s="32">
        <f>IF($F1015="","",IF(IFERROR(VLOOKUP($F1015,'维度字典'!$M$2:$N$50,2,0),"求和")="手工录入","",IF(IFERROR(VLOOKUP($F1015,'维度字典'!$M$2:$N$50,2,0),"求和")="最新值",IFERROR(LOOKUP(9.99E+307,G1015:R1015),""),SUM(G1015:R1015))))</f>
        <v/>
      </c>
      <c r="T1015" s="33" t="n"/>
    </row>
    <row r="1016">
      <c r="A1016" s="26">
        <f>IF($B1016="","",ROW()-3)</f>
        <v/>
      </c>
      <c r="B1016" s="27" t="n"/>
      <c r="C1016" s="27" t="n"/>
      <c r="D1016" s="28" t="n"/>
      <c r="E1016" s="29" t="n"/>
      <c r="F1016" s="30" t="n"/>
      <c r="G1016" s="31" t="n"/>
      <c r="H1016" s="31" t="n"/>
      <c r="I1016" s="31" t="n"/>
      <c r="J1016" s="31" t="n"/>
      <c r="K1016" s="31" t="n"/>
      <c r="L1016" s="31" t="n"/>
      <c r="M1016" s="31" t="n"/>
      <c r="N1016" s="31" t="n"/>
      <c r="O1016" s="31" t="n"/>
      <c r="P1016" s="31" t="n"/>
      <c r="Q1016" s="31" t="n"/>
      <c r="R1016" s="31" t="n"/>
      <c r="S1016" s="32">
        <f>IF($F1016="","",IF(IFERROR(VLOOKUP($F1016,'维度字典'!$M$2:$N$50,2,0),"求和")="手工录入","",IF(IFERROR(VLOOKUP($F1016,'维度字典'!$M$2:$N$50,2,0),"求和")="最新值",IFERROR(LOOKUP(9.99E+307,G1016:R1016),""),SUM(G1016:R1016))))</f>
        <v/>
      </c>
      <c r="T1016" s="33" t="n"/>
    </row>
    <row r="1017">
      <c r="A1017" s="26">
        <f>IF($B1017="","",ROW()-3)</f>
        <v/>
      </c>
      <c r="B1017" s="27" t="n"/>
      <c r="C1017" s="27" t="n"/>
      <c r="D1017" s="28" t="n"/>
      <c r="E1017" s="29" t="n"/>
      <c r="F1017" s="30" t="n"/>
      <c r="G1017" s="31" t="n"/>
      <c r="H1017" s="31" t="n"/>
      <c r="I1017" s="31" t="n"/>
      <c r="J1017" s="31" t="n"/>
      <c r="K1017" s="31" t="n"/>
      <c r="L1017" s="31" t="n"/>
      <c r="M1017" s="31" t="n"/>
      <c r="N1017" s="31" t="n"/>
      <c r="O1017" s="31" t="n"/>
      <c r="P1017" s="31" t="n"/>
      <c r="Q1017" s="31" t="n"/>
      <c r="R1017" s="31" t="n"/>
      <c r="S1017" s="32">
        <f>IF($F1017="","",IF(IFERROR(VLOOKUP($F1017,'维度字典'!$M$2:$N$50,2,0),"求和")="手工录入","",IF(IFERROR(VLOOKUP($F1017,'维度字典'!$M$2:$N$50,2,0),"求和")="最新值",IFERROR(LOOKUP(9.99E+307,G1017:R1017),""),SUM(G1017:R1017))))</f>
        <v/>
      </c>
      <c r="T1017" s="33" t="n"/>
    </row>
    <row r="1018">
      <c r="A1018" s="26">
        <f>IF($B1018="","",ROW()-3)</f>
        <v/>
      </c>
      <c r="B1018" s="27" t="n"/>
      <c r="C1018" s="27" t="n"/>
      <c r="D1018" s="28" t="n"/>
      <c r="E1018" s="29" t="n"/>
      <c r="F1018" s="30" t="n"/>
      <c r="G1018" s="31" t="n"/>
      <c r="H1018" s="31" t="n"/>
      <c r="I1018" s="31" t="n"/>
      <c r="J1018" s="31" t="n"/>
      <c r="K1018" s="31" t="n"/>
      <c r="L1018" s="31" t="n"/>
      <c r="M1018" s="31" t="n"/>
      <c r="N1018" s="31" t="n"/>
      <c r="O1018" s="31" t="n"/>
      <c r="P1018" s="31" t="n"/>
      <c r="Q1018" s="31" t="n"/>
      <c r="R1018" s="31" t="n"/>
      <c r="S1018" s="32">
        <f>IF($F1018="","",IF(IFERROR(VLOOKUP($F1018,'维度字典'!$M$2:$N$50,2,0),"求和")="手工录入","",IF(IFERROR(VLOOKUP($F1018,'维度字典'!$M$2:$N$50,2,0),"求和")="最新值",IFERROR(LOOKUP(9.99E+307,G1018:R1018),""),SUM(G1018:R1018))))</f>
        <v/>
      </c>
      <c r="T1018" s="33" t="n"/>
    </row>
    <row r="1019">
      <c r="A1019" s="26">
        <f>IF($B1019="","",ROW()-3)</f>
        <v/>
      </c>
      <c r="B1019" s="27" t="n"/>
      <c r="C1019" s="27" t="n"/>
      <c r="D1019" s="28" t="n"/>
      <c r="E1019" s="29" t="n"/>
      <c r="F1019" s="30" t="n"/>
      <c r="G1019" s="31" t="n"/>
      <c r="H1019" s="31" t="n"/>
      <c r="I1019" s="31" t="n"/>
      <c r="J1019" s="31" t="n"/>
      <c r="K1019" s="31" t="n"/>
      <c r="L1019" s="31" t="n"/>
      <c r="M1019" s="31" t="n"/>
      <c r="N1019" s="31" t="n"/>
      <c r="O1019" s="31" t="n"/>
      <c r="P1019" s="31" t="n"/>
      <c r="Q1019" s="31" t="n"/>
      <c r="R1019" s="31" t="n"/>
      <c r="S1019" s="32">
        <f>IF($F1019="","",IF(IFERROR(VLOOKUP($F1019,'维度字典'!$M$2:$N$50,2,0),"求和")="手工录入","",IF(IFERROR(VLOOKUP($F1019,'维度字典'!$M$2:$N$50,2,0),"求和")="最新值",IFERROR(LOOKUP(9.99E+307,G1019:R1019),""),SUM(G1019:R1019))))</f>
        <v/>
      </c>
      <c r="T1019" s="33" t="n"/>
    </row>
    <row r="1020">
      <c r="A1020" s="26">
        <f>IF($B1020="","",ROW()-3)</f>
        <v/>
      </c>
      <c r="B1020" s="27" t="n"/>
      <c r="C1020" s="27" t="n"/>
      <c r="D1020" s="28" t="n"/>
      <c r="E1020" s="29" t="n"/>
      <c r="F1020" s="30" t="n"/>
      <c r="G1020" s="31" t="n"/>
      <c r="H1020" s="31" t="n"/>
      <c r="I1020" s="31" t="n"/>
      <c r="J1020" s="31" t="n"/>
      <c r="K1020" s="31" t="n"/>
      <c r="L1020" s="31" t="n"/>
      <c r="M1020" s="31" t="n"/>
      <c r="N1020" s="31" t="n"/>
      <c r="O1020" s="31" t="n"/>
      <c r="P1020" s="31" t="n"/>
      <c r="Q1020" s="31" t="n"/>
      <c r="R1020" s="31" t="n"/>
      <c r="S1020" s="32">
        <f>IF($F1020="","",IF(IFERROR(VLOOKUP($F1020,'维度字典'!$M$2:$N$50,2,0),"求和")="手工录入","",IF(IFERROR(VLOOKUP($F1020,'维度字典'!$M$2:$N$50,2,0),"求和")="最新值",IFERROR(LOOKUP(9.99E+307,G1020:R1020),""),SUM(G1020:R1020))))</f>
        <v/>
      </c>
      <c r="T1020" s="33" t="n"/>
    </row>
    <row r="1021">
      <c r="A1021" s="26">
        <f>IF($B1021="","",ROW()-3)</f>
        <v/>
      </c>
      <c r="B1021" s="27" t="n"/>
      <c r="C1021" s="27" t="n"/>
      <c r="D1021" s="28" t="n"/>
      <c r="E1021" s="29" t="n"/>
      <c r="F1021" s="30" t="n"/>
      <c r="G1021" s="31" t="n"/>
      <c r="H1021" s="31" t="n"/>
      <c r="I1021" s="31" t="n"/>
      <c r="J1021" s="31" t="n"/>
      <c r="K1021" s="31" t="n"/>
      <c r="L1021" s="31" t="n"/>
      <c r="M1021" s="31" t="n"/>
      <c r="N1021" s="31" t="n"/>
      <c r="O1021" s="31" t="n"/>
      <c r="P1021" s="31" t="n"/>
      <c r="Q1021" s="31" t="n"/>
      <c r="R1021" s="31" t="n"/>
      <c r="S1021" s="32">
        <f>IF($F1021="","",IF(IFERROR(VLOOKUP($F1021,'维度字典'!$M$2:$N$50,2,0),"求和")="手工录入","",IF(IFERROR(VLOOKUP($F1021,'维度字典'!$M$2:$N$50,2,0),"求和")="最新值",IFERROR(LOOKUP(9.99E+307,G1021:R1021),""),SUM(G1021:R1021))))</f>
        <v/>
      </c>
      <c r="T1021" s="33" t="n"/>
    </row>
    <row r="1022">
      <c r="A1022" s="26">
        <f>IF($B1022="","",ROW()-3)</f>
        <v/>
      </c>
      <c r="B1022" s="27" t="n"/>
      <c r="C1022" s="27" t="n"/>
      <c r="D1022" s="28" t="n"/>
      <c r="E1022" s="29" t="n"/>
      <c r="F1022" s="30" t="n"/>
      <c r="G1022" s="31" t="n"/>
      <c r="H1022" s="31" t="n"/>
      <c r="I1022" s="31" t="n"/>
      <c r="J1022" s="31" t="n"/>
      <c r="K1022" s="31" t="n"/>
      <c r="L1022" s="31" t="n"/>
      <c r="M1022" s="31" t="n"/>
      <c r="N1022" s="31" t="n"/>
      <c r="O1022" s="31" t="n"/>
      <c r="P1022" s="31" t="n"/>
      <c r="Q1022" s="31" t="n"/>
      <c r="R1022" s="31" t="n"/>
      <c r="S1022" s="32">
        <f>IF($F1022="","",IF(IFERROR(VLOOKUP($F1022,'维度字典'!$M$2:$N$50,2,0),"求和")="手工录入","",IF(IFERROR(VLOOKUP($F1022,'维度字典'!$M$2:$N$50,2,0),"求和")="最新值",IFERROR(LOOKUP(9.99E+307,G1022:R1022),""),SUM(G1022:R1022))))</f>
        <v/>
      </c>
      <c r="T1022" s="33" t="n"/>
    </row>
    <row r="1023">
      <c r="A1023" s="26">
        <f>IF($B1023="","",ROW()-3)</f>
        <v/>
      </c>
      <c r="B1023" s="27" t="n"/>
      <c r="C1023" s="27" t="n"/>
      <c r="D1023" s="28" t="n"/>
      <c r="E1023" s="29" t="n"/>
      <c r="F1023" s="30" t="n"/>
      <c r="G1023" s="31" t="n"/>
      <c r="H1023" s="31" t="n"/>
      <c r="I1023" s="31" t="n"/>
      <c r="J1023" s="31" t="n"/>
      <c r="K1023" s="31" t="n"/>
      <c r="L1023" s="31" t="n"/>
      <c r="M1023" s="31" t="n"/>
      <c r="N1023" s="31" t="n"/>
      <c r="O1023" s="31" t="n"/>
      <c r="P1023" s="31" t="n"/>
      <c r="Q1023" s="31" t="n"/>
      <c r="R1023" s="31" t="n"/>
      <c r="S1023" s="32">
        <f>IF($F1023="","",IF(IFERROR(VLOOKUP($F1023,'维度字典'!$M$2:$N$50,2,0),"求和")="手工录入","",IF(IFERROR(VLOOKUP($F1023,'维度字典'!$M$2:$N$50,2,0),"求和")="最新值",IFERROR(LOOKUP(9.99E+307,G1023:R1023),""),SUM(G1023:R1023))))</f>
        <v/>
      </c>
      <c r="T1023" s="33" t="n"/>
    </row>
    <row r="1024">
      <c r="A1024" s="26">
        <f>IF($B1024="","",ROW()-3)</f>
        <v/>
      </c>
      <c r="B1024" s="27" t="n"/>
      <c r="C1024" s="27" t="n"/>
      <c r="D1024" s="28" t="n"/>
      <c r="E1024" s="29" t="n"/>
      <c r="F1024" s="30" t="n"/>
      <c r="G1024" s="31" t="n"/>
      <c r="H1024" s="31" t="n"/>
      <c r="I1024" s="31" t="n"/>
      <c r="J1024" s="31" t="n"/>
      <c r="K1024" s="31" t="n"/>
      <c r="L1024" s="31" t="n"/>
      <c r="M1024" s="31" t="n"/>
      <c r="N1024" s="31" t="n"/>
      <c r="O1024" s="31" t="n"/>
      <c r="P1024" s="31" t="n"/>
      <c r="Q1024" s="31" t="n"/>
      <c r="R1024" s="31" t="n"/>
      <c r="S1024" s="32">
        <f>IF($F1024="","",IF(IFERROR(VLOOKUP($F1024,'维度字典'!$M$2:$N$50,2,0),"求和")="手工录入","",IF(IFERROR(VLOOKUP($F1024,'维度字典'!$M$2:$N$50,2,0),"求和")="最新值",IFERROR(LOOKUP(9.99E+307,G1024:R1024),""),SUM(G1024:R1024))))</f>
        <v/>
      </c>
      <c r="T1024" s="33" t="n"/>
    </row>
    <row r="1025">
      <c r="A1025" s="26">
        <f>IF($B1025="","",ROW()-3)</f>
        <v/>
      </c>
      <c r="B1025" s="27" t="n"/>
      <c r="C1025" s="27" t="n"/>
      <c r="D1025" s="28" t="n"/>
      <c r="E1025" s="29" t="n"/>
      <c r="F1025" s="30" t="n"/>
      <c r="G1025" s="31" t="n"/>
      <c r="H1025" s="31" t="n"/>
      <c r="I1025" s="31" t="n"/>
      <c r="J1025" s="31" t="n"/>
      <c r="K1025" s="31" t="n"/>
      <c r="L1025" s="31" t="n"/>
      <c r="M1025" s="31" t="n"/>
      <c r="N1025" s="31" t="n"/>
      <c r="O1025" s="31" t="n"/>
      <c r="P1025" s="31" t="n"/>
      <c r="Q1025" s="31" t="n"/>
      <c r="R1025" s="31" t="n"/>
      <c r="S1025" s="32">
        <f>IF($F1025="","",IF(IFERROR(VLOOKUP($F1025,'维度字典'!$M$2:$N$50,2,0),"求和")="手工录入","",IF(IFERROR(VLOOKUP($F1025,'维度字典'!$M$2:$N$50,2,0),"求和")="最新值",IFERROR(LOOKUP(9.99E+307,G1025:R1025),""),SUM(G1025:R1025))))</f>
        <v/>
      </c>
      <c r="T1025" s="33" t="n"/>
    </row>
    <row r="1026">
      <c r="A1026" s="26">
        <f>IF($B1026="","",ROW()-3)</f>
        <v/>
      </c>
      <c r="B1026" s="27" t="n"/>
      <c r="C1026" s="27" t="n"/>
      <c r="D1026" s="28" t="n"/>
      <c r="E1026" s="29" t="n"/>
      <c r="F1026" s="30" t="n"/>
      <c r="G1026" s="31" t="n"/>
      <c r="H1026" s="31" t="n"/>
      <c r="I1026" s="31" t="n"/>
      <c r="J1026" s="31" t="n"/>
      <c r="K1026" s="31" t="n"/>
      <c r="L1026" s="31" t="n"/>
      <c r="M1026" s="31" t="n"/>
      <c r="N1026" s="31" t="n"/>
      <c r="O1026" s="31" t="n"/>
      <c r="P1026" s="31" t="n"/>
      <c r="Q1026" s="31" t="n"/>
      <c r="R1026" s="31" t="n"/>
      <c r="S1026" s="32">
        <f>IF($F1026="","",IF(IFERROR(VLOOKUP($F1026,'维度字典'!$M$2:$N$50,2,0),"求和")="手工录入","",IF(IFERROR(VLOOKUP($F1026,'维度字典'!$M$2:$N$50,2,0),"求和")="最新值",IFERROR(LOOKUP(9.99E+307,G1026:R1026),""),SUM(G1026:R1026))))</f>
        <v/>
      </c>
      <c r="T1026" s="33" t="n"/>
    </row>
    <row r="1027">
      <c r="A1027" s="26">
        <f>IF($B1027="","",ROW()-3)</f>
        <v/>
      </c>
      <c r="B1027" s="27" t="n"/>
      <c r="C1027" s="27" t="n"/>
      <c r="D1027" s="28" t="n"/>
      <c r="E1027" s="29" t="n"/>
      <c r="F1027" s="30" t="n"/>
      <c r="G1027" s="31" t="n"/>
      <c r="H1027" s="31" t="n"/>
      <c r="I1027" s="31" t="n"/>
      <c r="J1027" s="31" t="n"/>
      <c r="K1027" s="31" t="n"/>
      <c r="L1027" s="31" t="n"/>
      <c r="M1027" s="31" t="n"/>
      <c r="N1027" s="31" t="n"/>
      <c r="O1027" s="31" t="n"/>
      <c r="P1027" s="31" t="n"/>
      <c r="Q1027" s="31" t="n"/>
      <c r="R1027" s="31" t="n"/>
      <c r="S1027" s="32">
        <f>IF($F1027="","",IF(IFERROR(VLOOKUP($F1027,'维度字典'!$M$2:$N$50,2,0),"求和")="手工录入","",IF(IFERROR(VLOOKUP($F1027,'维度字典'!$M$2:$N$50,2,0),"求和")="最新值",IFERROR(LOOKUP(9.99E+307,G1027:R1027),""),SUM(G1027:R1027))))</f>
        <v/>
      </c>
      <c r="T1027" s="33" t="n"/>
    </row>
    <row r="1028">
      <c r="A1028" s="26">
        <f>IF($B1028="","",ROW()-3)</f>
        <v/>
      </c>
      <c r="B1028" s="27" t="n"/>
      <c r="C1028" s="27" t="n"/>
      <c r="D1028" s="28" t="n"/>
      <c r="E1028" s="29" t="n"/>
      <c r="F1028" s="30" t="n"/>
      <c r="G1028" s="31" t="n"/>
      <c r="H1028" s="31" t="n"/>
      <c r="I1028" s="31" t="n"/>
      <c r="J1028" s="31" t="n"/>
      <c r="K1028" s="31" t="n"/>
      <c r="L1028" s="31" t="n"/>
      <c r="M1028" s="31" t="n"/>
      <c r="N1028" s="31" t="n"/>
      <c r="O1028" s="31" t="n"/>
      <c r="P1028" s="31" t="n"/>
      <c r="Q1028" s="31" t="n"/>
      <c r="R1028" s="31" t="n"/>
      <c r="S1028" s="32">
        <f>IF($F1028="","",IF(IFERROR(VLOOKUP($F1028,'维度字典'!$M$2:$N$50,2,0),"求和")="手工录入","",IF(IFERROR(VLOOKUP($F1028,'维度字典'!$M$2:$N$50,2,0),"求和")="最新值",IFERROR(LOOKUP(9.99E+307,G1028:R1028),""),SUM(G1028:R1028))))</f>
        <v/>
      </c>
      <c r="T1028" s="33" t="n"/>
    </row>
    <row r="1029">
      <c r="A1029" s="26">
        <f>IF($B1029="","",ROW()-3)</f>
        <v/>
      </c>
      <c r="B1029" s="27" t="n"/>
      <c r="C1029" s="27" t="n"/>
      <c r="D1029" s="28" t="n"/>
      <c r="E1029" s="29" t="n"/>
      <c r="F1029" s="30" t="n"/>
      <c r="G1029" s="31" t="n"/>
      <c r="H1029" s="31" t="n"/>
      <c r="I1029" s="31" t="n"/>
      <c r="J1029" s="31" t="n"/>
      <c r="K1029" s="31" t="n"/>
      <c r="L1029" s="31" t="n"/>
      <c r="M1029" s="31" t="n"/>
      <c r="N1029" s="31" t="n"/>
      <c r="O1029" s="31" t="n"/>
      <c r="P1029" s="31" t="n"/>
      <c r="Q1029" s="31" t="n"/>
      <c r="R1029" s="31" t="n"/>
      <c r="S1029" s="32">
        <f>IF($F1029="","",IF(IFERROR(VLOOKUP($F1029,'维度字典'!$M$2:$N$50,2,0),"求和")="手工录入","",IF(IFERROR(VLOOKUP($F1029,'维度字典'!$M$2:$N$50,2,0),"求和")="最新值",IFERROR(LOOKUP(9.99E+307,G1029:R1029),""),SUM(G1029:R1029))))</f>
        <v/>
      </c>
      <c r="T1029" s="33" t="n"/>
    </row>
    <row r="1030">
      <c r="A1030" s="26">
        <f>IF($B1030="","",ROW()-3)</f>
        <v/>
      </c>
      <c r="B1030" s="27" t="n"/>
      <c r="C1030" s="27" t="n"/>
      <c r="D1030" s="28" t="n"/>
      <c r="E1030" s="29" t="n"/>
      <c r="F1030" s="30" t="n"/>
      <c r="G1030" s="31" t="n"/>
      <c r="H1030" s="31" t="n"/>
      <c r="I1030" s="31" t="n"/>
      <c r="J1030" s="31" t="n"/>
      <c r="K1030" s="31" t="n"/>
      <c r="L1030" s="31" t="n"/>
      <c r="M1030" s="31" t="n"/>
      <c r="N1030" s="31" t="n"/>
      <c r="O1030" s="31" t="n"/>
      <c r="P1030" s="31" t="n"/>
      <c r="Q1030" s="31" t="n"/>
      <c r="R1030" s="31" t="n"/>
      <c r="S1030" s="32">
        <f>IF($F1030="","",IF(IFERROR(VLOOKUP($F1030,'维度字典'!$M$2:$N$50,2,0),"求和")="手工录入","",IF(IFERROR(VLOOKUP($F1030,'维度字典'!$M$2:$N$50,2,0),"求和")="最新值",IFERROR(LOOKUP(9.99E+307,G1030:R1030),""),SUM(G1030:R1030))))</f>
        <v/>
      </c>
      <c r="T1030" s="33" t="n"/>
    </row>
    <row r="1031">
      <c r="A1031" s="26">
        <f>IF($B1031="","",ROW()-3)</f>
        <v/>
      </c>
      <c r="B1031" s="27" t="n"/>
      <c r="C1031" s="27" t="n"/>
      <c r="D1031" s="28" t="n"/>
      <c r="E1031" s="29" t="n"/>
      <c r="F1031" s="30" t="n"/>
      <c r="G1031" s="31" t="n"/>
      <c r="H1031" s="31" t="n"/>
      <c r="I1031" s="31" t="n"/>
      <c r="J1031" s="31" t="n"/>
      <c r="K1031" s="31" t="n"/>
      <c r="L1031" s="31" t="n"/>
      <c r="M1031" s="31" t="n"/>
      <c r="N1031" s="31" t="n"/>
      <c r="O1031" s="31" t="n"/>
      <c r="P1031" s="31" t="n"/>
      <c r="Q1031" s="31" t="n"/>
      <c r="R1031" s="31" t="n"/>
      <c r="S1031" s="32">
        <f>IF($F1031="","",IF(IFERROR(VLOOKUP($F1031,'维度字典'!$M$2:$N$50,2,0),"求和")="手工录入","",IF(IFERROR(VLOOKUP($F1031,'维度字典'!$M$2:$N$50,2,0),"求和")="最新值",IFERROR(LOOKUP(9.99E+307,G1031:R1031),""),SUM(G1031:R1031))))</f>
        <v/>
      </c>
      <c r="T1031" s="33" t="n"/>
    </row>
    <row r="1032">
      <c r="A1032" s="26">
        <f>IF($B1032="","",ROW()-3)</f>
        <v/>
      </c>
      <c r="B1032" s="27" t="n"/>
      <c r="C1032" s="27" t="n"/>
      <c r="D1032" s="28" t="n"/>
      <c r="E1032" s="29" t="n"/>
      <c r="F1032" s="30" t="n"/>
      <c r="G1032" s="31" t="n"/>
      <c r="H1032" s="31" t="n"/>
      <c r="I1032" s="31" t="n"/>
      <c r="J1032" s="31" t="n"/>
      <c r="K1032" s="31" t="n"/>
      <c r="L1032" s="31" t="n"/>
      <c r="M1032" s="31" t="n"/>
      <c r="N1032" s="31" t="n"/>
      <c r="O1032" s="31" t="n"/>
      <c r="P1032" s="31" t="n"/>
      <c r="Q1032" s="31" t="n"/>
      <c r="R1032" s="31" t="n"/>
      <c r="S1032" s="32">
        <f>IF($F1032="","",IF(IFERROR(VLOOKUP($F1032,'维度字典'!$M$2:$N$50,2,0),"求和")="手工录入","",IF(IFERROR(VLOOKUP($F1032,'维度字典'!$M$2:$N$50,2,0),"求和")="最新值",IFERROR(LOOKUP(9.99E+307,G1032:R1032),""),SUM(G1032:R1032))))</f>
        <v/>
      </c>
      <c r="T1032" s="33" t="n"/>
    </row>
    <row r="1033">
      <c r="A1033" s="26">
        <f>IF($B1033="","",ROW()-3)</f>
        <v/>
      </c>
      <c r="B1033" s="27" t="n"/>
      <c r="C1033" s="27" t="n"/>
      <c r="D1033" s="28" t="n"/>
      <c r="E1033" s="29" t="n"/>
      <c r="F1033" s="30" t="n"/>
      <c r="G1033" s="31" t="n"/>
      <c r="H1033" s="31" t="n"/>
      <c r="I1033" s="31" t="n"/>
      <c r="J1033" s="31" t="n"/>
      <c r="K1033" s="31" t="n"/>
      <c r="L1033" s="31" t="n"/>
      <c r="M1033" s="31" t="n"/>
      <c r="N1033" s="31" t="n"/>
      <c r="O1033" s="31" t="n"/>
      <c r="P1033" s="31" t="n"/>
      <c r="Q1033" s="31" t="n"/>
      <c r="R1033" s="31" t="n"/>
      <c r="S1033" s="32">
        <f>IF($F1033="","",IF(IFERROR(VLOOKUP($F1033,'维度字典'!$M$2:$N$50,2,0),"求和")="手工录入","",IF(IFERROR(VLOOKUP($F1033,'维度字典'!$M$2:$N$50,2,0),"求和")="最新值",IFERROR(LOOKUP(9.99E+307,G1033:R1033),""),SUM(G1033:R1033))))</f>
        <v/>
      </c>
      <c r="T1033" s="33" t="n"/>
    </row>
    <row r="1034">
      <c r="A1034" s="26">
        <f>IF($B1034="","",ROW()-3)</f>
        <v/>
      </c>
      <c r="B1034" s="27" t="n"/>
      <c r="C1034" s="27" t="n"/>
      <c r="D1034" s="28" t="n"/>
      <c r="E1034" s="29" t="n"/>
      <c r="F1034" s="30" t="n"/>
      <c r="G1034" s="31" t="n"/>
      <c r="H1034" s="31" t="n"/>
      <c r="I1034" s="31" t="n"/>
      <c r="J1034" s="31" t="n"/>
      <c r="K1034" s="31" t="n"/>
      <c r="L1034" s="31" t="n"/>
      <c r="M1034" s="31" t="n"/>
      <c r="N1034" s="31" t="n"/>
      <c r="O1034" s="31" t="n"/>
      <c r="P1034" s="31" t="n"/>
      <c r="Q1034" s="31" t="n"/>
      <c r="R1034" s="31" t="n"/>
      <c r="S1034" s="32">
        <f>IF($F1034="","",IF(IFERROR(VLOOKUP($F1034,'维度字典'!$M$2:$N$50,2,0),"求和")="手工录入","",IF(IFERROR(VLOOKUP($F1034,'维度字典'!$M$2:$N$50,2,0),"求和")="最新值",IFERROR(LOOKUP(9.99E+307,G1034:R1034),""),SUM(G1034:R1034))))</f>
        <v/>
      </c>
      <c r="T1034" s="33" t="n"/>
    </row>
    <row r="1035">
      <c r="A1035" s="26">
        <f>IF($B1035="","",ROW()-3)</f>
        <v/>
      </c>
      <c r="B1035" s="27" t="n"/>
      <c r="C1035" s="27" t="n"/>
      <c r="D1035" s="28" t="n"/>
      <c r="E1035" s="29" t="n"/>
      <c r="F1035" s="30" t="n"/>
      <c r="G1035" s="31" t="n"/>
      <c r="H1035" s="31" t="n"/>
      <c r="I1035" s="31" t="n"/>
      <c r="J1035" s="31" t="n"/>
      <c r="K1035" s="31" t="n"/>
      <c r="L1035" s="31" t="n"/>
      <c r="M1035" s="31" t="n"/>
      <c r="N1035" s="31" t="n"/>
      <c r="O1035" s="31" t="n"/>
      <c r="P1035" s="31" t="n"/>
      <c r="Q1035" s="31" t="n"/>
      <c r="R1035" s="31" t="n"/>
      <c r="S1035" s="32">
        <f>IF($F1035="","",IF(IFERROR(VLOOKUP($F1035,'维度字典'!$M$2:$N$50,2,0),"求和")="手工录入","",IF(IFERROR(VLOOKUP($F1035,'维度字典'!$M$2:$N$50,2,0),"求和")="最新值",IFERROR(LOOKUP(9.99E+307,G1035:R1035),""),SUM(G1035:R1035))))</f>
        <v/>
      </c>
      <c r="T1035" s="33" t="n"/>
    </row>
    <row r="1036">
      <c r="A1036" s="26">
        <f>IF($B1036="","",ROW()-3)</f>
        <v/>
      </c>
      <c r="B1036" s="27" t="n"/>
      <c r="C1036" s="27" t="n"/>
      <c r="D1036" s="28" t="n"/>
      <c r="E1036" s="29" t="n"/>
      <c r="F1036" s="30" t="n"/>
      <c r="G1036" s="31" t="n"/>
      <c r="H1036" s="31" t="n"/>
      <c r="I1036" s="31" t="n"/>
      <c r="J1036" s="31" t="n"/>
      <c r="K1036" s="31" t="n"/>
      <c r="L1036" s="31" t="n"/>
      <c r="M1036" s="31" t="n"/>
      <c r="N1036" s="31" t="n"/>
      <c r="O1036" s="31" t="n"/>
      <c r="P1036" s="31" t="n"/>
      <c r="Q1036" s="31" t="n"/>
      <c r="R1036" s="31" t="n"/>
      <c r="S1036" s="32">
        <f>IF($F1036="","",IF(IFERROR(VLOOKUP($F1036,'维度字典'!$M$2:$N$50,2,0),"求和")="手工录入","",IF(IFERROR(VLOOKUP($F1036,'维度字典'!$M$2:$N$50,2,0),"求和")="最新值",IFERROR(LOOKUP(9.99E+307,G1036:R1036),""),SUM(G1036:R1036))))</f>
        <v/>
      </c>
      <c r="T1036" s="33" t="n"/>
    </row>
    <row r="1037">
      <c r="A1037" s="26">
        <f>IF($B1037="","",ROW()-3)</f>
        <v/>
      </c>
      <c r="B1037" s="27" t="n"/>
      <c r="C1037" s="27" t="n"/>
      <c r="D1037" s="28" t="n"/>
      <c r="E1037" s="29" t="n"/>
      <c r="F1037" s="30" t="n"/>
      <c r="G1037" s="31" t="n"/>
      <c r="H1037" s="31" t="n"/>
      <c r="I1037" s="31" t="n"/>
      <c r="J1037" s="31" t="n"/>
      <c r="K1037" s="31" t="n"/>
      <c r="L1037" s="31" t="n"/>
      <c r="M1037" s="31" t="n"/>
      <c r="N1037" s="31" t="n"/>
      <c r="O1037" s="31" t="n"/>
      <c r="P1037" s="31" t="n"/>
      <c r="Q1037" s="31" t="n"/>
      <c r="R1037" s="31" t="n"/>
      <c r="S1037" s="32">
        <f>IF($F1037="","",IF(IFERROR(VLOOKUP($F1037,'维度字典'!$M$2:$N$50,2,0),"求和")="手工录入","",IF(IFERROR(VLOOKUP($F1037,'维度字典'!$M$2:$N$50,2,0),"求和")="最新值",IFERROR(LOOKUP(9.99E+307,G1037:R1037),""),SUM(G1037:R1037))))</f>
        <v/>
      </c>
      <c r="T1037" s="33" t="n"/>
    </row>
    <row r="1038">
      <c r="A1038" s="26">
        <f>IF($B1038="","",ROW()-3)</f>
        <v/>
      </c>
      <c r="B1038" s="27" t="n"/>
      <c r="C1038" s="27" t="n"/>
      <c r="D1038" s="28" t="n"/>
      <c r="E1038" s="29" t="n"/>
      <c r="F1038" s="30" t="n"/>
      <c r="G1038" s="31" t="n"/>
      <c r="H1038" s="31" t="n"/>
      <c r="I1038" s="31" t="n"/>
      <c r="J1038" s="31" t="n"/>
      <c r="K1038" s="31" t="n"/>
      <c r="L1038" s="31" t="n"/>
      <c r="M1038" s="31" t="n"/>
      <c r="N1038" s="31" t="n"/>
      <c r="O1038" s="31" t="n"/>
      <c r="P1038" s="31" t="n"/>
      <c r="Q1038" s="31" t="n"/>
      <c r="R1038" s="31" t="n"/>
      <c r="S1038" s="32">
        <f>IF($F1038="","",IF(IFERROR(VLOOKUP($F1038,'维度字典'!$M$2:$N$50,2,0),"求和")="手工录入","",IF(IFERROR(VLOOKUP($F1038,'维度字典'!$M$2:$N$50,2,0),"求和")="最新值",IFERROR(LOOKUP(9.99E+307,G1038:R1038),""),SUM(G1038:R1038))))</f>
        <v/>
      </c>
      <c r="T1038" s="33" t="n"/>
    </row>
    <row r="1039">
      <c r="A1039" s="26">
        <f>IF($B1039="","",ROW()-3)</f>
        <v/>
      </c>
      <c r="B1039" s="27" t="n"/>
      <c r="C1039" s="27" t="n"/>
      <c r="D1039" s="28" t="n"/>
      <c r="E1039" s="29" t="n"/>
      <c r="F1039" s="30" t="n"/>
      <c r="G1039" s="31" t="n"/>
      <c r="H1039" s="31" t="n"/>
      <c r="I1039" s="31" t="n"/>
      <c r="J1039" s="31" t="n"/>
      <c r="K1039" s="31" t="n"/>
      <c r="L1039" s="31" t="n"/>
      <c r="M1039" s="31" t="n"/>
      <c r="N1039" s="31" t="n"/>
      <c r="O1039" s="31" t="n"/>
      <c r="P1039" s="31" t="n"/>
      <c r="Q1039" s="31" t="n"/>
      <c r="R1039" s="31" t="n"/>
      <c r="S1039" s="32">
        <f>IF($F1039="","",IF(IFERROR(VLOOKUP($F1039,'维度字典'!$M$2:$N$50,2,0),"求和")="手工录入","",IF(IFERROR(VLOOKUP($F1039,'维度字典'!$M$2:$N$50,2,0),"求和")="最新值",IFERROR(LOOKUP(9.99E+307,G1039:R1039),""),SUM(G1039:R1039))))</f>
        <v/>
      </c>
      <c r="T1039" s="33" t="n"/>
    </row>
    <row r="1040">
      <c r="A1040" s="26">
        <f>IF($B1040="","",ROW()-3)</f>
        <v/>
      </c>
      <c r="B1040" s="27" t="n"/>
      <c r="C1040" s="27" t="n"/>
      <c r="D1040" s="28" t="n"/>
      <c r="E1040" s="29" t="n"/>
      <c r="F1040" s="30" t="n"/>
      <c r="G1040" s="31" t="n"/>
      <c r="H1040" s="31" t="n"/>
      <c r="I1040" s="31" t="n"/>
      <c r="J1040" s="31" t="n"/>
      <c r="K1040" s="31" t="n"/>
      <c r="L1040" s="31" t="n"/>
      <c r="M1040" s="31" t="n"/>
      <c r="N1040" s="31" t="n"/>
      <c r="O1040" s="31" t="n"/>
      <c r="P1040" s="31" t="n"/>
      <c r="Q1040" s="31" t="n"/>
      <c r="R1040" s="31" t="n"/>
      <c r="S1040" s="32">
        <f>IF($F1040="","",IF(IFERROR(VLOOKUP($F1040,'维度字典'!$M$2:$N$50,2,0),"求和")="手工录入","",IF(IFERROR(VLOOKUP($F1040,'维度字典'!$M$2:$N$50,2,0),"求和")="最新值",IFERROR(LOOKUP(9.99E+307,G1040:R1040),""),SUM(G1040:R1040))))</f>
        <v/>
      </c>
      <c r="T1040" s="33" t="n"/>
    </row>
    <row r="1041">
      <c r="A1041" s="26">
        <f>IF($B1041="","",ROW()-3)</f>
        <v/>
      </c>
      <c r="B1041" s="27" t="n"/>
      <c r="C1041" s="27" t="n"/>
      <c r="D1041" s="28" t="n"/>
      <c r="E1041" s="29" t="n"/>
      <c r="F1041" s="30" t="n"/>
      <c r="G1041" s="31" t="n"/>
      <c r="H1041" s="31" t="n"/>
      <c r="I1041" s="31" t="n"/>
      <c r="J1041" s="31" t="n"/>
      <c r="K1041" s="31" t="n"/>
      <c r="L1041" s="31" t="n"/>
      <c r="M1041" s="31" t="n"/>
      <c r="N1041" s="31" t="n"/>
      <c r="O1041" s="31" t="n"/>
      <c r="P1041" s="31" t="n"/>
      <c r="Q1041" s="31" t="n"/>
      <c r="R1041" s="31" t="n"/>
      <c r="S1041" s="32">
        <f>IF($F1041="","",IF(IFERROR(VLOOKUP($F1041,'维度字典'!$M$2:$N$50,2,0),"求和")="手工录入","",IF(IFERROR(VLOOKUP($F1041,'维度字典'!$M$2:$N$50,2,0),"求和")="最新值",IFERROR(LOOKUP(9.99E+307,G1041:R1041),""),SUM(G1041:R1041))))</f>
        <v/>
      </c>
      <c r="T1041" s="33" t="n"/>
    </row>
    <row r="1042">
      <c r="A1042" s="26">
        <f>IF($B1042="","",ROW()-3)</f>
        <v/>
      </c>
      <c r="B1042" s="27" t="n"/>
      <c r="C1042" s="27" t="n"/>
      <c r="D1042" s="28" t="n"/>
      <c r="E1042" s="29" t="n"/>
      <c r="F1042" s="30" t="n"/>
      <c r="G1042" s="31" t="n"/>
      <c r="H1042" s="31" t="n"/>
      <c r="I1042" s="31" t="n"/>
      <c r="J1042" s="31" t="n"/>
      <c r="K1042" s="31" t="n"/>
      <c r="L1042" s="31" t="n"/>
      <c r="M1042" s="31" t="n"/>
      <c r="N1042" s="31" t="n"/>
      <c r="O1042" s="31" t="n"/>
      <c r="P1042" s="31" t="n"/>
      <c r="Q1042" s="31" t="n"/>
      <c r="R1042" s="31" t="n"/>
      <c r="S1042" s="32">
        <f>IF($F1042="","",IF(IFERROR(VLOOKUP($F1042,'维度字典'!$M$2:$N$50,2,0),"求和")="手工录入","",IF(IFERROR(VLOOKUP($F1042,'维度字典'!$M$2:$N$50,2,0),"求和")="最新值",IFERROR(LOOKUP(9.99E+307,G1042:R1042),""),SUM(G1042:R1042))))</f>
        <v/>
      </c>
      <c r="T1042" s="33" t="n"/>
    </row>
    <row r="1043">
      <c r="A1043" s="26">
        <f>IF($B1043="","",ROW()-3)</f>
        <v/>
      </c>
      <c r="B1043" s="27" t="n"/>
      <c r="C1043" s="27" t="n"/>
      <c r="D1043" s="28" t="n"/>
      <c r="E1043" s="29" t="n"/>
      <c r="F1043" s="30" t="n"/>
      <c r="G1043" s="31" t="n"/>
      <c r="H1043" s="31" t="n"/>
      <c r="I1043" s="31" t="n"/>
      <c r="J1043" s="31" t="n"/>
      <c r="K1043" s="31" t="n"/>
      <c r="L1043" s="31" t="n"/>
      <c r="M1043" s="31" t="n"/>
      <c r="N1043" s="31" t="n"/>
      <c r="O1043" s="31" t="n"/>
      <c r="P1043" s="31" t="n"/>
      <c r="Q1043" s="31" t="n"/>
      <c r="R1043" s="31" t="n"/>
      <c r="S1043" s="32">
        <f>IF($F1043="","",IF(IFERROR(VLOOKUP($F1043,'维度字典'!$M$2:$N$50,2,0),"求和")="手工录入","",IF(IFERROR(VLOOKUP($F1043,'维度字典'!$M$2:$N$50,2,0),"求和")="最新值",IFERROR(LOOKUP(9.99E+307,G1043:R1043),""),SUM(G1043:R1043))))</f>
        <v/>
      </c>
      <c r="T1043" s="33" t="n"/>
    </row>
    <row r="1044">
      <c r="A1044" s="26">
        <f>IF($B1044="","",ROW()-3)</f>
        <v/>
      </c>
      <c r="B1044" s="27" t="n"/>
      <c r="C1044" s="27" t="n"/>
      <c r="D1044" s="28" t="n"/>
      <c r="E1044" s="29" t="n"/>
      <c r="F1044" s="30" t="n"/>
      <c r="G1044" s="31" t="n"/>
      <c r="H1044" s="31" t="n"/>
      <c r="I1044" s="31" t="n"/>
      <c r="J1044" s="31" t="n"/>
      <c r="K1044" s="31" t="n"/>
      <c r="L1044" s="31" t="n"/>
      <c r="M1044" s="31" t="n"/>
      <c r="N1044" s="31" t="n"/>
      <c r="O1044" s="31" t="n"/>
      <c r="P1044" s="31" t="n"/>
      <c r="Q1044" s="31" t="n"/>
      <c r="R1044" s="31" t="n"/>
      <c r="S1044" s="32">
        <f>IF($F1044="","",IF(IFERROR(VLOOKUP($F1044,'维度字典'!$M$2:$N$50,2,0),"求和")="手工录入","",IF(IFERROR(VLOOKUP($F1044,'维度字典'!$M$2:$N$50,2,0),"求和")="最新值",IFERROR(LOOKUP(9.99E+307,G1044:R1044),""),SUM(G1044:R1044))))</f>
        <v/>
      </c>
      <c r="T1044" s="33" t="n"/>
    </row>
    <row r="1045">
      <c r="A1045" s="26">
        <f>IF($B1045="","",ROW()-3)</f>
        <v/>
      </c>
      <c r="B1045" s="27" t="n"/>
      <c r="C1045" s="27" t="n"/>
      <c r="D1045" s="28" t="n"/>
      <c r="E1045" s="29" t="n"/>
      <c r="F1045" s="30" t="n"/>
      <c r="G1045" s="31" t="n"/>
      <c r="H1045" s="31" t="n"/>
      <c r="I1045" s="31" t="n"/>
      <c r="J1045" s="31" t="n"/>
      <c r="K1045" s="31" t="n"/>
      <c r="L1045" s="31" t="n"/>
      <c r="M1045" s="31" t="n"/>
      <c r="N1045" s="31" t="n"/>
      <c r="O1045" s="31" t="n"/>
      <c r="P1045" s="31" t="n"/>
      <c r="Q1045" s="31" t="n"/>
      <c r="R1045" s="31" t="n"/>
      <c r="S1045" s="32">
        <f>IF($F1045="","",IF(IFERROR(VLOOKUP($F1045,'维度字典'!$M$2:$N$50,2,0),"求和")="手工录入","",IF(IFERROR(VLOOKUP($F1045,'维度字典'!$M$2:$N$50,2,0),"求和")="最新值",IFERROR(LOOKUP(9.99E+307,G1045:R1045),""),SUM(G1045:R1045))))</f>
        <v/>
      </c>
      <c r="T1045" s="33" t="n"/>
    </row>
    <row r="1046">
      <c r="A1046" s="26">
        <f>IF($B1046="","",ROW()-3)</f>
        <v/>
      </c>
      <c r="B1046" s="27" t="n"/>
      <c r="C1046" s="27" t="n"/>
      <c r="D1046" s="28" t="n"/>
      <c r="E1046" s="29" t="n"/>
      <c r="F1046" s="30" t="n"/>
      <c r="G1046" s="31" t="n"/>
      <c r="H1046" s="31" t="n"/>
      <c r="I1046" s="31" t="n"/>
      <c r="J1046" s="31" t="n"/>
      <c r="K1046" s="31" t="n"/>
      <c r="L1046" s="31" t="n"/>
      <c r="M1046" s="31" t="n"/>
      <c r="N1046" s="31" t="n"/>
      <c r="O1046" s="31" t="n"/>
      <c r="P1046" s="31" t="n"/>
      <c r="Q1046" s="31" t="n"/>
      <c r="R1046" s="31" t="n"/>
      <c r="S1046" s="32">
        <f>IF($F1046="","",IF(IFERROR(VLOOKUP($F1046,'维度字典'!$M$2:$N$50,2,0),"求和")="手工录入","",IF(IFERROR(VLOOKUP($F1046,'维度字典'!$M$2:$N$50,2,0),"求和")="最新值",IFERROR(LOOKUP(9.99E+307,G1046:R1046),""),SUM(G1046:R1046))))</f>
        <v/>
      </c>
      <c r="T1046" s="33" t="n"/>
    </row>
    <row r="1047">
      <c r="A1047" s="26">
        <f>IF($B1047="","",ROW()-3)</f>
        <v/>
      </c>
      <c r="B1047" s="27" t="n"/>
      <c r="C1047" s="27" t="n"/>
      <c r="D1047" s="28" t="n"/>
      <c r="E1047" s="29" t="n"/>
      <c r="F1047" s="30" t="n"/>
      <c r="G1047" s="31" t="n"/>
      <c r="H1047" s="31" t="n"/>
      <c r="I1047" s="31" t="n"/>
      <c r="J1047" s="31" t="n"/>
      <c r="K1047" s="31" t="n"/>
      <c r="L1047" s="31" t="n"/>
      <c r="M1047" s="31" t="n"/>
      <c r="N1047" s="31" t="n"/>
      <c r="O1047" s="31" t="n"/>
      <c r="P1047" s="31" t="n"/>
      <c r="Q1047" s="31" t="n"/>
      <c r="R1047" s="31" t="n"/>
      <c r="S1047" s="32">
        <f>IF($F1047="","",IF(IFERROR(VLOOKUP($F1047,'维度字典'!$M$2:$N$50,2,0),"求和")="手工录入","",IF(IFERROR(VLOOKUP($F1047,'维度字典'!$M$2:$N$50,2,0),"求和")="最新值",IFERROR(LOOKUP(9.99E+307,G1047:R1047),""),SUM(G1047:R1047))))</f>
        <v/>
      </c>
      <c r="T1047" s="33" t="n"/>
    </row>
    <row r="1048">
      <c r="A1048" s="26">
        <f>IF($B1048="","",ROW()-3)</f>
        <v/>
      </c>
      <c r="B1048" s="27" t="n"/>
      <c r="C1048" s="27" t="n"/>
      <c r="D1048" s="28" t="n"/>
      <c r="E1048" s="29" t="n"/>
      <c r="F1048" s="30" t="n"/>
      <c r="G1048" s="31" t="n"/>
      <c r="H1048" s="31" t="n"/>
      <c r="I1048" s="31" t="n"/>
      <c r="J1048" s="31" t="n"/>
      <c r="K1048" s="31" t="n"/>
      <c r="L1048" s="31" t="n"/>
      <c r="M1048" s="31" t="n"/>
      <c r="N1048" s="31" t="n"/>
      <c r="O1048" s="31" t="n"/>
      <c r="P1048" s="31" t="n"/>
      <c r="Q1048" s="31" t="n"/>
      <c r="R1048" s="31" t="n"/>
      <c r="S1048" s="32">
        <f>IF($F1048="","",IF(IFERROR(VLOOKUP($F1048,'维度字典'!$M$2:$N$50,2,0),"求和")="手工录入","",IF(IFERROR(VLOOKUP($F1048,'维度字典'!$M$2:$N$50,2,0),"求和")="最新值",IFERROR(LOOKUP(9.99E+307,G1048:R1048),""),SUM(G1048:R1048))))</f>
        <v/>
      </c>
      <c r="T1048" s="33" t="n"/>
    </row>
    <row r="1049">
      <c r="A1049" s="26">
        <f>IF($B1049="","",ROW()-3)</f>
        <v/>
      </c>
      <c r="B1049" s="27" t="n"/>
      <c r="C1049" s="27" t="n"/>
      <c r="D1049" s="28" t="n"/>
      <c r="E1049" s="29" t="n"/>
      <c r="F1049" s="30" t="n"/>
      <c r="G1049" s="31" t="n"/>
      <c r="H1049" s="31" t="n"/>
      <c r="I1049" s="31" t="n"/>
      <c r="J1049" s="31" t="n"/>
      <c r="K1049" s="31" t="n"/>
      <c r="L1049" s="31" t="n"/>
      <c r="M1049" s="31" t="n"/>
      <c r="N1049" s="31" t="n"/>
      <c r="O1049" s="31" t="n"/>
      <c r="P1049" s="31" t="n"/>
      <c r="Q1049" s="31" t="n"/>
      <c r="R1049" s="31" t="n"/>
      <c r="S1049" s="32">
        <f>IF($F1049="","",IF(IFERROR(VLOOKUP($F1049,'维度字典'!$M$2:$N$50,2,0),"求和")="手工录入","",IF(IFERROR(VLOOKUP($F1049,'维度字典'!$M$2:$N$50,2,0),"求和")="最新值",IFERROR(LOOKUP(9.99E+307,G1049:R1049),""),SUM(G1049:R1049))))</f>
        <v/>
      </c>
      <c r="T1049" s="33" t="n"/>
    </row>
    <row r="1050">
      <c r="A1050" s="26">
        <f>IF($B1050="","",ROW()-3)</f>
        <v/>
      </c>
      <c r="B1050" s="27" t="n"/>
      <c r="C1050" s="27" t="n"/>
      <c r="D1050" s="28" t="n"/>
      <c r="E1050" s="29" t="n"/>
      <c r="F1050" s="30" t="n"/>
      <c r="G1050" s="31" t="n"/>
      <c r="H1050" s="31" t="n"/>
      <c r="I1050" s="31" t="n"/>
      <c r="J1050" s="31" t="n"/>
      <c r="K1050" s="31" t="n"/>
      <c r="L1050" s="31" t="n"/>
      <c r="M1050" s="31" t="n"/>
      <c r="N1050" s="31" t="n"/>
      <c r="O1050" s="31" t="n"/>
      <c r="P1050" s="31" t="n"/>
      <c r="Q1050" s="31" t="n"/>
      <c r="R1050" s="31" t="n"/>
      <c r="S1050" s="32">
        <f>IF($F1050="","",IF(IFERROR(VLOOKUP($F1050,'维度字典'!$M$2:$N$50,2,0),"求和")="手工录入","",IF(IFERROR(VLOOKUP($F1050,'维度字典'!$M$2:$N$50,2,0),"求和")="最新值",IFERROR(LOOKUP(9.99E+307,G1050:R1050),""),SUM(G1050:R1050))))</f>
        <v/>
      </c>
      <c r="T1050" s="33" t="n"/>
    </row>
    <row r="1051">
      <c r="A1051" s="26">
        <f>IF($B1051="","",ROW()-3)</f>
        <v/>
      </c>
      <c r="B1051" s="27" t="n"/>
      <c r="C1051" s="27" t="n"/>
      <c r="D1051" s="28" t="n"/>
      <c r="E1051" s="29" t="n"/>
      <c r="F1051" s="30" t="n"/>
      <c r="G1051" s="31" t="n"/>
      <c r="H1051" s="31" t="n"/>
      <c r="I1051" s="31" t="n"/>
      <c r="J1051" s="31" t="n"/>
      <c r="K1051" s="31" t="n"/>
      <c r="L1051" s="31" t="n"/>
      <c r="M1051" s="31" t="n"/>
      <c r="N1051" s="31" t="n"/>
      <c r="O1051" s="31" t="n"/>
      <c r="P1051" s="31" t="n"/>
      <c r="Q1051" s="31" t="n"/>
      <c r="R1051" s="31" t="n"/>
      <c r="S1051" s="32">
        <f>IF($F1051="","",IF(IFERROR(VLOOKUP($F1051,'维度字典'!$M$2:$N$50,2,0),"求和")="手工录入","",IF(IFERROR(VLOOKUP($F1051,'维度字典'!$M$2:$N$50,2,0),"求和")="最新值",IFERROR(LOOKUP(9.99E+307,G1051:R1051),""),SUM(G1051:R1051))))</f>
        <v/>
      </c>
      <c r="T1051" s="33" t="n"/>
    </row>
    <row r="1052">
      <c r="A1052" s="26">
        <f>IF($B1052="","",ROW()-3)</f>
        <v/>
      </c>
      <c r="B1052" s="27" t="n"/>
      <c r="C1052" s="27" t="n"/>
      <c r="D1052" s="28" t="n"/>
      <c r="E1052" s="29" t="n"/>
      <c r="F1052" s="30" t="n"/>
      <c r="G1052" s="31" t="n"/>
      <c r="H1052" s="31" t="n"/>
      <c r="I1052" s="31" t="n"/>
      <c r="J1052" s="31" t="n"/>
      <c r="K1052" s="31" t="n"/>
      <c r="L1052" s="31" t="n"/>
      <c r="M1052" s="31" t="n"/>
      <c r="N1052" s="31" t="n"/>
      <c r="O1052" s="31" t="n"/>
      <c r="P1052" s="31" t="n"/>
      <c r="Q1052" s="31" t="n"/>
      <c r="R1052" s="31" t="n"/>
      <c r="S1052" s="32">
        <f>IF($F1052="","",IF(IFERROR(VLOOKUP($F1052,'维度字典'!$M$2:$N$50,2,0),"求和")="手工录入","",IF(IFERROR(VLOOKUP($F1052,'维度字典'!$M$2:$N$50,2,0),"求和")="最新值",IFERROR(LOOKUP(9.99E+307,G1052:R1052),""),SUM(G1052:R1052))))</f>
        <v/>
      </c>
      <c r="T1052" s="33" t="n"/>
    </row>
    <row r="1053">
      <c r="A1053" s="26">
        <f>IF($B1053="","",ROW()-3)</f>
        <v/>
      </c>
      <c r="B1053" s="27" t="n"/>
      <c r="C1053" s="27" t="n"/>
      <c r="D1053" s="28" t="n"/>
      <c r="E1053" s="29" t="n"/>
      <c r="F1053" s="30" t="n"/>
      <c r="G1053" s="31" t="n"/>
      <c r="H1053" s="31" t="n"/>
      <c r="I1053" s="31" t="n"/>
      <c r="J1053" s="31" t="n"/>
      <c r="K1053" s="31" t="n"/>
      <c r="L1053" s="31" t="n"/>
      <c r="M1053" s="31" t="n"/>
      <c r="N1053" s="31" t="n"/>
      <c r="O1053" s="31" t="n"/>
      <c r="P1053" s="31" t="n"/>
      <c r="Q1053" s="31" t="n"/>
      <c r="R1053" s="31" t="n"/>
      <c r="S1053" s="32">
        <f>IF($F1053="","",IF(IFERROR(VLOOKUP($F1053,'维度字典'!$M$2:$N$50,2,0),"求和")="手工录入","",IF(IFERROR(VLOOKUP($F1053,'维度字典'!$M$2:$N$50,2,0),"求和")="最新值",IFERROR(LOOKUP(9.99E+307,G1053:R1053),""),SUM(G1053:R1053))))</f>
        <v/>
      </c>
      <c r="T1053" s="33" t="n"/>
    </row>
    <row r="1054">
      <c r="A1054" s="26">
        <f>IF($B1054="","",ROW()-3)</f>
        <v/>
      </c>
      <c r="B1054" s="27" t="n"/>
      <c r="C1054" s="27" t="n"/>
      <c r="D1054" s="28" t="n"/>
      <c r="E1054" s="29" t="n"/>
      <c r="F1054" s="30" t="n"/>
      <c r="G1054" s="31" t="n"/>
      <c r="H1054" s="31" t="n"/>
      <c r="I1054" s="31" t="n"/>
      <c r="J1054" s="31" t="n"/>
      <c r="K1054" s="31" t="n"/>
      <c r="L1054" s="31" t="n"/>
      <c r="M1054" s="31" t="n"/>
      <c r="N1054" s="31" t="n"/>
      <c r="O1054" s="31" t="n"/>
      <c r="P1054" s="31" t="n"/>
      <c r="Q1054" s="31" t="n"/>
      <c r="R1054" s="31" t="n"/>
      <c r="S1054" s="32">
        <f>IF($F1054="","",IF(IFERROR(VLOOKUP($F1054,'维度字典'!$M$2:$N$50,2,0),"求和")="手工录入","",IF(IFERROR(VLOOKUP($F1054,'维度字典'!$M$2:$N$50,2,0),"求和")="最新值",IFERROR(LOOKUP(9.99E+307,G1054:R1054),""),SUM(G1054:R1054))))</f>
        <v/>
      </c>
      <c r="T1054" s="33" t="n"/>
    </row>
    <row r="1055">
      <c r="A1055" s="26">
        <f>IF($B1055="","",ROW()-3)</f>
        <v/>
      </c>
      <c r="B1055" s="27" t="n"/>
      <c r="C1055" s="27" t="n"/>
      <c r="D1055" s="28" t="n"/>
      <c r="E1055" s="29" t="n"/>
      <c r="F1055" s="30" t="n"/>
      <c r="G1055" s="31" t="n"/>
      <c r="H1055" s="31" t="n"/>
      <c r="I1055" s="31" t="n"/>
      <c r="J1055" s="31" t="n"/>
      <c r="K1055" s="31" t="n"/>
      <c r="L1055" s="31" t="n"/>
      <c r="M1055" s="31" t="n"/>
      <c r="N1055" s="31" t="n"/>
      <c r="O1055" s="31" t="n"/>
      <c r="P1055" s="31" t="n"/>
      <c r="Q1055" s="31" t="n"/>
      <c r="R1055" s="31" t="n"/>
      <c r="S1055" s="32">
        <f>IF($F1055="","",IF(IFERROR(VLOOKUP($F1055,'维度字典'!$M$2:$N$50,2,0),"求和")="手工录入","",IF(IFERROR(VLOOKUP($F1055,'维度字典'!$M$2:$N$50,2,0),"求和")="最新值",IFERROR(LOOKUP(9.99E+307,G1055:R1055),""),SUM(G1055:R1055))))</f>
        <v/>
      </c>
      <c r="T1055" s="33" t="n"/>
    </row>
    <row r="1056">
      <c r="A1056" s="26">
        <f>IF($B1056="","",ROW()-3)</f>
        <v/>
      </c>
      <c r="B1056" s="27" t="n"/>
      <c r="C1056" s="27" t="n"/>
      <c r="D1056" s="28" t="n"/>
      <c r="E1056" s="29" t="n"/>
      <c r="F1056" s="30" t="n"/>
      <c r="G1056" s="31" t="n"/>
      <c r="H1056" s="31" t="n"/>
      <c r="I1056" s="31" t="n"/>
      <c r="J1056" s="31" t="n"/>
      <c r="K1056" s="31" t="n"/>
      <c r="L1056" s="31" t="n"/>
      <c r="M1056" s="31" t="n"/>
      <c r="N1056" s="31" t="n"/>
      <c r="O1056" s="31" t="n"/>
      <c r="P1056" s="31" t="n"/>
      <c r="Q1056" s="31" t="n"/>
      <c r="R1056" s="31" t="n"/>
      <c r="S1056" s="32">
        <f>IF($F1056="","",IF(IFERROR(VLOOKUP($F1056,'维度字典'!$M$2:$N$50,2,0),"求和")="手工录入","",IF(IFERROR(VLOOKUP($F1056,'维度字典'!$M$2:$N$50,2,0),"求和")="最新值",IFERROR(LOOKUP(9.99E+307,G1056:R1056),""),SUM(G1056:R1056))))</f>
        <v/>
      </c>
      <c r="T1056" s="33" t="n"/>
    </row>
    <row r="1057">
      <c r="A1057" s="26">
        <f>IF($B1057="","",ROW()-3)</f>
        <v/>
      </c>
      <c r="B1057" s="27" t="n"/>
      <c r="C1057" s="27" t="n"/>
      <c r="D1057" s="28" t="n"/>
      <c r="E1057" s="29" t="n"/>
      <c r="F1057" s="30" t="n"/>
      <c r="G1057" s="31" t="n"/>
      <c r="H1057" s="31" t="n"/>
      <c r="I1057" s="31" t="n"/>
      <c r="J1057" s="31" t="n"/>
      <c r="K1057" s="31" t="n"/>
      <c r="L1057" s="31" t="n"/>
      <c r="M1057" s="31" t="n"/>
      <c r="N1057" s="31" t="n"/>
      <c r="O1057" s="31" t="n"/>
      <c r="P1057" s="31" t="n"/>
      <c r="Q1057" s="31" t="n"/>
      <c r="R1057" s="31" t="n"/>
      <c r="S1057" s="32">
        <f>IF($F1057="","",IF(IFERROR(VLOOKUP($F1057,'维度字典'!$M$2:$N$50,2,0),"求和")="手工录入","",IF(IFERROR(VLOOKUP($F1057,'维度字典'!$M$2:$N$50,2,0),"求和")="最新值",IFERROR(LOOKUP(9.99E+307,G1057:R1057),""),SUM(G1057:R1057))))</f>
        <v/>
      </c>
      <c r="T1057" s="33" t="n"/>
    </row>
    <row r="1058">
      <c r="A1058" s="26">
        <f>IF($B1058="","",ROW()-3)</f>
        <v/>
      </c>
      <c r="B1058" s="27" t="n"/>
      <c r="C1058" s="27" t="n"/>
      <c r="D1058" s="28" t="n"/>
      <c r="E1058" s="29" t="n"/>
      <c r="F1058" s="30" t="n"/>
      <c r="G1058" s="31" t="n"/>
      <c r="H1058" s="31" t="n"/>
      <c r="I1058" s="31" t="n"/>
      <c r="J1058" s="31" t="n"/>
      <c r="K1058" s="31" t="n"/>
      <c r="L1058" s="31" t="n"/>
      <c r="M1058" s="31" t="n"/>
      <c r="N1058" s="31" t="n"/>
      <c r="O1058" s="31" t="n"/>
      <c r="P1058" s="31" t="n"/>
      <c r="Q1058" s="31" t="n"/>
      <c r="R1058" s="31" t="n"/>
      <c r="S1058" s="32">
        <f>IF($F1058="","",IF(IFERROR(VLOOKUP($F1058,'维度字典'!$M$2:$N$50,2,0),"求和")="手工录入","",IF(IFERROR(VLOOKUP($F1058,'维度字典'!$M$2:$N$50,2,0),"求和")="最新值",IFERROR(LOOKUP(9.99E+307,G1058:R1058),""),SUM(G1058:R1058))))</f>
        <v/>
      </c>
      <c r="T1058" s="33" t="n"/>
    </row>
    <row r="1059">
      <c r="A1059" s="26">
        <f>IF($B1059="","",ROW()-3)</f>
        <v/>
      </c>
      <c r="B1059" s="27" t="n"/>
      <c r="C1059" s="27" t="n"/>
      <c r="D1059" s="28" t="n"/>
      <c r="E1059" s="29" t="n"/>
      <c r="F1059" s="30" t="n"/>
      <c r="G1059" s="31" t="n"/>
      <c r="H1059" s="31" t="n"/>
      <c r="I1059" s="31" t="n"/>
      <c r="J1059" s="31" t="n"/>
      <c r="K1059" s="31" t="n"/>
      <c r="L1059" s="31" t="n"/>
      <c r="M1059" s="31" t="n"/>
      <c r="N1059" s="31" t="n"/>
      <c r="O1059" s="31" t="n"/>
      <c r="P1059" s="31" t="n"/>
      <c r="Q1059" s="31" t="n"/>
      <c r="R1059" s="31" t="n"/>
      <c r="S1059" s="32">
        <f>IF($F1059="","",IF(IFERROR(VLOOKUP($F1059,'维度字典'!$M$2:$N$50,2,0),"求和")="手工录入","",IF(IFERROR(VLOOKUP($F1059,'维度字典'!$M$2:$N$50,2,0),"求和")="最新值",IFERROR(LOOKUP(9.99E+307,G1059:R1059),""),SUM(G1059:R1059))))</f>
        <v/>
      </c>
      <c r="T1059" s="33" t="n"/>
    </row>
    <row r="1060">
      <c r="A1060" s="26">
        <f>IF($B1060="","",ROW()-3)</f>
        <v/>
      </c>
      <c r="B1060" s="27" t="n"/>
      <c r="C1060" s="27" t="n"/>
      <c r="D1060" s="28" t="n"/>
      <c r="E1060" s="29" t="n"/>
      <c r="F1060" s="30" t="n"/>
      <c r="G1060" s="31" t="n"/>
      <c r="H1060" s="31" t="n"/>
      <c r="I1060" s="31" t="n"/>
      <c r="J1060" s="31" t="n"/>
      <c r="K1060" s="31" t="n"/>
      <c r="L1060" s="31" t="n"/>
      <c r="M1060" s="31" t="n"/>
      <c r="N1060" s="31" t="n"/>
      <c r="O1060" s="31" t="n"/>
      <c r="P1060" s="31" t="n"/>
      <c r="Q1060" s="31" t="n"/>
      <c r="R1060" s="31" t="n"/>
      <c r="S1060" s="32">
        <f>IF($F1060="","",IF(IFERROR(VLOOKUP($F1060,'维度字典'!$M$2:$N$50,2,0),"求和")="手工录入","",IF(IFERROR(VLOOKUP($F1060,'维度字典'!$M$2:$N$50,2,0),"求和")="最新值",IFERROR(LOOKUP(9.99E+307,G1060:R1060),""),SUM(G1060:R1060))))</f>
        <v/>
      </c>
      <c r="T1060" s="33" t="n"/>
    </row>
    <row r="1061">
      <c r="A1061" s="26">
        <f>IF($B1061="","",ROW()-3)</f>
        <v/>
      </c>
      <c r="B1061" s="27" t="n"/>
      <c r="C1061" s="27" t="n"/>
      <c r="D1061" s="28" t="n"/>
      <c r="E1061" s="29" t="n"/>
      <c r="F1061" s="30" t="n"/>
      <c r="G1061" s="31" t="n"/>
      <c r="H1061" s="31" t="n"/>
      <c r="I1061" s="31" t="n"/>
      <c r="J1061" s="31" t="n"/>
      <c r="K1061" s="31" t="n"/>
      <c r="L1061" s="31" t="n"/>
      <c r="M1061" s="31" t="n"/>
      <c r="N1061" s="31" t="n"/>
      <c r="O1061" s="31" t="n"/>
      <c r="P1061" s="31" t="n"/>
      <c r="Q1061" s="31" t="n"/>
      <c r="R1061" s="31" t="n"/>
      <c r="S1061" s="32">
        <f>IF($F1061="","",IF(IFERROR(VLOOKUP($F1061,'维度字典'!$M$2:$N$50,2,0),"求和")="手工录入","",IF(IFERROR(VLOOKUP($F1061,'维度字典'!$M$2:$N$50,2,0),"求和")="最新值",IFERROR(LOOKUP(9.99E+307,G1061:R1061),""),SUM(G1061:R1061))))</f>
        <v/>
      </c>
      <c r="T1061" s="33" t="n"/>
    </row>
    <row r="1062">
      <c r="A1062" s="26">
        <f>IF($B1062="","",ROW()-3)</f>
        <v/>
      </c>
      <c r="B1062" s="27" t="n"/>
      <c r="C1062" s="27" t="n"/>
      <c r="D1062" s="28" t="n"/>
      <c r="E1062" s="29" t="n"/>
      <c r="F1062" s="30" t="n"/>
      <c r="G1062" s="31" t="n"/>
      <c r="H1062" s="31" t="n"/>
      <c r="I1062" s="31" t="n"/>
      <c r="J1062" s="31" t="n"/>
      <c r="K1062" s="31" t="n"/>
      <c r="L1062" s="31" t="n"/>
      <c r="M1062" s="31" t="n"/>
      <c r="N1062" s="31" t="n"/>
      <c r="O1062" s="31" t="n"/>
      <c r="P1062" s="31" t="n"/>
      <c r="Q1062" s="31" t="n"/>
      <c r="R1062" s="31" t="n"/>
      <c r="S1062" s="32">
        <f>IF($F1062="","",IF(IFERROR(VLOOKUP($F1062,'维度字典'!$M$2:$N$50,2,0),"求和")="手工录入","",IF(IFERROR(VLOOKUP($F1062,'维度字典'!$M$2:$N$50,2,0),"求和")="最新值",IFERROR(LOOKUP(9.99E+307,G1062:R1062),""),SUM(G1062:R1062))))</f>
        <v/>
      </c>
      <c r="T1062" s="33" t="n"/>
    </row>
    <row r="1063">
      <c r="A1063" s="26">
        <f>IF($B1063="","",ROW()-3)</f>
        <v/>
      </c>
      <c r="B1063" s="27" t="n"/>
      <c r="C1063" s="27" t="n"/>
      <c r="D1063" s="28" t="n"/>
      <c r="E1063" s="29" t="n"/>
      <c r="F1063" s="30" t="n"/>
      <c r="G1063" s="31" t="n"/>
      <c r="H1063" s="31" t="n"/>
      <c r="I1063" s="31" t="n"/>
      <c r="J1063" s="31" t="n"/>
      <c r="K1063" s="31" t="n"/>
      <c r="L1063" s="31" t="n"/>
      <c r="M1063" s="31" t="n"/>
      <c r="N1063" s="31" t="n"/>
      <c r="O1063" s="31" t="n"/>
      <c r="P1063" s="31" t="n"/>
      <c r="Q1063" s="31" t="n"/>
      <c r="R1063" s="31" t="n"/>
      <c r="S1063" s="32">
        <f>IF($F1063="","",IF(IFERROR(VLOOKUP($F1063,'维度字典'!$M$2:$N$50,2,0),"求和")="手工录入","",IF(IFERROR(VLOOKUP($F1063,'维度字典'!$M$2:$N$50,2,0),"求和")="最新值",IFERROR(LOOKUP(9.99E+307,G1063:R1063),""),SUM(G1063:R1063))))</f>
        <v/>
      </c>
      <c r="T1063" s="33" t="n"/>
    </row>
    <row r="1064">
      <c r="A1064" s="26">
        <f>IF($B1064="","",ROW()-3)</f>
        <v/>
      </c>
      <c r="B1064" s="27" t="n"/>
      <c r="C1064" s="27" t="n"/>
      <c r="D1064" s="28" t="n"/>
      <c r="E1064" s="29" t="n"/>
      <c r="F1064" s="30" t="n"/>
      <c r="G1064" s="31" t="n"/>
      <c r="H1064" s="31" t="n"/>
      <c r="I1064" s="31" t="n"/>
      <c r="J1064" s="31" t="n"/>
      <c r="K1064" s="31" t="n"/>
      <c r="L1064" s="31" t="n"/>
      <c r="M1064" s="31" t="n"/>
      <c r="N1064" s="31" t="n"/>
      <c r="O1064" s="31" t="n"/>
      <c r="P1064" s="31" t="n"/>
      <c r="Q1064" s="31" t="n"/>
      <c r="R1064" s="31" t="n"/>
      <c r="S1064" s="32">
        <f>IF($F1064="","",IF(IFERROR(VLOOKUP($F1064,'维度字典'!$M$2:$N$50,2,0),"求和")="手工录入","",IF(IFERROR(VLOOKUP($F1064,'维度字典'!$M$2:$N$50,2,0),"求和")="最新值",IFERROR(LOOKUP(9.99E+307,G1064:R1064),""),SUM(G1064:R1064))))</f>
        <v/>
      </c>
      <c r="T1064" s="33" t="n"/>
    </row>
    <row r="1065">
      <c r="A1065" s="26">
        <f>IF($B1065="","",ROW()-3)</f>
        <v/>
      </c>
      <c r="B1065" s="27" t="n"/>
      <c r="C1065" s="27" t="n"/>
      <c r="D1065" s="28" t="n"/>
      <c r="E1065" s="29" t="n"/>
      <c r="F1065" s="30" t="n"/>
      <c r="G1065" s="31" t="n"/>
      <c r="H1065" s="31" t="n"/>
      <c r="I1065" s="31" t="n"/>
      <c r="J1065" s="31" t="n"/>
      <c r="K1065" s="31" t="n"/>
      <c r="L1065" s="31" t="n"/>
      <c r="M1065" s="31" t="n"/>
      <c r="N1065" s="31" t="n"/>
      <c r="O1065" s="31" t="n"/>
      <c r="P1065" s="31" t="n"/>
      <c r="Q1065" s="31" t="n"/>
      <c r="R1065" s="31" t="n"/>
      <c r="S1065" s="32">
        <f>IF($F1065="","",IF(IFERROR(VLOOKUP($F1065,'维度字典'!$M$2:$N$50,2,0),"求和")="手工录入","",IF(IFERROR(VLOOKUP($F1065,'维度字典'!$M$2:$N$50,2,0),"求和")="最新值",IFERROR(LOOKUP(9.99E+307,G1065:R1065),""),SUM(G1065:R1065))))</f>
        <v/>
      </c>
      <c r="T1065" s="33" t="n"/>
    </row>
    <row r="1066">
      <c r="A1066" s="26">
        <f>IF($B1066="","",ROW()-3)</f>
        <v/>
      </c>
      <c r="B1066" s="27" t="n"/>
      <c r="C1066" s="27" t="n"/>
      <c r="D1066" s="28" t="n"/>
      <c r="E1066" s="29" t="n"/>
      <c r="F1066" s="30" t="n"/>
      <c r="G1066" s="31" t="n"/>
      <c r="H1066" s="31" t="n"/>
      <c r="I1066" s="31" t="n"/>
      <c r="J1066" s="31" t="n"/>
      <c r="K1066" s="31" t="n"/>
      <c r="L1066" s="31" t="n"/>
      <c r="M1066" s="31" t="n"/>
      <c r="N1066" s="31" t="n"/>
      <c r="O1066" s="31" t="n"/>
      <c r="P1066" s="31" t="n"/>
      <c r="Q1066" s="31" t="n"/>
      <c r="R1066" s="31" t="n"/>
      <c r="S1066" s="32">
        <f>IF($F1066="","",IF(IFERROR(VLOOKUP($F1066,'维度字典'!$M$2:$N$50,2,0),"求和")="手工录入","",IF(IFERROR(VLOOKUP($F1066,'维度字典'!$M$2:$N$50,2,0),"求和")="最新值",IFERROR(LOOKUP(9.99E+307,G1066:R1066),""),SUM(G1066:R1066))))</f>
        <v/>
      </c>
      <c r="T1066" s="33" t="n"/>
    </row>
    <row r="1067">
      <c r="A1067" s="26">
        <f>IF($B1067="","",ROW()-3)</f>
        <v/>
      </c>
      <c r="B1067" s="27" t="n"/>
      <c r="C1067" s="27" t="n"/>
      <c r="D1067" s="28" t="n"/>
      <c r="E1067" s="29" t="n"/>
      <c r="F1067" s="30" t="n"/>
      <c r="G1067" s="31" t="n"/>
      <c r="H1067" s="31" t="n"/>
      <c r="I1067" s="31" t="n"/>
      <c r="J1067" s="31" t="n"/>
      <c r="K1067" s="31" t="n"/>
      <c r="L1067" s="31" t="n"/>
      <c r="M1067" s="31" t="n"/>
      <c r="N1067" s="31" t="n"/>
      <c r="O1067" s="31" t="n"/>
      <c r="P1067" s="31" t="n"/>
      <c r="Q1067" s="31" t="n"/>
      <c r="R1067" s="31" t="n"/>
      <c r="S1067" s="32">
        <f>IF($F1067="","",IF(IFERROR(VLOOKUP($F1067,'维度字典'!$M$2:$N$50,2,0),"求和")="手工录入","",IF(IFERROR(VLOOKUP($F1067,'维度字典'!$M$2:$N$50,2,0),"求和")="最新值",IFERROR(LOOKUP(9.99E+307,G1067:R1067),""),SUM(G1067:R1067))))</f>
        <v/>
      </c>
      <c r="T1067" s="33" t="n"/>
    </row>
    <row r="1068">
      <c r="A1068" s="26">
        <f>IF($B1068="","",ROW()-3)</f>
        <v/>
      </c>
      <c r="B1068" s="27" t="n"/>
      <c r="C1068" s="27" t="n"/>
      <c r="D1068" s="28" t="n"/>
      <c r="E1068" s="29" t="n"/>
      <c r="F1068" s="30" t="n"/>
      <c r="G1068" s="31" t="n"/>
      <c r="H1068" s="31" t="n"/>
      <c r="I1068" s="31" t="n"/>
      <c r="J1068" s="31" t="n"/>
      <c r="K1068" s="31" t="n"/>
      <c r="L1068" s="31" t="n"/>
      <c r="M1068" s="31" t="n"/>
      <c r="N1068" s="31" t="n"/>
      <c r="O1068" s="31" t="n"/>
      <c r="P1068" s="31" t="n"/>
      <c r="Q1068" s="31" t="n"/>
      <c r="R1068" s="31" t="n"/>
      <c r="S1068" s="32">
        <f>IF($F1068="","",IF(IFERROR(VLOOKUP($F1068,'维度字典'!$M$2:$N$50,2,0),"求和")="手工录入","",IF(IFERROR(VLOOKUP($F1068,'维度字典'!$M$2:$N$50,2,0),"求和")="最新值",IFERROR(LOOKUP(9.99E+307,G1068:R1068),""),SUM(G1068:R1068))))</f>
        <v/>
      </c>
      <c r="T1068" s="33" t="n"/>
    </row>
    <row r="1069">
      <c r="A1069" s="26">
        <f>IF($B1069="","",ROW()-3)</f>
        <v/>
      </c>
      <c r="B1069" s="27" t="n"/>
      <c r="C1069" s="27" t="n"/>
      <c r="D1069" s="28" t="n"/>
      <c r="E1069" s="29" t="n"/>
      <c r="F1069" s="30" t="n"/>
      <c r="G1069" s="31" t="n"/>
      <c r="H1069" s="31" t="n"/>
      <c r="I1069" s="31" t="n"/>
      <c r="J1069" s="31" t="n"/>
      <c r="K1069" s="31" t="n"/>
      <c r="L1069" s="31" t="n"/>
      <c r="M1069" s="31" t="n"/>
      <c r="N1069" s="31" t="n"/>
      <c r="O1069" s="31" t="n"/>
      <c r="P1069" s="31" t="n"/>
      <c r="Q1069" s="31" t="n"/>
      <c r="R1069" s="31" t="n"/>
      <c r="S1069" s="32">
        <f>IF($F1069="","",IF(IFERROR(VLOOKUP($F1069,'维度字典'!$M$2:$N$50,2,0),"求和")="手工录入","",IF(IFERROR(VLOOKUP($F1069,'维度字典'!$M$2:$N$50,2,0),"求和")="最新值",IFERROR(LOOKUP(9.99E+307,G1069:R1069),""),SUM(G1069:R1069))))</f>
        <v/>
      </c>
      <c r="T1069" s="33" t="n"/>
    </row>
    <row r="1070">
      <c r="A1070" s="26">
        <f>IF($B1070="","",ROW()-3)</f>
        <v/>
      </c>
      <c r="B1070" s="27" t="n"/>
      <c r="C1070" s="27" t="n"/>
      <c r="D1070" s="28" t="n"/>
      <c r="E1070" s="29" t="n"/>
      <c r="F1070" s="30" t="n"/>
      <c r="G1070" s="31" t="n"/>
      <c r="H1070" s="31" t="n"/>
      <c r="I1070" s="31" t="n"/>
      <c r="J1070" s="31" t="n"/>
      <c r="K1070" s="31" t="n"/>
      <c r="L1070" s="31" t="n"/>
      <c r="M1070" s="31" t="n"/>
      <c r="N1070" s="31" t="n"/>
      <c r="O1070" s="31" t="n"/>
      <c r="P1070" s="31" t="n"/>
      <c r="Q1070" s="31" t="n"/>
      <c r="R1070" s="31" t="n"/>
      <c r="S1070" s="32">
        <f>IF($F1070="","",IF(IFERROR(VLOOKUP($F1070,'维度字典'!$M$2:$N$50,2,0),"求和")="手工录入","",IF(IFERROR(VLOOKUP($F1070,'维度字典'!$M$2:$N$50,2,0),"求和")="最新值",IFERROR(LOOKUP(9.99E+307,G1070:R1070),""),SUM(G1070:R1070))))</f>
        <v/>
      </c>
      <c r="T1070" s="33" t="n"/>
    </row>
    <row r="1071">
      <c r="A1071" s="26">
        <f>IF($B1071="","",ROW()-3)</f>
        <v/>
      </c>
      <c r="B1071" s="27" t="n"/>
      <c r="C1071" s="27" t="n"/>
      <c r="D1071" s="28" t="n"/>
      <c r="E1071" s="29" t="n"/>
      <c r="F1071" s="30" t="n"/>
      <c r="G1071" s="31" t="n"/>
      <c r="H1071" s="31" t="n"/>
      <c r="I1071" s="31" t="n"/>
      <c r="J1071" s="31" t="n"/>
      <c r="K1071" s="31" t="n"/>
      <c r="L1071" s="31" t="n"/>
      <c r="M1071" s="31" t="n"/>
      <c r="N1071" s="31" t="n"/>
      <c r="O1071" s="31" t="n"/>
      <c r="P1071" s="31" t="n"/>
      <c r="Q1071" s="31" t="n"/>
      <c r="R1071" s="31" t="n"/>
      <c r="S1071" s="32">
        <f>IF($F1071="","",IF(IFERROR(VLOOKUP($F1071,'维度字典'!$M$2:$N$50,2,0),"求和")="手工录入","",IF(IFERROR(VLOOKUP($F1071,'维度字典'!$M$2:$N$50,2,0),"求和")="最新值",IFERROR(LOOKUP(9.99E+307,G1071:R1071),""),SUM(G1071:R1071))))</f>
        <v/>
      </c>
      <c r="T1071" s="33" t="n"/>
    </row>
    <row r="1072">
      <c r="A1072" s="26">
        <f>IF($B1072="","",ROW()-3)</f>
        <v/>
      </c>
      <c r="B1072" s="27" t="n"/>
      <c r="C1072" s="27" t="n"/>
      <c r="D1072" s="28" t="n"/>
      <c r="E1072" s="29" t="n"/>
      <c r="F1072" s="30" t="n"/>
      <c r="G1072" s="31" t="n"/>
      <c r="H1072" s="31" t="n"/>
      <c r="I1072" s="31" t="n"/>
      <c r="J1072" s="31" t="n"/>
      <c r="K1072" s="31" t="n"/>
      <c r="L1072" s="31" t="n"/>
      <c r="M1072" s="31" t="n"/>
      <c r="N1072" s="31" t="n"/>
      <c r="O1072" s="31" t="n"/>
      <c r="P1072" s="31" t="n"/>
      <c r="Q1072" s="31" t="n"/>
      <c r="R1072" s="31" t="n"/>
      <c r="S1072" s="32">
        <f>IF($F1072="","",IF(IFERROR(VLOOKUP($F1072,'维度字典'!$M$2:$N$50,2,0),"求和")="手工录入","",IF(IFERROR(VLOOKUP($F1072,'维度字典'!$M$2:$N$50,2,0),"求和")="最新值",IFERROR(LOOKUP(9.99E+307,G1072:R1072),""),SUM(G1072:R1072))))</f>
        <v/>
      </c>
      <c r="T1072" s="33" t="n"/>
    </row>
    <row r="1073">
      <c r="A1073" s="26">
        <f>IF($B1073="","",ROW()-3)</f>
        <v/>
      </c>
      <c r="B1073" s="27" t="n"/>
      <c r="C1073" s="27" t="n"/>
      <c r="D1073" s="28" t="n"/>
      <c r="E1073" s="29" t="n"/>
      <c r="F1073" s="30" t="n"/>
      <c r="G1073" s="31" t="n"/>
      <c r="H1073" s="31" t="n"/>
      <c r="I1073" s="31" t="n"/>
      <c r="J1073" s="31" t="n"/>
      <c r="K1073" s="31" t="n"/>
      <c r="L1073" s="31" t="n"/>
      <c r="M1073" s="31" t="n"/>
      <c r="N1073" s="31" t="n"/>
      <c r="O1073" s="31" t="n"/>
      <c r="P1073" s="31" t="n"/>
      <c r="Q1073" s="31" t="n"/>
      <c r="R1073" s="31" t="n"/>
      <c r="S1073" s="32">
        <f>IF($F1073="","",IF(IFERROR(VLOOKUP($F1073,'维度字典'!$M$2:$N$50,2,0),"求和")="手工录入","",IF(IFERROR(VLOOKUP($F1073,'维度字典'!$M$2:$N$50,2,0),"求和")="最新值",IFERROR(LOOKUP(9.99E+307,G1073:R1073),""),SUM(G1073:R1073))))</f>
        <v/>
      </c>
      <c r="T1073" s="33" t="n"/>
    </row>
    <row r="1074">
      <c r="A1074" s="26">
        <f>IF($B1074="","",ROW()-3)</f>
        <v/>
      </c>
      <c r="B1074" s="27" t="n"/>
      <c r="C1074" s="27" t="n"/>
      <c r="D1074" s="28" t="n"/>
      <c r="E1074" s="29" t="n"/>
      <c r="F1074" s="30" t="n"/>
      <c r="G1074" s="31" t="n"/>
      <c r="H1074" s="31" t="n"/>
      <c r="I1074" s="31" t="n"/>
      <c r="J1074" s="31" t="n"/>
      <c r="K1074" s="31" t="n"/>
      <c r="L1074" s="31" t="n"/>
      <c r="M1074" s="31" t="n"/>
      <c r="N1074" s="31" t="n"/>
      <c r="O1074" s="31" t="n"/>
      <c r="P1074" s="31" t="n"/>
      <c r="Q1074" s="31" t="n"/>
      <c r="R1074" s="31" t="n"/>
      <c r="S1074" s="32">
        <f>IF($F1074="","",IF(IFERROR(VLOOKUP($F1074,'维度字典'!$M$2:$N$50,2,0),"求和")="手工录入","",IF(IFERROR(VLOOKUP($F1074,'维度字典'!$M$2:$N$50,2,0),"求和")="最新值",IFERROR(LOOKUP(9.99E+307,G1074:R1074),""),SUM(G1074:R1074))))</f>
        <v/>
      </c>
      <c r="T1074" s="33" t="n"/>
    </row>
    <row r="1075">
      <c r="A1075" s="26">
        <f>IF($B1075="","",ROW()-3)</f>
        <v/>
      </c>
      <c r="B1075" s="27" t="n"/>
      <c r="C1075" s="27" t="n"/>
      <c r="D1075" s="28" t="n"/>
      <c r="E1075" s="29" t="n"/>
      <c r="F1075" s="30" t="n"/>
      <c r="G1075" s="31" t="n"/>
      <c r="H1075" s="31" t="n"/>
      <c r="I1075" s="31" t="n"/>
      <c r="J1075" s="31" t="n"/>
      <c r="K1075" s="31" t="n"/>
      <c r="L1075" s="31" t="n"/>
      <c r="M1075" s="31" t="n"/>
      <c r="N1075" s="31" t="n"/>
      <c r="O1075" s="31" t="n"/>
      <c r="P1075" s="31" t="n"/>
      <c r="Q1075" s="31" t="n"/>
      <c r="R1075" s="31" t="n"/>
      <c r="S1075" s="32">
        <f>IF($F1075="","",IF(IFERROR(VLOOKUP($F1075,'维度字典'!$M$2:$N$50,2,0),"求和")="手工录入","",IF(IFERROR(VLOOKUP($F1075,'维度字典'!$M$2:$N$50,2,0),"求和")="最新值",IFERROR(LOOKUP(9.99E+307,G1075:R1075),""),SUM(G1075:R1075))))</f>
        <v/>
      </c>
      <c r="T1075" s="33" t="n"/>
    </row>
    <row r="1076">
      <c r="A1076" s="26">
        <f>IF($B1076="","",ROW()-3)</f>
        <v/>
      </c>
      <c r="B1076" s="27" t="n"/>
      <c r="C1076" s="27" t="n"/>
      <c r="D1076" s="28" t="n"/>
      <c r="E1076" s="29" t="n"/>
      <c r="F1076" s="30" t="n"/>
      <c r="G1076" s="31" t="n"/>
      <c r="H1076" s="31" t="n"/>
      <c r="I1076" s="31" t="n"/>
      <c r="J1076" s="31" t="n"/>
      <c r="K1076" s="31" t="n"/>
      <c r="L1076" s="31" t="n"/>
      <c r="M1076" s="31" t="n"/>
      <c r="N1076" s="31" t="n"/>
      <c r="O1076" s="31" t="n"/>
      <c r="P1076" s="31" t="n"/>
      <c r="Q1076" s="31" t="n"/>
      <c r="R1076" s="31" t="n"/>
      <c r="S1076" s="32">
        <f>IF($F1076="","",IF(IFERROR(VLOOKUP($F1076,'维度字典'!$M$2:$N$50,2,0),"求和")="手工录入","",IF(IFERROR(VLOOKUP($F1076,'维度字典'!$M$2:$N$50,2,0),"求和")="最新值",IFERROR(LOOKUP(9.99E+307,G1076:R1076),""),SUM(G1076:R1076))))</f>
        <v/>
      </c>
      <c r="T1076" s="33" t="n"/>
    </row>
    <row r="1077">
      <c r="A1077" s="26">
        <f>IF($B1077="","",ROW()-3)</f>
        <v/>
      </c>
      <c r="B1077" s="27" t="n"/>
      <c r="C1077" s="27" t="n"/>
      <c r="D1077" s="28" t="n"/>
      <c r="E1077" s="29" t="n"/>
      <c r="F1077" s="30" t="n"/>
      <c r="G1077" s="31" t="n"/>
      <c r="H1077" s="31" t="n"/>
      <c r="I1077" s="31" t="n"/>
      <c r="J1077" s="31" t="n"/>
      <c r="K1077" s="31" t="n"/>
      <c r="L1077" s="31" t="n"/>
      <c r="M1077" s="31" t="n"/>
      <c r="N1077" s="31" t="n"/>
      <c r="O1077" s="31" t="n"/>
      <c r="P1077" s="31" t="n"/>
      <c r="Q1077" s="31" t="n"/>
      <c r="R1077" s="31" t="n"/>
      <c r="S1077" s="32">
        <f>IF($F1077="","",IF(IFERROR(VLOOKUP($F1077,'维度字典'!$M$2:$N$50,2,0),"求和")="手工录入","",IF(IFERROR(VLOOKUP($F1077,'维度字典'!$M$2:$N$50,2,0),"求和")="最新值",IFERROR(LOOKUP(9.99E+307,G1077:R1077),""),SUM(G1077:R1077))))</f>
        <v/>
      </c>
      <c r="T1077" s="33" t="n"/>
    </row>
    <row r="1078">
      <c r="A1078" s="26">
        <f>IF($B1078="","",ROW()-3)</f>
        <v/>
      </c>
      <c r="B1078" s="27" t="n"/>
      <c r="C1078" s="27" t="n"/>
      <c r="D1078" s="28" t="n"/>
      <c r="E1078" s="29" t="n"/>
      <c r="F1078" s="30" t="n"/>
      <c r="G1078" s="31" t="n"/>
      <c r="H1078" s="31" t="n"/>
      <c r="I1078" s="31" t="n"/>
      <c r="J1078" s="31" t="n"/>
      <c r="K1078" s="31" t="n"/>
      <c r="L1078" s="31" t="n"/>
      <c r="M1078" s="31" t="n"/>
      <c r="N1078" s="31" t="n"/>
      <c r="O1078" s="31" t="n"/>
      <c r="P1078" s="31" t="n"/>
      <c r="Q1078" s="31" t="n"/>
      <c r="R1078" s="31" t="n"/>
      <c r="S1078" s="32">
        <f>IF($F1078="","",IF(IFERROR(VLOOKUP($F1078,'维度字典'!$M$2:$N$50,2,0),"求和")="手工录入","",IF(IFERROR(VLOOKUP($F1078,'维度字典'!$M$2:$N$50,2,0),"求和")="最新值",IFERROR(LOOKUP(9.99E+307,G1078:R1078),""),SUM(G1078:R1078))))</f>
        <v/>
      </c>
      <c r="T1078" s="33" t="n"/>
    </row>
    <row r="1079">
      <c r="A1079" s="26">
        <f>IF($B1079="","",ROW()-3)</f>
        <v/>
      </c>
      <c r="B1079" s="27" t="n"/>
      <c r="C1079" s="27" t="n"/>
      <c r="D1079" s="28" t="n"/>
      <c r="E1079" s="29" t="n"/>
      <c r="F1079" s="30" t="n"/>
      <c r="G1079" s="31" t="n"/>
      <c r="H1079" s="31" t="n"/>
      <c r="I1079" s="31" t="n"/>
      <c r="J1079" s="31" t="n"/>
      <c r="K1079" s="31" t="n"/>
      <c r="L1079" s="31" t="n"/>
      <c r="M1079" s="31" t="n"/>
      <c r="N1079" s="31" t="n"/>
      <c r="O1079" s="31" t="n"/>
      <c r="P1079" s="31" t="n"/>
      <c r="Q1079" s="31" t="n"/>
      <c r="R1079" s="31" t="n"/>
      <c r="S1079" s="32">
        <f>IF($F1079="","",IF(IFERROR(VLOOKUP($F1079,'维度字典'!$M$2:$N$50,2,0),"求和")="手工录入","",IF(IFERROR(VLOOKUP($F1079,'维度字典'!$M$2:$N$50,2,0),"求和")="最新值",IFERROR(LOOKUP(9.99E+307,G1079:R1079),""),SUM(G1079:R1079))))</f>
        <v/>
      </c>
      <c r="T1079" s="33" t="n"/>
    </row>
    <row r="1080">
      <c r="A1080" s="26">
        <f>IF($B1080="","",ROW()-3)</f>
        <v/>
      </c>
      <c r="B1080" s="27" t="n"/>
      <c r="C1080" s="27" t="n"/>
      <c r="D1080" s="28" t="n"/>
      <c r="E1080" s="29" t="n"/>
      <c r="F1080" s="30" t="n"/>
      <c r="G1080" s="31" t="n"/>
      <c r="H1080" s="31" t="n"/>
      <c r="I1080" s="31" t="n"/>
      <c r="J1080" s="31" t="n"/>
      <c r="K1080" s="31" t="n"/>
      <c r="L1080" s="31" t="n"/>
      <c r="M1080" s="31" t="n"/>
      <c r="N1080" s="31" t="n"/>
      <c r="O1080" s="31" t="n"/>
      <c r="P1080" s="31" t="n"/>
      <c r="Q1080" s="31" t="n"/>
      <c r="R1080" s="31" t="n"/>
      <c r="S1080" s="32">
        <f>IF($F1080="","",IF(IFERROR(VLOOKUP($F1080,'维度字典'!$M$2:$N$50,2,0),"求和")="手工录入","",IF(IFERROR(VLOOKUP($F1080,'维度字典'!$M$2:$N$50,2,0),"求和")="最新值",IFERROR(LOOKUP(9.99E+307,G1080:R1080),""),SUM(G1080:R1080))))</f>
        <v/>
      </c>
      <c r="T1080" s="33" t="n"/>
    </row>
    <row r="1081">
      <c r="A1081" s="26">
        <f>IF($B1081="","",ROW()-3)</f>
        <v/>
      </c>
      <c r="B1081" s="27" t="n"/>
      <c r="C1081" s="27" t="n"/>
      <c r="D1081" s="28" t="n"/>
      <c r="E1081" s="29" t="n"/>
      <c r="F1081" s="30" t="n"/>
      <c r="G1081" s="31" t="n"/>
      <c r="H1081" s="31" t="n"/>
      <c r="I1081" s="31" t="n"/>
      <c r="J1081" s="31" t="n"/>
      <c r="K1081" s="31" t="n"/>
      <c r="L1081" s="31" t="n"/>
      <c r="M1081" s="31" t="n"/>
      <c r="N1081" s="31" t="n"/>
      <c r="O1081" s="31" t="n"/>
      <c r="P1081" s="31" t="n"/>
      <c r="Q1081" s="31" t="n"/>
      <c r="R1081" s="31" t="n"/>
      <c r="S1081" s="32">
        <f>IF($F1081="","",IF(IFERROR(VLOOKUP($F1081,'维度字典'!$M$2:$N$50,2,0),"求和")="手工录入","",IF(IFERROR(VLOOKUP($F1081,'维度字典'!$M$2:$N$50,2,0),"求和")="最新值",IFERROR(LOOKUP(9.99E+307,G1081:R1081),""),SUM(G1081:R1081))))</f>
        <v/>
      </c>
      <c r="T1081" s="33" t="n"/>
    </row>
    <row r="1082">
      <c r="A1082" s="26">
        <f>IF($B1082="","",ROW()-3)</f>
        <v/>
      </c>
      <c r="B1082" s="27" t="n"/>
      <c r="C1082" s="27" t="n"/>
      <c r="D1082" s="28" t="n"/>
      <c r="E1082" s="29" t="n"/>
      <c r="F1082" s="30" t="n"/>
      <c r="G1082" s="31" t="n"/>
      <c r="H1082" s="31" t="n"/>
      <c r="I1082" s="31" t="n"/>
      <c r="J1082" s="31" t="n"/>
      <c r="K1082" s="31" t="n"/>
      <c r="L1082" s="31" t="n"/>
      <c r="M1082" s="31" t="n"/>
      <c r="N1082" s="31" t="n"/>
      <c r="O1082" s="31" t="n"/>
      <c r="P1082" s="31" t="n"/>
      <c r="Q1082" s="31" t="n"/>
      <c r="R1082" s="31" t="n"/>
      <c r="S1082" s="32">
        <f>IF($F1082="","",IF(IFERROR(VLOOKUP($F1082,'维度字典'!$M$2:$N$50,2,0),"求和")="手工录入","",IF(IFERROR(VLOOKUP($F1082,'维度字典'!$M$2:$N$50,2,0),"求和")="最新值",IFERROR(LOOKUP(9.99E+307,G1082:R1082),""),SUM(G1082:R1082))))</f>
        <v/>
      </c>
      <c r="T1082" s="33" t="n"/>
    </row>
    <row r="1083">
      <c r="A1083" s="26">
        <f>IF($B1083="","",ROW()-3)</f>
        <v/>
      </c>
      <c r="B1083" s="27" t="n"/>
      <c r="C1083" s="27" t="n"/>
      <c r="D1083" s="28" t="n"/>
      <c r="E1083" s="29" t="n"/>
      <c r="F1083" s="30" t="n"/>
      <c r="G1083" s="31" t="n"/>
      <c r="H1083" s="31" t="n"/>
      <c r="I1083" s="31" t="n"/>
      <c r="J1083" s="31" t="n"/>
      <c r="K1083" s="31" t="n"/>
      <c r="L1083" s="31" t="n"/>
      <c r="M1083" s="31" t="n"/>
      <c r="N1083" s="31" t="n"/>
      <c r="O1083" s="31" t="n"/>
      <c r="P1083" s="31" t="n"/>
      <c r="Q1083" s="31" t="n"/>
      <c r="R1083" s="31" t="n"/>
      <c r="S1083" s="32">
        <f>IF($F1083="","",IF(IFERROR(VLOOKUP($F1083,'维度字典'!$M$2:$N$50,2,0),"求和")="手工录入","",IF(IFERROR(VLOOKUP($F1083,'维度字典'!$M$2:$N$50,2,0),"求和")="最新值",IFERROR(LOOKUP(9.99E+307,G1083:R1083),""),SUM(G1083:R1083))))</f>
        <v/>
      </c>
      <c r="T1083" s="33" t="n"/>
    </row>
    <row r="1084">
      <c r="A1084" s="26">
        <f>IF($B1084="","",ROW()-3)</f>
        <v/>
      </c>
      <c r="B1084" s="27" t="n"/>
      <c r="C1084" s="27" t="n"/>
      <c r="D1084" s="28" t="n"/>
      <c r="E1084" s="29" t="n"/>
      <c r="F1084" s="30" t="n"/>
      <c r="G1084" s="31" t="n"/>
      <c r="H1084" s="31" t="n"/>
      <c r="I1084" s="31" t="n"/>
      <c r="J1084" s="31" t="n"/>
      <c r="K1084" s="31" t="n"/>
      <c r="L1084" s="31" t="n"/>
      <c r="M1084" s="31" t="n"/>
      <c r="N1084" s="31" t="n"/>
      <c r="O1084" s="31" t="n"/>
      <c r="P1084" s="31" t="n"/>
      <c r="Q1084" s="31" t="n"/>
      <c r="R1084" s="31" t="n"/>
      <c r="S1084" s="32">
        <f>IF($F1084="","",IF(IFERROR(VLOOKUP($F1084,'维度字典'!$M$2:$N$50,2,0),"求和")="手工录入","",IF(IFERROR(VLOOKUP($F1084,'维度字典'!$M$2:$N$50,2,0),"求和")="最新值",IFERROR(LOOKUP(9.99E+307,G1084:R1084),""),SUM(G1084:R1084))))</f>
        <v/>
      </c>
      <c r="T1084" s="33" t="n"/>
    </row>
    <row r="1085">
      <c r="A1085" s="26">
        <f>IF($B1085="","",ROW()-3)</f>
        <v/>
      </c>
      <c r="B1085" s="27" t="n"/>
      <c r="C1085" s="27" t="n"/>
      <c r="D1085" s="28" t="n"/>
      <c r="E1085" s="29" t="n"/>
      <c r="F1085" s="30" t="n"/>
      <c r="G1085" s="31" t="n"/>
      <c r="H1085" s="31" t="n"/>
      <c r="I1085" s="31" t="n"/>
      <c r="J1085" s="31" t="n"/>
      <c r="K1085" s="31" t="n"/>
      <c r="L1085" s="31" t="n"/>
      <c r="M1085" s="31" t="n"/>
      <c r="N1085" s="31" t="n"/>
      <c r="O1085" s="31" t="n"/>
      <c r="P1085" s="31" t="n"/>
      <c r="Q1085" s="31" t="n"/>
      <c r="R1085" s="31" t="n"/>
      <c r="S1085" s="32">
        <f>IF($F1085="","",IF(IFERROR(VLOOKUP($F1085,'维度字典'!$M$2:$N$50,2,0),"求和")="手工录入","",IF(IFERROR(VLOOKUP($F1085,'维度字典'!$M$2:$N$50,2,0),"求和")="最新值",IFERROR(LOOKUP(9.99E+307,G1085:R1085),""),SUM(G1085:R1085))))</f>
        <v/>
      </c>
      <c r="T1085" s="33" t="n"/>
    </row>
    <row r="1086">
      <c r="A1086" s="26">
        <f>IF($B1086="","",ROW()-3)</f>
        <v/>
      </c>
      <c r="B1086" s="27" t="n"/>
      <c r="C1086" s="27" t="n"/>
      <c r="D1086" s="28" t="n"/>
      <c r="E1086" s="29" t="n"/>
      <c r="F1086" s="30" t="n"/>
      <c r="G1086" s="31" t="n"/>
      <c r="H1086" s="31" t="n"/>
      <c r="I1086" s="31" t="n"/>
      <c r="J1086" s="31" t="n"/>
      <c r="K1086" s="31" t="n"/>
      <c r="L1086" s="31" t="n"/>
      <c r="M1086" s="31" t="n"/>
      <c r="N1086" s="31" t="n"/>
      <c r="O1086" s="31" t="n"/>
      <c r="P1086" s="31" t="n"/>
      <c r="Q1086" s="31" t="n"/>
      <c r="R1086" s="31" t="n"/>
      <c r="S1086" s="32">
        <f>IF($F1086="","",IF(IFERROR(VLOOKUP($F1086,'维度字典'!$M$2:$N$50,2,0),"求和")="手工录入","",IF(IFERROR(VLOOKUP($F1086,'维度字典'!$M$2:$N$50,2,0),"求和")="最新值",IFERROR(LOOKUP(9.99E+307,G1086:R1086),""),SUM(G1086:R1086))))</f>
        <v/>
      </c>
      <c r="T1086" s="33" t="n"/>
    </row>
    <row r="1087">
      <c r="A1087" s="26">
        <f>IF($B1087="","",ROW()-3)</f>
        <v/>
      </c>
      <c r="B1087" s="27" t="n"/>
      <c r="C1087" s="27" t="n"/>
      <c r="D1087" s="28" t="n"/>
      <c r="E1087" s="29" t="n"/>
      <c r="F1087" s="30" t="n"/>
      <c r="G1087" s="31" t="n"/>
      <c r="H1087" s="31" t="n"/>
      <c r="I1087" s="31" t="n"/>
      <c r="J1087" s="31" t="n"/>
      <c r="K1087" s="31" t="n"/>
      <c r="L1087" s="31" t="n"/>
      <c r="M1087" s="31" t="n"/>
      <c r="N1087" s="31" t="n"/>
      <c r="O1087" s="31" t="n"/>
      <c r="P1087" s="31" t="n"/>
      <c r="Q1087" s="31" t="n"/>
      <c r="R1087" s="31" t="n"/>
      <c r="S1087" s="32">
        <f>IF($F1087="","",IF(IFERROR(VLOOKUP($F1087,'维度字典'!$M$2:$N$50,2,0),"求和")="手工录入","",IF(IFERROR(VLOOKUP($F1087,'维度字典'!$M$2:$N$50,2,0),"求和")="最新值",IFERROR(LOOKUP(9.99E+307,G1087:R1087),""),SUM(G1087:R1087))))</f>
        <v/>
      </c>
      <c r="T1087" s="33" t="n"/>
    </row>
    <row r="1088">
      <c r="A1088" s="26">
        <f>IF($B1088="","",ROW()-3)</f>
        <v/>
      </c>
      <c r="B1088" s="27" t="n"/>
      <c r="C1088" s="27" t="n"/>
      <c r="D1088" s="28" t="n"/>
      <c r="E1088" s="29" t="n"/>
      <c r="F1088" s="30" t="n"/>
      <c r="G1088" s="31" t="n"/>
      <c r="H1088" s="31" t="n"/>
      <c r="I1088" s="31" t="n"/>
      <c r="J1088" s="31" t="n"/>
      <c r="K1088" s="31" t="n"/>
      <c r="L1088" s="31" t="n"/>
      <c r="M1088" s="31" t="n"/>
      <c r="N1088" s="31" t="n"/>
      <c r="O1088" s="31" t="n"/>
      <c r="P1088" s="31" t="n"/>
      <c r="Q1088" s="31" t="n"/>
      <c r="R1088" s="31" t="n"/>
      <c r="S1088" s="32">
        <f>IF($F1088="","",IF(IFERROR(VLOOKUP($F1088,'维度字典'!$M$2:$N$50,2,0),"求和")="手工录入","",IF(IFERROR(VLOOKUP($F1088,'维度字典'!$M$2:$N$50,2,0),"求和")="最新值",IFERROR(LOOKUP(9.99E+307,G1088:R1088),""),SUM(G1088:R1088))))</f>
        <v/>
      </c>
      <c r="T1088" s="33" t="n"/>
    </row>
    <row r="1089">
      <c r="A1089" s="26">
        <f>IF($B1089="","",ROW()-3)</f>
        <v/>
      </c>
      <c r="B1089" s="27" t="n"/>
      <c r="C1089" s="27" t="n"/>
      <c r="D1089" s="28" t="n"/>
      <c r="E1089" s="29" t="n"/>
      <c r="F1089" s="30" t="n"/>
      <c r="G1089" s="31" t="n"/>
      <c r="H1089" s="31" t="n"/>
      <c r="I1089" s="31" t="n"/>
      <c r="J1089" s="31" t="n"/>
      <c r="K1089" s="31" t="n"/>
      <c r="L1089" s="31" t="n"/>
      <c r="M1089" s="31" t="n"/>
      <c r="N1089" s="31" t="n"/>
      <c r="O1089" s="31" t="n"/>
      <c r="P1089" s="31" t="n"/>
      <c r="Q1089" s="31" t="n"/>
      <c r="R1089" s="31" t="n"/>
      <c r="S1089" s="32">
        <f>IF($F1089="","",IF(IFERROR(VLOOKUP($F1089,'维度字典'!$M$2:$N$50,2,0),"求和")="手工录入","",IF(IFERROR(VLOOKUP($F1089,'维度字典'!$M$2:$N$50,2,0),"求和")="最新值",IFERROR(LOOKUP(9.99E+307,G1089:R1089),""),SUM(G1089:R1089))))</f>
        <v/>
      </c>
      <c r="T1089" s="33" t="n"/>
    </row>
    <row r="1090">
      <c r="A1090" s="26">
        <f>IF($B1090="","",ROW()-3)</f>
        <v/>
      </c>
      <c r="B1090" s="27" t="n"/>
      <c r="C1090" s="27" t="n"/>
      <c r="D1090" s="28" t="n"/>
      <c r="E1090" s="29" t="n"/>
      <c r="F1090" s="30" t="n"/>
      <c r="G1090" s="31" t="n"/>
      <c r="H1090" s="31" t="n"/>
      <c r="I1090" s="31" t="n"/>
      <c r="J1090" s="31" t="n"/>
      <c r="K1090" s="31" t="n"/>
      <c r="L1090" s="31" t="n"/>
      <c r="M1090" s="31" t="n"/>
      <c r="N1090" s="31" t="n"/>
      <c r="O1090" s="31" t="n"/>
      <c r="P1090" s="31" t="n"/>
      <c r="Q1090" s="31" t="n"/>
      <c r="R1090" s="31" t="n"/>
      <c r="S1090" s="32">
        <f>IF($F1090="","",IF(IFERROR(VLOOKUP($F1090,'维度字典'!$M$2:$N$50,2,0),"求和")="手工录入","",IF(IFERROR(VLOOKUP($F1090,'维度字典'!$M$2:$N$50,2,0),"求和")="最新值",IFERROR(LOOKUP(9.99E+307,G1090:R1090),""),SUM(G1090:R1090))))</f>
        <v/>
      </c>
      <c r="T1090" s="33" t="n"/>
    </row>
    <row r="1091">
      <c r="A1091" s="26">
        <f>IF($B1091="","",ROW()-3)</f>
        <v/>
      </c>
      <c r="B1091" s="27" t="n"/>
      <c r="C1091" s="27" t="n"/>
      <c r="D1091" s="28" t="n"/>
      <c r="E1091" s="29" t="n"/>
      <c r="F1091" s="30" t="n"/>
      <c r="G1091" s="31" t="n"/>
      <c r="H1091" s="31" t="n"/>
      <c r="I1091" s="31" t="n"/>
      <c r="J1091" s="31" t="n"/>
      <c r="K1091" s="31" t="n"/>
      <c r="L1091" s="31" t="n"/>
      <c r="M1091" s="31" t="n"/>
      <c r="N1091" s="31" t="n"/>
      <c r="O1091" s="31" t="n"/>
      <c r="P1091" s="31" t="n"/>
      <c r="Q1091" s="31" t="n"/>
      <c r="R1091" s="31" t="n"/>
      <c r="S1091" s="32">
        <f>IF($F1091="","",IF(IFERROR(VLOOKUP($F1091,'维度字典'!$M$2:$N$50,2,0),"求和")="手工录入","",IF(IFERROR(VLOOKUP($F1091,'维度字典'!$M$2:$N$50,2,0),"求和")="最新值",IFERROR(LOOKUP(9.99E+307,G1091:R1091),""),SUM(G1091:R1091))))</f>
        <v/>
      </c>
      <c r="T1091" s="33" t="n"/>
    </row>
    <row r="1092">
      <c r="A1092" s="26">
        <f>IF($B1092="","",ROW()-3)</f>
        <v/>
      </c>
      <c r="B1092" s="27" t="n"/>
      <c r="C1092" s="27" t="n"/>
      <c r="D1092" s="28" t="n"/>
      <c r="E1092" s="29" t="n"/>
      <c r="F1092" s="30" t="n"/>
      <c r="G1092" s="31" t="n"/>
      <c r="H1092" s="31" t="n"/>
      <c r="I1092" s="31" t="n"/>
      <c r="J1092" s="31" t="n"/>
      <c r="K1092" s="31" t="n"/>
      <c r="L1092" s="31" t="n"/>
      <c r="M1092" s="31" t="n"/>
      <c r="N1092" s="31" t="n"/>
      <c r="O1092" s="31" t="n"/>
      <c r="P1092" s="31" t="n"/>
      <c r="Q1092" s="31" t="n"/>
      <c r="R1092" s="31" t="n"/>
      <c r="S1092" s="32">
        <f>IF($F1092="","",IF(IFERROR(VLOOKUP($F1092,'维度字典'!$M$2:$N$50,2,0),"求和")="手工录入","",IF(IFERROR(VLOOKUP($F1092,'维度字典'!$M$2:$N$50,2,0),"求和")="最新值",IFERROR(LOOKUP(9.99E+307,G1092:R1092),""),SUM(G1092:R1092))))</f>
        <v/>
      </c>
      <c r="T1092" s="33" t="n"/>
    </row>
    <row r="1093">
      <c r="A1093" s="26">
        <f>IF($B1093="","",ROW()-3)</f>
        <v/>
      </c>
      <c r="B1093" s="27" t="n"/>
      <c r="C1093" s="27" t="n"/>
      <c r="D1093" s="28" t="n"/>
      <c r="E1093" s="29" t="n"/>
      <c r="F1093" s="30" t="n"/>
      <c r="G1093" s="31" t="n"/>
      <c r="H1093" s="31" t="n"/>
      <c r="I1093" s="31" t="n"/>
      <c r="J1093" s="31" t="n"/>
      <c r="K1093" s="31" t="n"/>
      <c r="L1093" s="31" t="n"/>
      <c r="M1093" s="31" t="n"/>
      <c r="N1093" s="31" t="n"/>
      <c r="O1093" s="31" t="n"/>
      <c r="P1093" s="31" t="n"/>
      <c r="Q1093" s="31" t="n"/>
      <c r="R1093" s="31" t="n"/>
      <c r="S1093" s="32">
        <f>IF($F1093="","",IF(IFERROR(VLOOKUP($F1093,'维度字典'!$M$2:$N$50,2,0),"求和")="手工录入","",IF(IFERROR(VLOOKUP($F1093,'维度字典'!$M$2:$N$50,2,0),"求和")="最新值",IFERROR(LOOKUP(9.99E+307,G1093:R1093),""),SUM(G1093:R1093))))</f>
        <v/>
      </c>
      <c r="T1093" s="33" t="n"/>
    </row>
    <row r="1094">
      <c r="A1094" s="26">
        <f>IF($B1094="","",ROW()-3)</f>
        <v/>
      </c>
      <c r="B1094" s="27" t="n"/>
      <c r="C1094" s="27" t="n"/>
      <c r="D1094" s="28" t="n"/>
      <c r="E1094" s="29" t="n"/>
      <c r="F1094" s="30" t="n"/>
      <c r="G1094" s="31" t="n"/>
      <c r="H1094" s="31" t="n"/>
      <c r="I1094" s="31" t="n"/>
      <c r="J1094" s="31" t="n"/>
      <c r="K1094" s="31" t="n"/>
      <c r="L1094" s="31" t="n"/>
      <c r="M1094" s="31" t="n"/>
      <c r="N1094" s="31" t="n"/>
      <c r="O1094" s="31" t="n"/>
      <c r="P1094" s="31" t="n"/>
      <c r="Q1094" s="31" t="n"/>
      <c r="R1094" s="31" t="n"/>
      <c r="S1094" s="32">
        <f>IF($F1094="","",IF(IFERROR(VLOOKUP($F1094,'维度字典'!$M$2:$N$50,2,0),"求和")="手工录入","",IF(IFERROR(VLOOKUP($F1094,'维度字典'!$M$2:$N$50,2,0),"求和")="最新值",IFERROR(LOOKUP(9.99E+307,G1094:R1094),""),SUM(G1094:R1094))))</f>
        <v/>
      </c>
      <c r="T1094" s="33" t="n"/>
    </row>
    <row r="1095">
      <c r="A1095" s="26">
        <f>IF($B1095="","",ROW()-3)</f>
        <v/>
      </c>
      <c r="B1095" s="27" t="n"/>
      <c r="C1095" s="27" t="n"/>
      <c r="D1095" s="28" t="n"/>
      <c r="E1095" s="29" t="n"/>
      <c r="F1095" s="30" t="n"/>
      <c r="G1095" s="31" t="n"/>
      <c r="H1095" s="31" t="n"/>
      <c r="I1095" s="31" t="n"/>
      <c r="J1095" s="31" t="n"/>
      <c r="K1095" s="31" t="n"/>
      <c r="L1095" s="31" t="n"/>
      <c r="M1095" s="31" t="n"/>
      <c r="N1095" s="31" t="n"/>
      <c r="O1095" s="31" t="n"/>
      <c r="P1095" s="31" t="n"/>
      <c r="Q1095" s="31" t="n"/>
      <c r="R1095" s="31" t="n"/>
      <c r="S1095" s="32">
        <f>IF($F1095="","",IF(IFERROR(VLOOKUP($F1095,'维度字典'!$M$2:$N$50,2,0),"求和")="手工录入","",IF(IFERROR(VLOOKUP($F1095,'维度字典'!$M$2:$N$50,2,0),"求和")="最新值",IFERROR(LOOKUP(9.99E+307,G1095:R1095),""),SUM(G1095:R1095))))</f>
        <v/>
      </c>
      <c r="T1095" s="33" t="n"/>
    </row>
    <row r="1096">
      <c r="A1096" s="26">
        <f>IF($B1096="","",ROW()-3)</f>
        <v/>
      </c>
      <c r="B1096" s="27" t="n"/>
      <c r="C1096" s="27" t="n"/>
      <c r="D1096" s="28" t="n"/>
      <c r="E1096" s="29" t="n"/>
      <c r="F1096" s="30" t="n"/>
      <c r="G1096" s="31" t="n"/>
      <c r="H1096" s="31" t="n"/>
      <c r="I1096" s="31" t="n"/>
      <c r="J1096" s="31" t="n"/>
      <c r="K1096" s="31" t="n"/>
      <c r="L1096" s="31" t="n"/>
      <c r="M1096" s="31" t="n"/>
      <c r="N1096" s="31" t="n"/>
      <c r="O1096" s="31" t="n"/>
      <c r="P1096" s="31" t="n"/>
      <c r="Q1096" s="31" t="n"/>
      <c r="R1096" s="31" t="n"/>
      <c r="S1096" s="32">
        <f>IF($F1096="","",IF(IFERROR(VLOOKUP($F1096,'维度字典'!$M$2:$N$50,2,0),"求和")="手工录入","",IF(IFERROR(VLOOKUP($F1096,'维度字典'!$M$2:$N$50,2,0),"求和")="最新值",IFERROR(LOOKUP(9.99E+307,G1096:R1096),""),SUM(G1096:R1096))))</f>
        <v/>
      </c>
      <c r="T1096" s="33" t="n"/>
    </row>
    <row r="1097">
      <c r="A1097" s="26">
        <f>IF($B1097="","",ROW()-3)</f>
        <v/>
      </c>
      <c r="B1097" s="27" t="n"/>
      <c r="C1097" s="27" t="n"/>
      <c r="D1097" s="28" t="n"/>
      <c r="E1097" s="29" t="n"/>
      <c r="F1097" s="30" t="n"/>
      <c r="G1097" s="31" t="n"/>
      <c r="H1097" s="31" t="n"/>
      <c r="I1097" s="31" t="n"/>
      <c r="J1097" s="31" t="n"/>
      <c r="K1097" s="31" t="n"/>
      <c r="L1097" s="31" t="n"/>
      <c r="M1097" s="31" t="n"/>
      <c r="N1097" s="31" t="n"/>
      <c r="O1097" s="31" t="n"/>
      <c r="P1097" s="31" t="n"/>
      <c r="Q1097" s="31" t="n"/>
      <c r="R1097" s="31" t="n"/>
      <c r="S1097" s="32">
        <f>IF($F1097="","",IF(IFERROR(VLOOKUP($F1097,'维度字典'!$M$2:$N$50,2,0),"求和")="手工录入","",IF(IFERROR(VLOOKUP($F1097,'维度字典'!$M$2:$N$50,2,0),"求和")="最新值",IFERROR(LOOKUP(9.99E+307,G1097:R1097),""),SUM(G1097:R1097))))</f>
        <v/>
      </c>
      <c r="T1097" s="33" t="n"/>
    </row>
    <row r="1098">
      <c r="A1098" s="26">
        <f>IF($B1098="","",ROW()-3)</f>
        <v/>
      </c>
      <c r="B1098" s="27" t="n"/>
      <c r="C1098" s="27" t="n"/>
      <c r="D1098" s="28" t="n"/>
      <c r="E1098" s="29" t="n"/>
      <c r="F1098" s="30" t="n"/>
      <c r="G1098" s="31" t="n"/>
      <c r="H1098" s="31" t="n"/>
      <c r="I1098" s="31" t="n"/>
      <c r="J1098" s="31" t="n"/>
      <c r="K1098" s="31" t="n"/>
      <c r="L1098" s="31" t="n"/>
      <c r="M1098" s="31" t="n"/>
      <c r="N1098" s="31" t="n"/>
      <c r="O1098" s="31" t="n"/>
      <c r="P1098" s="31" t="n"/>
      <c r="Q1098" s="31" t="n"/>
      <c r="R1098" s="31" t="n"/>
      <c r="S1098" s="32">
        <f>IF($F1098="","",IF(IFERROR(VLOOKUP($F1098,'维度字典'!$M$2:$N$50,2,0),"求和")="手工录入","",IF(IFERROR(VLOOKUP($F1098,'维度字典'!$M$2:$N$50,2,0),"求和")="最新值",IFERROR(LOOKUP(9.99E+307,G1098:R1098),""),SUM(G1098:R1098))))</f>
        <v/>
      </c>
      <c r="T1098" s="33" t="n"/>
    </row>
    <row r="1099">
      <c r="A1099" s="26">
        <f>IF($B1099="","",ROW()-3)</f>
        <v/>
      </c>
      <c r="B1099" s="27" t="n"/>
      <c r="C1099" s="27" t="n"/>
      <c r="D1099" s="28" t="n"/>
      <c r="E1099" s="29" t="n"/>
      <c r="F1099" s="30" t="n"/>
      <c r="G1099" s="31" t="n"/>
      <c r="H1099" s="31" t="n"/>
      <c r="I1099" s="31" t="n"/>
      <c r="J1099" s="31" t="n"/>
      <c r="K1099" s="31" t="n"/>
      <c r="L1099" s="31" t="n"/>
      <c r="M1099" s="31" t="n"/>
      <c r="N1099" s="31" t="n"/>
      <c r="O1099" s="31" t="n"/>
      <c r="P1099" s="31" t="n"/>
      <c r="Q1099" s="31" t="n"/>
      <c r="R1099" s="31" t="n"/>
      <c r="S1099" s="32">
        <f>IF($F1099="","",IF(IFERROR(VLOOKUP($F1099,'维度字典'!$M$2:$N$50,2,0),"求和")="手工录入","",IF(IFERROR(VLOOKUP($F1099,'维度字典'!$M$2:$N$50,2,0),"求和")="最新值",IFERROR(LOOKUP(9.99E+307,G1099:R1099),""),SUM(G1099:R1099))))</f>
        <v/>
      </c>
      <c r="T1099" s="33" t="n"/>
    </row>
    <row r="1100">
      <c r="A1100" s="26">
        <f>IF($B1100="","",ROW()-3)</f>
        <v/>
      </c>
      <c r="B1100" s="27" t="n"/>
      <c r="C1100" s="27" t="n"/>
      <c r="D1100" s="28" t="n"/>
      <c r="E1100" s="29" t="n"/>
      <c r="F1100" s="30" t="n"/>
      <c r="G1100" s="31" t="n"/>
      <c r="H1100" s="31" t="n"/>
      <c r="I1100" s="31" t="n"/>
      <c r="J1100" s="31" t="n"/>
      <c r="K1100" s="31" t="n"/>
      <c r="L1100" s="31" t="n"/>
      <c r="M1100" s="31" t="n"/>
      <c r="N1100" s="31" t="n"/>
      <c r="O1100" s="31" t="n"/>
      <c r="P1100" s="31" t="n"/>
      <c r="Q1100" s="31" t="n"/>
      <c r="R1100" s="31" t="n"/>
      <c r="S1100" s="32">
        <f>IF($F1100="","",IF(IFERROR(VLOOKUP($F1100,'维度字典'!$M$2:$N$50,2,0),"求和")="手工录入","",IF(IFERROR(VLOOKUP($F1100,'维度字典'!$M$2:$N$50,2,0),"求和")="最新值",IFERROR(LOOKUP(9.99E+307,G1100:R1100),""),SUM(G1100:R1100))))</f>
        <v/>
      </c>
      <c r="T1100" s="33" t="n"/>
    </row>
    <row r="1101">
      <c r="A1101" s="26">
        <f>IF($B1101="","",ROW()-3)</f>
        <v/>
      </c>
      <c r="B1101" s="27" t="n"/>
      <c r="C1101" s="27" t="n"/>
      <c r="D1101" s="28" t="n"/>
      <c r="E1101" s="29" t="n"/>
      <c r="F1101" s="30" t="n"/>
      <c r="G1101" s="31" t="n"/>
      <c r="H1101" s="31" t="n"/>
      <c r="I1101" s="31" t="n"/>
      <c r="J1101" s="31" t="n"/>
      <c r="K1101" s="31" t="n"/>
      <c r="L1101" s="31" t="n"/>
      <c r="M1101" s="31" t="n"/>
      <c r="N1101" s="31" t="n"/>
      <c r="O1101" s="31" t="n"/>
      <c r="P1101" s="31" t="n"/>
      <c r="Q1101" s="31" t="n"/>
      <c r="R1101" s="31" t="n"/>
      <c r="S1101" s="32">
        <f>IF($F1101="","",IF(IFERROR(VLOOKUP($F1101,'维度字典'!$M$2:$N$50,2,0),"求和")="手工录入","",IF(IFERROR(VLOOKUP($F1101,'维度字典'!$M$2:$N$50,2,0),"求和")="最新值",IFERROR(LOOKUP(9.99E+307,G1101:R1101),""),SUM(G1101:R1101))))</f>
        <v/>
      </c>
      <c r="T1101" s="33" t="n"/>
    </row>
    <row r="1102">
      <c r="A1102" s="26">
        <f>IF($B1102="","",ROW()-3)</f>
        <v/>
      </c>
      <c r="B1102" s="27" t="n"/>
      <c r="C1102" s="27" t="n"/>
      <c r="D1102" s="28" t="n"/>
      <c r="E1102" s="29" t="n"/>
      <c r="F1102" s="30" t="n"/>
      <c r="G1102" s="31" t="n"/>
      <c r="H1102" s="31" t="n"/>
      <c r="I1102" s="31" t="n"/>
      <c r="J1102" s="31" t="n"/>
      <c r="K1102" s="31" t="n"/>
      <c r="L1102" s="31" t="n"/>
      <c r="M1102" s="31" t="n"/>
      <c r="N1102" s="31" t="n"/>
      <c r="O1102" s="31" t="n"/>
      <c r="P1102" s="31" t="n"/>
      <c r="Q1102" s="31" t="n"/>
      <c r="R1102" s="31" t="n"/>
      <c r="S1102" s="32">
        <f>IF($F1102="","",IF(IFERROR(VLOOKUP($F1102,'维度字典'!$M$2:$N$50,2,0),"求和")="手工录入","",IF(IFERROR(VLOOKUP($F1102,'维度字典'!$M$2:$N$50,2,0),"求和")="最新值",IFERROR(LOOKUP(9.99E+307,G1102:R1102),""),SUM(G1102:R1102))))</f>
        <v/>
      </c>
      <c r="T1102" s="33" t="n"/>
    </row>
    <row r="1103">
      <c r="A1103" s="26">
        <f>IF($B1103="","",ROW()-3)</f>
        <v/>
      </c>
      <c r="B1103" s="27" t="n"/>
      <c r="C1103" s="27" t="n"/>
      <c r="D1103" s="28" t="n"/>
      <c r="E1103" s="29" t="n"/>
      <c r="F1103" s="30" t="n"/>
      <c r="G1103" s="31" t="n"/>
      <c r="H1103" s="31" t="n"/>
      <c r="I1103" s="31" t="n"/>
      <c r="J1103" s="31" t="n"/>
      <c r="K1103" s="31" t="n"/>
      <c r="L1103" s="31" t="n"/>
      <c r="M1103" s="31" t="n"/>
      <c r="N1103" s="31" t="n"/>
      <c r="O1103" s="31" t="n"/>
      <c r="P1103" s="31" t="n"/>
      <c r="Q1103" s="31" t="n"/>
      <c r="R1103" s="31" t="n"/>
      <c r="S1103" s="32">
        <f>IF($F1103="","",IF(IFERROR(VLOOKUP($F1103,'维度字典'!$M$2:$N$50,2,0),"求和")="手工录入","",IF(IFERROR(VLOOKUP($F1103,'维度字典'!$M$2:$N$50,2,0),"求和")="最新值",IFERROR(LOOKUP(9.99E+307,G1103:R1103),""),SUM(G1103:R1103))))</f>
        <v/>
      </c>
      <c r="T1103" s="33" t="n"/>
    </row>
    <row r="1104">
      <c r="A1104" s="26">
        <f>IF($B1104="","",ROW()-3)</f>
        <v/>
      </c>
      <c r="B1104" s="27" t="n"/>
      <c r="C1104" s="27" t="n"/>
      <c r="D1104" s="28" t="n"/>
      <c r="E1104" s="29" t="n"/>
      <c r="F1104" s="30" t="n"/>
      <c r="G1104" s="31" t="n"/>
      <c r="H1104" s="31" t="n"/>
      <c r="I1104" s="31" t="n"/>
      <c r="J1104" s="31" t="n"/>
      <c r="K1104" s="31" t="n"/>
      <c r="L1104" s="31" t="n"/>
      <c r="M1104" s="31" t="n"/>
      <c r="N1104" s="31" t="n"/>
      <c r="O1104" s="31" t="n"/>
      <c r="P1104" s="31" t="n"/>
      <c r="Q1104" s="31" t="n"/>
      <c r="R1104" s="31" t="n"/>
      <c r="S1104" s="32">
        <f>IF($F1104="","",IF(IFERROR(VLOOKUP($F1104,'维度字典'!$M$2:$N$50,2,0),"求和")="手工录入","",IF(IFERROR(VLOOKUP($F1104,'维度字典'!$M$2:$N$50,2,0),"求和")="最新值",IFERROR(LOOKUP(9.99E+307,G1104:R1104),""),SUM(G1104:R1104))))</f>
        <v/>
      </c>
      <c r="T1104" s="33" t="n"/>
    </row>
    <row r="1105">
      <c r="A1105" s="26">
        <f>IF($B1105="","",ROW()-3)</f>
        <v/>
      </c>
      <c r="B1105" s="27" t="n"/>
      <c r="C1105" s="27" t="n"/>
      <c r="D1105" s="28" t="n"/>
      <c r="E1105" s="29" t="n"/>
      <c r="F1105" s="30" t="n"/>
      <c r="G1105" s="31" t="n"/>
      <c r="H1105" s="31" t="n"/>
      <c r="I1105" s="31" t="n"/>
      <c r="J1105" s="31" t="n"/>
      <c r="K1105" s="31" t="n"/>
      <c r="L1105" s="31" t="n"/>
      <c r="M1105" s="31" t="n"/>
      <c r="N1105" s="31" t="n"/>
      <c r="O1105" s="31" t="n"/>
      <c r="P1105" s="31" t="n"/>
      <c r="Q1105" s="31" t="n"/>
      <c r="R1105" s="31" t="n"/>
      <c r="S1105" s="32">
        <f>IF($F1105="","",IF(IFERROR(VLOOKUP($F1105,'维度字典'!$M$2:$N$50,2,0),"求和")="手工录入","",IF(IFERROR(VLOOKUP($F1105,'维度字典'!$M$2:$N$50,2,0),"求和")="最新值",IFERROR(LOOKUP(9.99E+307,G1105:R1105),""),SUM(G1105:R1105))))</f>
        <v/>
      </c>
      <c r="T1105" s="33" t="n"/>
    </row>
    <row r="1106">
      <c r="A1106" s="26">
        <f>IF($B1106="","",ROW()-3)</f>
        <v/>
      </c>
      <c r="B1106" s="27" t="n"/>
      <c r="C1106" s="27" t="n"/>
      <c r="D1106" s="28" t="n"/>
      <c r="E1106" s="29" t="n"/>
      <c r="F1106" s="30" t="n"/>
      <c r="G1106" s="31" t="n"/>
      <c r="H1106" s="31" t="n"/>
      <c r="I1106" s="31" t="n"/>
      <c r="J1106" s="31" t="n"/>
      <c r="K1106" s="31" t="n"/>
      <c r="L1106" s="31" t="n"/>
      <c r="M1106" s="31" t="n"/>
      <c r="N1106" s="31" t="n"/>
      <c r="O1106" s="31" t="n"/>
      <c r="P1106" s="31" t="n"/>
      <c r="Q1106" s="31" t="n"/>
      <c r="R1106" s="31" t="n"/>
      <c r="S1106" s="32">
        <f>IF($F1106="","",IF(IFERROR(VLOOKUP($F1106,'维度字典'!$M$2:$N$50,2,0),"求和")="手工录入","",IF(IFERROR(VLOOKUP($F1106,'维度字典'!$M$2:$N$50,2,0),"求和")="最新值",IFERROR(LOOKUP(9.99E+307,G1106:R1106),""),SUM(G1106:R1106))))</f>
        <v/>
      </c>
      <c r="T1106" s="33" t="n"/>
    </row>
    <row r="1107">
      <c r="A1107" s="26">
        <f>IF($B1107="","",ROW()-3)</f>
        <v/>
      </c>
      <c r="B1107" s="27" t="n"/>
      <c r="C1107" s="27" t="n"/>
      <c r="D1107" s="28" t="n"/>
      <c r="E1107" s="29" t="n"/>
      <c r="F1107" s="30" t="n"/>
      <c r="G1107" s="31" t="n"/>
      <c r="H1107" s="31" t="n"/>
      <c r="I1107" s="31" t="n"/>
      <c r="J1107" s="31" t="n"/>
      <c r="K1107" s="31" t="n"/>
      <c r="L1107" s="31" t="n"/>
      <c r="M1107" s="31" t="n"/>
      <c r="N1107" s="31" t="n"/>
      <c r="O1107" s="31" t="n"/>
      <c r="P1107" s="31" t="n"/>
      <c r="Q1107" s="31" t="n"/>
      <c r="R1107" s="31" t="n"/>
      <c r="S1107" s="32">
        <f>IF($F1107="","",IF(IFERROR(VLOOKUP($F1107,'维度字典'!$M$2:$N$50,2,0),"求和")="手工录入","",IF(IFERROR(VLOOKUP($F1107,'维度字典'!$M$2:$N$50,2,0),"求和")="最新值",IFERROR(LOOKUP(9.99E+307,G1107:R1107),""),SUM(G1107:R1107))))</f>
        <v/>
      </c>
      <c r="T1107" s="33" t="n"/>
    </row>
    <row r="1108">
      <c r="A1108" s="26">
        <f>IF($B1108="","",ROW()-3)</f>
        <v/>
      </c>
      <c r="B1108" s="27" t="n"/>
      <c r="C1108" s="27" t="n"/>
      <c r="D1108" s="28" t="n"/>
      <c r="E1108" s="29" t="n"/>
      <c r="F1108" s="30" t="n"/>
      <c r="G1108" s="31" t="n"/>
      <c r="H1108" s="31" t="n"/>
      <c r="I1108" s="31" t="n"/>
      <c r="J1108" s="31" t="n"/>
      <c r="K1108" s="31" t="n"/>
      <c r="L1108" s="31" t="n"/>
      <c r="M1108" s="31" t="n"/>
      <c r="N1108" s="31" t="n"/>
      <c r="O1108" s="31" t="n"/>
      <c r="P1108" s="31" t="n"/>
      <c r="Q1108" s="31" t="n"/>
      <c r="R1108" s="31" t="n"/>
      <c r="S1108" s="32">
        <f>IF($F1108="","",IF(IFERROR(VLOOKUP($F1108,'维度字典'!$M$2:$N$50,2,0),"求和")="手工录入","",IF(IFERROR(VLOOKUP($F1108,'维度字典'!$M$2:$N$50,2,0),"求和")="最新值",IFERROR(LOOKUP(9.99E+307,G1108:R1108),""),SUM(G1108:R1108))))</f>
        <v/>
      </c>
      <c r="T1108" s="33" t="n"/>
    </row>
    <row r="1109">
      <c r="A1109" s="26">
        <f>IF($B1109="","",ROW()-3)</f>
        <v/>
      </c>
      <c r="B1109" s="27" t="n"/>
      <c r="C1109" s="27" t="n"/>
      <c r="D1109" s="28" t="n"/>
      <c r="E1109" s="29" t="n"/>
      <c r="F1109" s="30" t="n"/>
      <c r="G1109" s="31" t="n"/>
      <c r="H1109" s="31" t="n"/>
      <c r="I1109" s="31" t="n"/>
      <c r="J1109" s="31" t="n"/>
      <c r="K1109" s="31" t="n"/>
      <c r="L1109" s="31" t="n"/>
      <c r="M1109" s="31" t="n"/>
      <c r="N1109" s="31" t="n"/>
      <c r="O1109" s="31" t="n"/>
      <c r="P1109" s="31" t="n"/>
      <c r="Q1109" s="31" t="n"/>
      <c r="R1109" s="31" t="n"/>
      <c r="S1109" s="32">
        <f>IF($F1109="","",IF(IFERROR(VLOOKUP($F1109,'维度字典'!$M$2:$N$50,2,0),"求和")="手工录入","",IF(IFERROR(VLOOKUP($F1109,'维度字典'!$M$2:$N$50,2,0),"求和")="最新值",IFERROR(LOOKUP(9.99E+307,G1109:R1109),""),SUM(G1109:R1109))))</f>
        <v/>
      </c>
      <c r="T1109" s="33" t="n"/>
    </row>
    <row r="1110">
      <c r="A1110" s="26">
        <f>IF($B1110="","",ROW()-3)</f>
        <v/>
      </c>
      <c r="B1110" s="27" t="n"/>
      <c r="C1110" s="27" t="n"/>
      <c r="D1110" s="28" t="n"/>
      <c r="E1110" s="29" t="n"/>
      <c r="F1110" s="30" t="n"/>
      <c r="G1110" s="31" t="n"/>
      <c r="H1110" s="31" t="n"/>
      <c r="I1110" s="31" t="n"/>
      <c r="J1110" s="31" t="n"/>
      <c r="K1110" s="31" t="n"/>
      <c r="L1110" s="31" t="n"/>
      <c r="M1110" s="31" t="n"/>
      <c r="N1110" s="31" t="n"/>
      <c r="O1110" s="31" t="n"/>
      <c r="P1110" s="31" t="n"/>
      <c r="Q1110" s="31" t="n"/>
      <c r="R1110" s="31" t="n"/>
      <c r="S1110" s="32">
        <f>IF($F1110="","",IF(IFERROR(VLOOKUP($F1110,'维度字典'!$M$2:$N$50,2,0),"求和")="手工录入","",IF(IFERROR(VLOOKUP($F1110,'维度字典'!$M$2:$N$50,2,0),"求和")="最新值",IFERROR(LOOKUP(9.99E+307,G1110:R1110),""),SUM(G1110:R1110))))</f>
        <v/>
      </c>
      <c r="T1110" s="33" t="n"/>
    </row>
    <row r="1111">
      <c r="A1111" s="26">
        <f>IF($B1111="","",ROW()-3)</f>
        <v/>
      </c>
      <c r="B1111" s="27" t="n"/>
      <c r="C1111" s="27" t="n"/>
      <c r="D1111" s="28" t="n"/>
      <c r="E1111" s="29" t="n"/>
      <c r="F1111" s="30" t="n"/>
      <c r="G1111" s="31" t="n"/>
      <c r="H1111" s="31" t="n"/>
      <c r="I1111" s="31" t="n"/>
      <c r="J1111" s="31" t="n"/>
      <c r="K1111" s="31" t="n"/>
      <c r="L1111" s="31" t="n"/>
      <c r="M1111" s="31" t="n"/>
      <c r="N1111" s="31" t="n"/>
      <c r="O1111" s="31" t="n"/>
      <c r="P1111" s="31" t="n"/>
      <c r="Q1111" s="31" t="n"/>
      <c r="R1111" s="31" t="n"/>
      <c r="S1111" s="32">
        <f>IF($F1111="","",IF(IFERROR(VLOOKUP($F1111,'维度字典'!$M$2:$N$50,2,0),"求和")="手工录入","",IF(IFERROR(VLOOKUP($F1111,'维度字典'!$M$2:$N$50,2,0),"求和")="最新值",IFERROR(LOOKUP(9.99E+307,G1111:R1111),""),SUM(G1111:R1111))))</f>
        <v/>
      </c>
      <c r="T1111" s="33" t="n"/>
    </row>
    <row r="1112">
      <c r="A1112" s="26">
        <f>IF($B1112="","",ROW()-3)</f>
        <v/>
      </c>
      <c r="B1112" s="27" t="n"/>
      <c r="C1112" s="27" t="n"/>
      <c r="D1112" s="28" t="n"/>
      <c r="E1112" s="29" t="n"/>
      <c r="F1112" s="30" t="n"/>
      <c r="G1112" s="31" t="n"/>
      <c r="H1112" s="31" t="n"/>
      <c r="I1112" s="31" t="n"/>
      <c r="J1112" s="31" t="n"/>
      <c r="K1112" s="31" t="n"/>
      <c r="L1112" s="31" t="n"/>
      <c r="M1112" s="31" t="n"/>
      <c r="N1112" s="31" t="n"/>
      <c r="O1112" s="31" t="n"/>
      <c r="P1112" s="31" t="n"/>
      <c r="Q1112" s="31" t="n"/>
      <c r="R1112" s="31" t="n"/>
      <c r="S1112" s="32">
        <f>IF($F1112="","",IF(IFERROR(VLOOKUP($F1112,'维度字典'!$M$2:$N$50,2,0),"求和")="手工录入","",IF(IFERROR(VLOOKUP($F1112,'维度字典'!$M$2:$N$50,2,0),"求和")="最新值",IFERROR(LOOKUP(9.99E+307,G1112:R1112),""),SUM(G1112:R1112))))</f>
        <v/>
      </c>
      <c r="T1112" s="33" t="n"/>
    </row>
    <row r="1113">
      <c r="A1113" s="26">
        <f>IF($B1113="","",ROW()-3)</f>
        <v/>
      </c>
      <c r="B1113" s="27" t="n"/>
      <c r="C1113" s="27" t="n"/>
      <c r="D1113" s="28" t="n"/>
      <c r="E1113" s="29" t="n"/>
      <c r="F1113" s="30" t="n"/>
      <c r="G1113" s="31" t="n"/>
      <c r="H1113" s="31" t="n"/>
      <c r="I1113" s="31" t="n"/>
      <c r="J1113" s="31" t="n"/>
      <c r="K1113" s="31" t="n"/>
      <c r="L1113" s="31" t="n"/>
      <c r="M1113" s="31" t="n"/>
      <c r="N1113" s="31" t="n"/>
      <c r="O1113" s="31" t="n"/>
      <c r="P1113" s="31" t="n"/>
      <c r="Q1113" s="31" t="n"/>
      <c r="R1113" s="31" t="n"/>
      <c r="S1113" s="32">
        <f>IF($F1113="","",IF(IFERROR(VLOOKUP($F1113,'维度字典'!$M$2:$N$50,2,0),"求和")="手工录入","",IF(IFERROR(VLOOKUP($F1113,'维度字典'!$M$2:$N$50,2,0),"求和")="最新值",IFERROR(LOOKUP(9.99E+307,G1113:R1113),""),SUM(G1113:R1113))))</f>
        <v/>
      </c>
      <c r="T1113" s="33" t="n"/>
    </row>
    <row r="1114">
      <c r="A1114" s="26">
        <f>IF($B1114="","",ROW()-3)</f>
        <v/>
      </c>
      <c r="B1114" s="27" t="n"/>
      <c r="C1114" s="27" t="n"/>
      <c r="D1114" s="28" t="n"/>
      <c r="E1114" s="29" t="n"/>
      <c r="F1114" s="30" t="n"/>
      <c r="G1114" s="31" t="n"/>
      <c r="H1114" s="31" t="n"/>
      <c r="I1114" s="31" t="n"/>
      <c r="J1114" s="31" t="n"/>
      <c r="K1114" s="31" t="n"/>
      <c r="L1114" s="31" t="n"/>
      <c r="M1114" s="31" t="n"/>
      <c r="N1114" s="31" t="n"/>
      <c r="O1114" s="31" t="n"/>
      <c r="P1114" s="31" t="n"/>
      <c r="Q1114" s="31" t="n"/>
      <c r="R1114" s="31" t="n"/>
      <c r="S1114" s="32">
        <f>IF($F1114="","",IF(IFERROR(VLOOKUP($F1114,'维度字典'!$M$2:$N$50,2,0),"求和")="手工录入","",IF(IFERROR(VLOOKUP($F1114,'维度字典'!$M$2:$N$50,2,0),"求和")="最新值",IFERROR(LOOKUP(9.99E+307,G1114:R1114),""),SUM(G1114:R1114))))</f>
        <v/>
      </c>
      <c r="T1114" s="33" t="n"/>
    </row>
    <row r="1115">
      <c r="A1115" s="26">
        <f>IF($B1115="","",ROW()-3)</f>
        <v/>
      </c>
      <c r="B1115" s="27" t="n"/>
      <c r="C1115" s="27" t="n"/>
      <c r="D1115" s="28" t="n"/>
      <c r="E1115" s="29" t="n"/>
      <c r="F1115" s="30" t="n"/>
      <c r="G1115" s="31" t="n"/>
      <c r="H1115" s="31" t="n"/>
      <c r="I1115" s="31" t="n"/>
      <c r="J1115" s="31" t="n"/>
      <c r="K1115" s="31" t="n"/>
      <c r="L1115" s="31" t="n"/>
      <c r="M1115" s="31" t="n"/>
      <c r="N1115" s="31" t="n"/>
      <c r="O1115" s="31" t="n"/>
      <c r="P1115" s="31" t="n"/>
      <c r="Q1115" s="31" t="n"/>
      <c r="R1115" s="31" t="n"/>
      <c r="S1115" s="32">
        <f>IF($F1115="","",IF(IFERROR(VLOOKUP($F1115,'维度字典'!$M$2:$N$50,2,0),"求和")="手工录入","",IF(IFERROR(VLOOKUP($F1115,'维度字典'!$M$2:$N$50,2,0),"求和")="最新值",IFERROR(LOOKUP(9.99E+307,G1115:R1115),""),SUM(G1115:R1115))))</f>
        <v/>
      </c>
      <c r="T1115" s="33" t="n"/>
    </row>
    <row r="1116">
      <c r="A1116" s="26">
        <f>IF($B1116="","",ROW()-3)</f>
        <v/>
      </c>
      <c r="B1116" s="27" t="n"/>
      <c r="C1116" s="27" t="n"/>
      <c r="D1116" s="28" t="n"/>
      <c r="E1116" s="29" t="n"/>
      <c r="F1116" s="30" t="n"/>
      <c r="G1116" s="31" t="n"/>
      <c r="H1116" s="31" t="n"/>
      <c r="I1116" s="31" t="n"/>
      <c r="J1116" s="31" t="n"/>
      <c r="K1116" s="31" t="n"/>
      <c r="L1116" s="31" t="n"/>
      <c r="M1116" s="31" t="n"/>
      <c r="N1116" s="31" t="n"/>
      <c r="O1116" s="31" t="n"/>
      <c r="P1116" s="31" t="n"/>
      <c r="Q1116" s="31" t="n"/>
      <c r="R1116" s="31" t="n"/>
      <c r="S1116" s="32">
        <f>IF($F1116="","",IF(IFERROR(VLOOKUP($F1116,'维度字典'!$M$2:$N$50,2,0),"求和")="手工录入","",IF(IFERROR(VLOOKUP($F1116,'维度字典'!$M$2:$N$50,2,0),"求和")="最新值",IFERROR(LOOKUP(9.99E+307,G1116:R1116),""),SUM(G1116:R1116))))</f>
        <v/>
      </c>
      <c r="T1116" s="33" t="n"/>
    </row>
    <row r="1117">
      <c r="A1117" s="26">
        <f>IF($B1117="","",ROW()-3)</f>
        <v/>
      </c>
      <c r="B1117" s="27" t="n"/>
      <c r="C1117" s="27" t="n"/>
      <c r="D1117" s="28" t="n"/>
      <c r="E1117" s="29" t="n"/>
      <c r="F1117" s="30" t="n"/>
      <c r="G1117" s="31" t="n"/>
      <c r="H1117" s="31" t="n"/>
      <c r="I1117" s="31" t="n"/>
      <c r="J1117" s="31" t="n"/>
      <c r="K1117" s="31" t="n"/>
      <c r="L1117" s="31" t="n"/>
      <c r="M1117" s="31" t="n"/>
      <c r="N1117" s="31" t="n"/>
      <c r="O1117" s="31" t="n"/>
      <c r="P1117" s="31" t="n"/>
      <c r="Q1117" s="31" t="n"/>
      <c r="R1117" s="31" t="n"/>
      <c r="S1117" s="32">
        <f>IF($F1117="","",IF(IFERROR(VLOOKUP($F1117,'维度字典'!$M$2:$N$50,2,0),"求和")="手工录入","",IF(IFERROR(VLOOKUP($F1117,'维度字典'!$M$2:$N$50,2,0),"求和")="最新值",IFERROR(LOOKUP(9.99E+307,G1117:R1117),""),SUM(G1117:R1117))))</f>
        <v/>
      </c>
      <c r="T1117" s="33" t="n"/>
    </row>
    <row r="1118">
      <c r="A1118" s="26">
        <f>IF($B1118="","",ROW()-3)</f>
        <v/>
      </c>
      <c r="B1118" s="27" t="n"/>
      <c r="C1118" s="27" t="n"/>
      <c r="D1118" s="28" t="n"/>
      <c r="E1118" s="29" t="n"/>
      <c r="F1118" s="30" t="n"/>
      <c r="G1118" s="31" t="n"/>
      <c r="H1118" s="31" t="n"/>
      <c r="I1118" s="31" t="n"/>
      <c r="J1118" s="31" t="n"/>
      <c r="K1118" s="31" t="n"/>
      <c r="L1118" s="31" t="n"/>
      <c r="M1118" s="31" t="n"/>
      <c r="N1118" s="31" t="n"/>
      <c r="O1118" s="31" t="n"/>
      <c r="P1118" s="31" t="n"/>
      <c r="Q1118" s="31" t="n"/>
      <c r="R1118" s="31" t="n"/>
      <c r="S1118" s="32">
        <f>IF($F1118="","",IF(IFERROR(VLOOKUP($F1118,'维度字典'!$M$2:$N$50,2,0),"求和")="手工录入","",IF(IFERROR(VLOOKUP($F1118,'维度字典'!$M$2:$N$50,2,0),"求和")="最新值",IFERROR(LOOKUP(9.99E+307,G1118:R1118),""),SUM(G1118:R1118))))</f>
        <v/>
      </c>
      <c r="T1118" s="33" t="n"/>
    </row>
    <row r="1119">
      <c r="A1119" s="26">
        <f>IF($B1119="","",ROW()-3)</f>
        <v/>
      </c>
      <c r="B1119" s="27" t="n"/>
      <c r="C1119" s="27" t="n"/>
      <c r="D1119" s="28" t="n"/>
      <c r="E1119" s="29" t="n"/>
      <c r="F1119" s="30" t="n"/>
      <c r="G1119" s="31" t="n"/>
      <c r="H1119" s="31" t="n"/>
      <c r="I1119" s="31" t="n"/>
      <c r="J1119" s="31" t="n"/>
      <c r="K1119" s="31" t="n"/>
      <c r="L1119" s="31" t="n"/>
      <c r="M1119" s="31" t="n"/>
      <c r="N1119" s="31" t="n"/>
      <c r="O1119" s="31" t="n"/>
      <c r="P1119" s="31" t="n"/>
      <c r="Q1119" s="31" t="n"/>
      <c r="R1119" s="31" t="n"/>
      <c r="S1119" s="32">
        <f>IF($F1119="","",IF(IFERROR(VLOOKUP($F1119,'维度字典'!$M$2:$N$50,2,0),"求和")="手工录入","",IF(IFERROR(VLOOKUP($F1119,'维度字典'!$M$2:$N$50,2,0),"求和")="最新值",IFERROR(LOOKUP(9.99E+307,G1119:R1119),""),SUM(G1119:R1119))))</f>
        <v/>
      </c>
      <c r="T1119" s="33" t="n"/>
    </row>
    <row r="1120">
      <c r="A1120" s="26">
        <f>IF($B1120="","",ROW()-3)</f>
        <v/>
      </c>
      <c r="B1120" s="27" t="n"/>
      <c r="C1120" s="27" t="n"/>
      <c r="D1120" s="28" t="n"/>
      <c r="E1120" s="29" t="n"/>
      <c r="F1120" s="30" t="n"/>
      <c r="G1120" s="31" t="n"/>
      <c r="H1120" s="31" t="n"/>
      <c r="I1120" s="31" t="n"/>
      <c r="J1120" s="31" t="n"/>
      <c r="K1120" s="31" t="n"/>
      <c r="L1120" s="31" t="n"/>
      <c r="M1120" s="31" t="n"/>
      <c r="N1120" s="31" t="n"/>
      <c r="O1120" s="31" t="n"/>
      <c r="P1120" s="31" t="n"/>
      <c r="Q1120" s="31" t="n"/>
      <c r="R1120" s="31" t="n"/>
      <c r="S1120" s="32">
        <f>IF($F1120="","",IF(IFERROR(VLOOKUP($F1120,'维度字典'!$M$2:$N$50,2,0),"求和")="手工录入","",IF(IFERROR(VLOOKUP($F1120,'维度字典'!$M$2:$N$50,2,0),"求和")="最新值",IFERROR(LOOKUP(9.99E+307,G1120:R1120),""),SUM(G1120:R1120))))</f>
        <v/>
      </c>
      <c r="T1120" s="33" t="n"/>
    </row>
    <row r="1121">
      <c r="A1121" s="26">
        <f>IF($B1121="","",ROW()-3)</f>
        <v/>
      </c>
      <c r="B1121" s="27" t="n"/>
      <c r="C1121" s="27" t="n"/>
      <c r="D1121" s="28" t="n"/>
      <c r="E1121" s="29" t="n"/>
      <c r="F1121" s="30" t="n"/>
      <c r="G1121" s="31" t="n"/>
      <c r="H1121" s="31" t="n"/>
      <c r="I1121" s="31" t="n"/>
      <c r="J1121" s="31" t="n"/>
      <c r="K1121" s="31" t="n"/>
      <c r="L1121" s="31" t="n"/>
      <c r="M1121" s="31" t="n"/>
      <c r="N1121" s="31" t="n"/>
      <c r="O1121" s="31" t="n"/>
      <c r="P1121" s="31" t="n"/>
      <c r="Q1121" s="31" t="n"/>
      <c r="R1121" s="31" t="n"/>
      <c r="S1121" s="32">
        <f>IF($F1121="","",IF(IFERROR(VLOOKUP($F1121,'维度字典'!$M$2:$N$50,2,0),"求和")="手工录入","",IF(IFERROR(VLOOKUP($F1121,'维度字典'!$M$2:$N$50,2,0),"求和")="最新值",IFERROR(LOOKUP(9.99E+307,G1121:R1121),""),SUM(G1121:R1121))))</f>
        <v/>
      </c>
      <c r="T1121" s="33" t="n"/>
    </row>
    <row r="1122">
      <c r="A1122" s="26">
        <f>IF($B1122="","",ROW()-3)</f>
        <v/>
      </c>
      <c r="B1122" s="27" t="n"/>
      <c r="C1122" s="27" t="n"/>
      <c r="D1122" s="28" t="n"/>
      <c r="E1122" s="29" t="n"/>
      <c r="F1122" s="30" t="n"/>
      <c r="G1122" s="31" t="n"/>
      <c r="H1122" s="31" t="n"/>
      <c r="I1122" s="31" t="n"/>
      <c r="J1122" s="31" t="n"/>
      <c r="K1122" s="31" t="n"/>
      <c r="L1122" s="31" t="n"/>
      <c r="M1122" s="31" t="n"/>
      <c r="N1122" s="31" t="n"/>
      <c r="O1122" s="31" t="n"/>
      <c r="P1122" s="31" t="n"/>
      <c r="Q1122" s="31" t="n"/>
      <c r="R1122" s="31" t="n"/>
      <c r="S1122" s="32">
        <f>IF($F1122="","",IF(IFERROR(VLOOKUP($F1122,'维度字典'!$M$2:$N$50,2,0),"求和")="手工录入","",IF(IFERROR(VLOOKUP($F1122,'维度字典'!$M$2:$N$50,2,0),"求和")="最新值",IFERROR(LOOKUP(9.99E+307,G1122:R1122),""),SUM(G1122:R1122))))</f>
        <v/>
      </c>
      <c r="T1122" s="33" t="n"/>
    </row>
    <row r="1123">
      <c r="A1123" s="26">
        <f>IF($B1123="","",ROW()-3)</f>
        <v/>
      </c>
      <c r="B1123" s="27" t="n"/>
      <c r="C1123" s="27" t="n"/>
      <c r="D1123" s="28" t="n"/>
      <c r="E1123" s="29" t="n"/>
      <c r="F1123" s="30" t="n"/>
      <c r="G1123" s="31" t="n"/>
      <c r="H1123" s="31" t="n"/>
      <c r="I1123" s="31" t="n"/>
      <c r="J1123" s="31" t="n"/>
      <c r="K1123" s="31" t="n"/>
      <c r="L1123" s="31" t="n"/>
      <c r="M1123" s="31" t="n"/>
      <c r="N1123" s="31" t="n"/>
      <c r="O1123" s="31" t="n"/>
      <c r="P1123" s="31" t="n"/>
      <c r="Q1123" s="31" t="n"/>
      <c r="R1123" s="31" t="n"/>
      <c r="S1123" s="32">
        <f>IF($F1123="","",IF(IFERROR(VLOOKUP($F1123,'维度字典'!$M$2:$N$50,2,0),"求和")="手工录入","",IF(IFERROR(VLOOKUP($F1123,'维度字典'!$M$2:$N$50,2,0),"求和")="最新值",IFERROR(LOOKUP(9.99E+307,G1123:R1123),""),SUM(G1123:R1123))))</f>
        <v/>
      </c>
      <c r="T1123" s="33" t="n"/>
    </row>
    <row r="1124">
      <c r="A1124" s="26">
        <f>IF($B1124="","",ROW()-3)</f>
        <v/>
      </c>
      <c r="B1124" s="27" t="n"/>
      <c r="C1124" s="27" t="n"/>
      <c r="D1124" s="28" t="n"/>
      <c r="E1124" s="29" t="n"/>
      <c r="F1124" s="30" t="n"/>
      <c r="G1124" s="31" t="n"/>
      <c r="H1124" s="31" t="n"/>
      <c r="I1124" s="31" t="n"/>
      <c r="J1124" s="31" t="n"/>
      <c r="K1124" s="31" t="n"/>
      <c r="L1124" s="31" t="n"/>
      <c r="M1124" s="31" t="n"/>
      <c r="N1124" s="31" t="n"/>
      <c r="O1124" s="31" t="n"/>
      <c r="P1124" s="31" t="n"/>
      <c r="Q1124" s="31" t="n"/>
      <c r="R1124" s="31" t="n"/>
      <c r="S1124" s="32">
        <f>IF($F1124="","",IF(IFERROR(VLOOKUP($F1124,'维度字典'!$M$2:$N$50,2,0),"求和")="手工录入","",IF(IFERROR(VLOOKUP($F1124,'维度字典'!$M$2:$N$50,2,0),"求和")="最新值",IFERROR(LOOKUP(9.99E+307,G1124:R1124),""),SUM(G1124:R1124))))</f>
        <v/>
      </c>
      <c r="T1124" s="33" t="n"/>
    </row>
    <row r="1125">
      <c r="A1125" s="26">
        <f>IF($B1125="","",ROW()-3)</f>
        <v/>
      </c>
      <c r="B1125" s="27" t="n"/>
      <c r="C1125" s="27" t="n"/>
      <c r="D1125" s="28" t="n"/>
      <c r="E1125" s="29" t="n"/>
      <c r="F1125" s="30" t="n"/>
      <c r="G1125" s="31" t="n"/>
      <c r="H1125" s="31" t="n"/>
      <c r="I1125" s="31" t="n"/>
      <c r="J1125" s="31" t="n"/>
      <c r="K1125" s="31" t="n"/>
      <c r="L1125" s="31" t="n"/>
      <c r="M1125" s="31" t="n"/>
      <c r="N1125" s="31" t="n"/>
      <c r="O1125" s="31" t="n"/>
      <c r="P1125" s="31" t="n"/>
      <c r="Q1125" s="31" t="n"/>
      <c r="R1125" s="31" t="n"/>
      <c r="S1125" s="32">
        <f>IF($F1125="","",IF(IFERROR(VLOOKUP($F1125,'维度字典'!$M$2:$N$50,2,0),"求和")="手工录入","",IF(IFERROR(VLOOKUP($F1125,'维度字典'!$M$2:$N$50,2,0),"求和")="最新值",IFERROR(LOOKUP(9.99E+307,G1125:R1125),""),SUM(G1125:R1125))))</f>
        <v/>
      </c>
      <c r="T1125" s="33" t="n"/>
    </row>
    <row r="1126">
      <c r="A1126" s="26">
        <f>IF($B1126="","",ROW()-3)</f>
        <v/>
      </c>
      <c r="B1126" s="27" t="n"/>
      <c r="C1126" s="27" t="n"/>
      <c r="D1126" s="28" t="n"/>
      <c r="E1126" s="29" t="n"/>
      <c r="F1126" s="30" t="n"/>
      <c r="G1126" s="31" t="n"/>
      <c r="H1126" s="31" t="n"/>
      <c r="I1126" s="31" t="n"/>
      <c r="J1126" s="31" t="n"/>
      <c r="K1126" s="31" t="n"/>
      <c r="L1126" s="31" t="n"/>
      <c r="M1126" s="31" t="n"/>
      <c r="N1126" s="31" t="n"/>
      <c r="O1126" s="31" t="n"/>
      <c r="P1126" s="31" t="n"/>
      <c r="Q1126" s="31" t="n"/>
      <c r="R1126" s="31" t="n"/>
      <c r="S1126" s="32">
        <f>IF($F1126="","",IF(IFERROR(VLOOKUP($F1126,'维度字典'!$M$2:$N$50,2,0),"求和")="手工录入","",IF(IFERROR(VLOOKUP($F1126,'维度字典'!$M$2:$N$50,2,0),"求和")="最新值",IFERROR(LOOKUP(9.99E+307,G1126:R1126),""),SUM(G1126:R1126))))</f>
        <v/>
      </c>
      <c r="T1126" s="33" t="n"/>
    </row>
    <row r="1127">
      <c r="A1127" s="26">
        <f>IF($B1127="","",ROW()-3)</f>
        <v/>
      </c>
      <c r="B1127" s="27" t="n"/>
      <c r="C1127" s="27" t="n"/>
      <c r="D1127" s="28" t="n"/>
      <c r="E1127" s="29" t="n"/>
      <c r="F1127" s="30" t="n"/>
      <c r="G1127" s="31" t="n"/>
      <c r="H1127" s="31" t="n"/>
      <c r="I1127" s="31" t="n"/>
      <c r="J1127" s="31" t="n"/>
      <c r="K1127" s="31" t="n"/>
      <c r="L1127" s="31" t="n"/>
      <c r="M1127" s="31" t="n"/>
      <c r="N1127" s="31" t="n"/>
      <c r="O1127" s="31" t="n"/>
      <c r="P1127" s="31" t="n"/>
      <c r="Q1127" s="31" t="n"/>
      <c r="R1127" s="31" t="n"/>
      <c r="S1127" s="32">
        <f>IF($F1127="","",IF(IFERROR(VLOOKUP($F1127,'维度字典'!$M$2:$N$50,2,0),"求和")="手工录入","",IF(IFERROR(VLOOKUP($F1127,'维度字典'!$M$2:$N$50,2,0),"求和")="最新值",IFERROR(LOOKUP(9.99E+307,G1127:R1127),""),SUM(G1127:R1127))))</f>
        <v/>
      </c>
      <c r="T1127" s="33" t="n"/>
    </row>
    <row r="1128">
      <c r="A1128" s="26">
        <f>IF($B1128="","",ROW()-3)</f>
        <v/>
      </c>
      <c r="B1128" s="27" t="n"/>
      <c r="C1128" s="27" t="n"/>
      <c r="D1128" s="28" t="n"/>
      <c r="E1128" s="29" t="n"/>
      <c r="F1128" s="30" t="n"/>
      <c r="G1128" s="31" t="n"/>
      <c r="H1128" s="31" t="n"/>
      <c r="I1128" s="31" t="n"/>
      <c r="J1128" s="31" t="n"/>
      <c r="K1128" s="31" t="n"/>
      <c r="L1128" s="31" t="n"/>
      <c r="M1128" s="31" t="n"/>
      <c r="N1128" s="31" t="n"/>
      <c r="O1128" s="31" t="n"/>
      <c r="P1128" s="31" t="n"/>
      <c r="Q1128" s="31" t="n"/>
      <c r="R1128" s="31" t="n"/>
      <c r="S1128" s="32">
        <f>IF($F1128="","",IF(IFERROR(VLOOKUP($F1128,'维度字典'!$M$2:$N$50,2,0),"求和")="手工录入","",IF(IFERROR(VLOOKUP($F1128,'维度字典'!$M$2:$N$50,2,0),"求和")="最新值",IFERROR(LOOKUP(9.99E+307,G1128:R1128),""),SUM(G1128:R1128))))</f>
        <v/>
      </c>
      <c r="T1128" s="33" t="n"/>
    </row>
    <row r="1129">
      <c r="A1129" s="26">
        <f>IF($B1129="","",ROW()-3)</f>
        <v/>
      </c>
      <c r="B1129" s="27" t="n"/>
      <c r="C1129" s="27" t="n"/>
      <c r="D1129" s="28" t="n"/>
      <c r="E1129" s="29" t="n"/>
      <c r="F1129" s="30" t="n"/>
      <c r="G1129" s="31" t="n"/>
      <c r="H1129" s="31" t="n"/>
      <c r="I1129" s="31" t="n"/>
      <c r="J1129" s="31" t="n"/>
      <c r="K1129" s="31" t="n"/>
      <c r="L1129" s="31" t="n"/>
      <c r="M1129" s="31" t="n"/>
      <c r="N1129" s="31" t="n"/>
      <c r="O1129" s="31" t="n"/>
      <c r="P1129" s="31" t="n"/>
      <c r="Q1129" s="31" t="n"/>
      <c r="R1129" s="31" t="n"/>
      <c r="S1129" s="32">
        <f>IF($F1129="","",IF(IFERROR(VLOOKUP($F1129,'维度字典'!$M$2:$N$50,2,0),"求和")="手工录入","",IF(IFERROR(VLOOKUP($F1129,'维度字典'!$M$2:$N$50,2,0),"求和")="最新值",IFERROR(LOOKUP(9.99E+307,G1129:R1129),""),SUM(G1129:R1129))))</f>
        <v/>
      </c>
      <c r="T1129" s="33" t="n"/>
    </row>
    <row r="1130">
      <c r="A1130" s="26">
        <f>IF($B1130="","",ROW()-3)</f>
        <v/>
      </c>
      <c r="B1130" s="27" t="n"/>
      <c r="C1130" s="27" t="n"/>
      <c r="D1130" s="28" t="n"/>
      <c r="E1130" s="29" t="n"/>
      <c r="F1130" s="30" t="n"/>
      <c r="G1130" s="31" t="n"/>
      <c r="H1130" s="31" t="n"/>
      <c r="I1130" s="31" t="n"/>
      <c r="J1130" s="31" t="n"/>
      <c r="K1130" s="31" t="n"/>
      <c r="L1130" s="31" t="n"/>
      <c r="M1130" s="31" t="n"/>
      <c r="N1130" s="31" t="n"/>
      <c r="O1130" s="31" t="n"/>
      <c r="P1130" s="31" t="n"/>
      <c r="Q1130" s="31" t="n"/>
      <c r="R1130" s="31" t="n"/>
      <c r="S1130" s="32">
        <f>IF($F1130="","",IF(IFERROR(VLOOKUP($F1130,'维度字典'!$M$2:$N$50,2,0),"求和")="手工录入","",IF(IFERROR(VLOOKUP($F1130,'维度字典'!$M$2:$N$50,2,0),"求和")="最新值",IFERROR(LOOKUP(9.99E+307,G1130:R1130),""),SUM(G1130:R1130))))</f>
        <v/>
      </c>
      <c r="T1130" s="33" t="n"/>
    </row>
    <row r="1131">
      <c r="A1131" s="26">
        <f>IF($B1131="","",ROW()-3)</f>
        <v/>
      </c>
      <c r="B1131" s="27" t="n"/>
      <c r="C1131" s="27" t="n"/>
      <c r="D1131" s="28" t="n"/>
      <c r="E1131" s="29" t="n"/>
      <c r="F1131" s="30" t="n"/>
      <c r="G1131" s="31" t="n"/>
      <c r="H1131" s="31" t="n"/>
      <c r="I1131" s="31" t="n"/>
      <c r="J1131" s="31" t="n"/>
      <c r="K1131" s="31" t="n"/>
      <c r="L1131" s="31" t="n"/>
      <c r="M1131" s="31" t="n"/>
      <c r="N1131" s="31" t="n"/>
      <c r="O1131" s="31" t="n"/>
      <c r="P1131" s="31" t="n"/>
      <c r="Q1131" s="31" t="n"/>
      <c r="R1131" s="31" t="n"/>
      <c r="S1131" s="32">
        <f>IF($F1131="","",IF(IFERROR(VLOOKUP($F1131,'维度字典'!$M$2:$N$50,2,0),"求和")="手工录入","",IF(IFERROR(VLOOKUP($F1131,'维度字典'!$M$2:$N$50,2,0),"求和")="最新值",IFERROR(LOOKUP(9.99E+307,G1131:R1131),""),SUM(G1131:R1131))))</f>
        <v/>
      </c>
      <c r="T1131" s="33" t="n"/>
    </row>
    <row r="1132">
      <c r="A1132" s="26">
        <f>IF($B1132="","",ROW()-3)</f>
        <v/>
      </c>
      <c r="B1132" s="27" t="n"/>
      <c r="C1132" s="27" t="n"/>
      <c r="D1132" s="28" t="n"/>
      <c r="E1132" s="29" t="n"/>
      <c r="F1132" s="30" t="n"/>
      <c r="G1132" s="31" t="n"/>
      <c r="H1132" s="31" t="n"/>
      <c r="I1132" s="31" t="n"/>
      <c r="J1132" s="31" t="n"/>
      <c r="K1132" s="31" t="n"/>
      <c r="L1132" s="31" t="n"/>
      <c r="M1132" s="31" t="n"/>
      <c r="N1132" s="31" t="n"/>
      <c r="O1132" s="31" t="n"/>
      <c r="P1132" s="31" t="n"/>
      <c r="Q1132" s="31" t="n"/>
      <c r="R1132" s="31" t="n"/>
      <c r="S1132" s="32">
        <f>IF($F1132="","",IF(IFERROR(VLOOKUP($F1132,'维度字典'!$M$2:$N$50,2,0),"求和")="手工录入","",IF(IFERROR(VLOOKUP($F1132,'维度字典'!$M$2:$N$50,2,0),"求和")="最新值",IFERROR(LOOKUP(9.99E+307,G1132:R1132),""),SUM(G1132:R1132))))</f>
        <v/>
      </c>
      <c r="T1132" s="33" t="n"/>
    </row>
    <row r="1133">
      <c r="A1133" s="26">
        <f>IF($B1133="","",ROW()-3)</f>
        <v/>
      </c>
      <c r="B1133" s="27" t="n"/>
      <c r="C1133" s="27" t="n"/>
      <c r="D1133" s="28" t="n"/>
      <c r="E1133" s="29" t="n"/>
      <c r="F1133" s="30" t="n"/>
      <c r="G1133" s="31" t="n"/>
      <c r="H1133" s="31" t="n"/>
      <c r="I1133" s="31" t="n"/>
      <c r="J1133" s="31" t="n"/>
      <c r="K1133" s="31" t="n"/>
      <c r="L1133" s="31" t="n"/>
      <c r="M1133" s="31" t="n"/>
      <c r="N1133" s="31" t="n"/>
      <c r="O1133" s="31" t="n"/>
      <c r="P1133" s="31" t="n"/>
      <c r="Q1133" s="31" t="n"/>
      <c r="R1133" s="31" t="n"/>
      <c r="S1133" s="32">
        <f>IF($F1133="","",IF(IFERROR(VLOOKUP($F1133,'维度字典'!$M$2:$N$50,2,0),"求和")="手工录入","",IF(IFERROR(VLOOKUP($F1133,'维度字典'!$M$2:$N$50,2,0),"求和")="最新值",IFERROR(LOOKUP(9.99E+307,G1133:R1133),""),SUM(G1133:R1133))))</f>
        <v/>
      </c>
      <c r="T1133" s="33" t="n"/>
    </row>
    <row r="1134">
      <c r="A1134" s="26">
        <f>IF($B1134="","",ROW()-3)</f>
        <v/>
      </c>
      <c r="B1134" s="27" t="n"/>
      <c r="C1134" s="27" t="n"/>
      <c r="D1134" s="28" t="n"/>
      <c r="E1134" s="29" t="n"/>
      <c r="F1134" s="30" t="n"/>
      <c r="G1134" s="31" t="n"/>
      <c r="H1134" s="31" t="n"/>
      <c r="I1134" s="31" t="n"/>
      <c r="J1134" s="31" t="n"/>
      <c r="K1134" s="31" t="n"/>
      <c r="L1134" s="31" t="n"/>
      <c r="M1134" s="31" t="n"/>
      <c r="N1134" s="31" t="n"/>
      <c r="O1134" s="31" t="n"/>
      <c r="P1134" s="31" t="n"/>
      <c r="Q1134" s="31" t="n"/>
      <c r="R1134" s="31" t="n"/>
      <c r="S1134" s="32">
        <f>IF($F1134="","",IF(IFERROR(VLOOKUP($F1134,'维度字典'!$M$2:$N$50,2,0),"求和")="手工录入","",IF(IFERROR(VLOOKUP($F1134,'维度字典'!$M$2:$N$50,2,0),"求和")="最新值",IFERROR(LOOKUP(9.99E+307,G1134:R1134),""),SUM(G1134:R1134))))</f>
        <v/>
      </c>
      <c r="T1134" s="33" t="n"/>
    </row>
    <row r="1135">
      <c r="A1135" s="26">
        <f>IF($B1135="","",ROW()-3)</f>
        <v/>
      </c>
      <c r="B1135" s="27" t="n"/>
      <c r="C1135" s="27" t="n"/>
      <c r="D1135" s="28" t="n"/>
      <c r="E1135" s="29" t="n"/>
      <c r="F1135" s="30" t="n"/>
      <c r="G1135" s="31" t="n"/>
      <c r="H1135" s="31" t="n"/>
      <c r="I1135" s="31" t="n"/>
      <c r="J1135" s="31" t="n"/>
      <c r="K1135" s="31" t="n"/>
      <c r="L1135" s="31" t="n"/>
      <c r="M1135" s="31" t="n"/>
      <c r="N1135" s="31" t="n"/>
      <c r="O1135" s="31" t="n"/>
      <c r="P1135" s="31" t="n"/>
      <c r="Q1135" s="31" t="n"/>
      <c r="R1135" s="31" t="n"/>
      <c r="S1135" s="32">
        <f>IF($F1135="","",IF(IFERROR(VLOOKUP($F1135,'维度字典'!$M$2:$N$50,2,0),"求和")="手工录入","",IF(IFERROR(VLOOKUP($F1135,'维度字典'!$M$2:$N$50,2,0),"求和")="最新值",IFERROR(LOOKUP(9.99E+307,G1135:R1135),""),SUM(G1135:R1135))))</f>
        <v/>
      </c>
      <c r="T1135" s="33" t="n"/>
    </row>
    <row r="1136">
      <c r="A1136" s="26">
        <f>IF($B1136="","",ROW()-3)</f>
        <v/>
      </c>
      <c r="B1136" s="27" t="n"/>
      <c r="C1136" s="27" t="n"/>
      <c r="D1136" s="28" t="n"/>
      <c r="E1136" s="29" t="n"/>
      <c r="F1136" s="30" t="n"/>
      <c r="G1136" s="31" t="n"/>
      <c r="H1136" s="31" t="n"/>
      <c r="I1136" s="31" t="n"/>
      <c r="J1136" s="31" t="n"/>
      <c r="K1136" s="31" t="n"/>
      <c r="L1136" s="31" t="n"/>
      <c r="M1136" s="31" t="n"/>
      <c r="N1136" s="31" t="n"/>
      <c r="O1136" s="31" t="n"/>
      <c r="P1136" s="31" t="n"/>
      <c r="Q1136" s="31" t="n"/>
      <c r="R1136" s="31" t="n"/>
      <c r="S1136" s="32">
        <f>IF($F1136="","",IF(IFERROR(VLOOKUP($F1136,'维度字典'!$M$2:$N$50,2,0),"求和")="手工录入","",IF(IFERROR(VLOOKUP($F1136,'维度字典'!$M$2:$N$50,2,0),"求和")="最新值",IFERROR(LOOKUP(9.99E+307,G1136:R1136),""),SUM(G1136:R1136))))</f>
        <v/>
      </c>
      <c r="T1136" s="33" t="n"/>
    </row>
    <row r="1137">
      <c r="A1137" s="26">
        <f>IF($B1137="","",ROW()-3)</f>
        <v/>
      </c>
      <c r="B1137" s="27" t="n"/>
      <c r="C1137" s="27" t="n"/>
      <c r="D1137" s="28" t="n"/>
      <c r="E1137" s="29" t="n"/>
      <c r="F1137" s="30" t="n"/>
      <c r="G1137" s="31" t="n"/>
      <c r="H1137" s="31" t="n"/>
      <c r="I1137" s="31" t="n"/>
      <c r="J1137" s="31" t="n"/>
      <c r="K1137" s="31" t="n"/>
      <c r="L1137" s="31" t="n"/>
      <c r="M1137" s="31" t="n"/>
      <c r="N1137" s="31" t="n"/>
      <c r="O1137" s="31" t="n"/>
      <c r="P1137" s="31" t="n"/>
      <c r="Q1137" s="31" t="n"/>
      <c r="R1137" s="31" t="n"/>
      <c r="S1137" s="32">
        <f>IF($F1137="","",IF(IFERROR(VLOOKUP($F1137,'维度字典'!$M$2:$N$50,2,0),"求和")="手工录入","",IF(IFERROR(VLOOKUP($F1137,'维度字典'!$M$2:$N$50,2,0),"求和")="最新值",IFERROR(LOOKUP(9.99E+307,G1137:R1137),""),SUM(G1137:R1137))))</f>
        <v/>
      </c>
      <c r="T1137" s="33" t="n"/>
    </row>
    <row r="1138">
      <c r="A1138" s="26">
        <f>IF($B1138="","",ROW()-3)</f>
        <v/>
      </c>
      <c r="B1138" s="27" t="n"/>
      <c r="C1138" s="27" t="n"/>
      <c r="D1138" s="28" t="n"/>
      <c r="E1138" s="29" t="n"/>
      <c r="F1138" s="30" t="n"/>
      <c r="G1138" s="31" t="n"/>
      <c r="H1138" s="31" t="n"/>
      <c r="I1138" s="31" t="n"/>
      <c r="J1138" s="31" t="n"/>
      <c r="K1138" s="31" t="n"/>
      <c r="L1138" s="31" t="n"/>
      <c r="M1138" s="31" t="n"/>
      <c r="N1138" s="31" t="n"/>
      <c r="O1138" s="31" t="n"/>
      <c r="P1138" s="31" t="n"/>
      <c r="Q1138" s="31" t="n"/>
      <c r="R1138" s="31" t="n"/>
      <c r="S1138" s="32">
        <f>IF($F1138="","",IF(IFERROR(VLOOKUP($F1138,'维度字典'!$M$2:$N$50,2,0),"求和")="手工录入","",IF(IFERROR(VLOOKUP($F1138,'维度字典'!$M$2:$N$50,2,0),"求和")="最新值",IFERROR(LOOKUP(9.99E+307,G1138:R1138),""),SUM(G1138:R1138))))</f>
        <v/>
      </c>
      <c r="T1138" s="33" t="n"/>
    </row>
    <row r="1139">
      <c r="A1139" s="26">
        <f>IF($B1139="","",ROW()-3)</f>
        <v/>
      </c>
      <c r="B1139" s="27" t="n"/>
      <c r="C1139" s="27" t="n"/>
      <c r="D1139" s="28" t="n"/>
      <c r="E1139" s="29" t="n"/>
      <c r="F1139" s="30" t="n"/>
      <c r="G1139" s="31" t="n"/>
      <c r="H1139" s="31" t="n"/>
      <c r="I1139" s="31" t="n"/>
      <c r="J1139" s="31" t="n"/>
      <c r="K1139" s="31" t="n"/>
      <c r="L1139" s="31" t="n"/>
      <c r="M1139" s="31" t="n"/>
      <c r="N1139" s="31" t="n"/>
      <c r="O1139" s="31" t="n"/>
      <c r="P1139" s="31" t="n"/>
      <c r="Q1139" s="31" t="n"/>
      <c r="R1139" s="31" t="n"/>
      <c r="S1139" s="32">
        <f>IF($F1139="","",IF(IFERROR(VLOOKUP($F1139,'维度字典'!$M$2:$N$50,2,0),"求和")="手工录入","",IF(IFERROR(VLOOKUP($F1139,'维度字典'!$M$2:$N$50,2,0),"求和")="最新值",IFERROR(LOOKUP(9.99E+307,G1139:R1139),""),SUM(G1139:R1139))))</f>
        <v/>
      </c>
      <c r="T1139" s="33" t="n"/>
    </row>
    <row r="1140">
      <c r="A1140" s="26">
        <f>IF($B1140="","",ROW()-3)</f>
        <v/>
      </c>
      <c r="B1140" s="27" t="n"/>
      <c r="C1140" s="27" t="n"/>
      <c r="D1140" s="28" t="n"/>
      <c r="E1140" s="29" t="n"/>
      <c r="F1140" s="30" t="n"/>
      <c r="G1140" s="31" t="n"/>
      <c r="H1140" s="31" t="n"/>
      <c r="I1140" s="31" t="n"/>
      <c r="J1140" s="31" t="n"/>
      <c r="K1140" s="31" t="n"/>
      <c r="L1140" s="31" t="n"/>
      <c r="M1140" s="31" t="n"/>
      <c r="N1140" s="31" t="n"/>
      <c r="O1140" s="31" t="n"/>
      <c r="P1140" s="31" t="n"/>
      <c r="Q1140" s="31" t="n"/>
      <c r="R1140" s="31" t="n"/>
      <c r="S1140" s="32">
        <f>IF($F1140="","",IF(IFERROR(VLOOKUP($F1140,'维度字典'!$M$2:$N$50,2,0),"求和")="手工录入","",IF(IFERROR(VLOOKUP($F1140,'维度字典'!$M$2:$N$50,2,0),"求和")="最新值",IFERROR(LOOKUP(9.99E+307,G1140:R1140),""),SUM(G1140:R1140))))</f>
        <v/>
      </c>
      <c r="T1140" s="33" t="n"/>
    </row>
    <row r="1141">
      <c r="A1141" s="26">
        <f>IF($B1141="","",ROW()-3)</f>
        <v/>
      </c>
      <c r="B1141" s="27" t="n"/>
      <c r="C1141" s="27" t="n"/>
      <c r="D1141" s="28" t="n"/>
      <c r="E1141" s="29" t="n"/>
      <c r="F1141" s="30" t="n"/>
      <c r="G1141" s="31" t="n"/>
      <c r="H1141" s="31" t="n"/>
      <c r="I1141" s="31" t="n"/>
      <c r="J1141" s="31" t="n"/>
      <c r="K1141" s="31" t="n"/>
      <c r="L1141" s="31" t="n"/>
      <c r="M1141" s="31" t="n"/>
      <c r="N1141" s="31" t="n"/>
      <c r="O1141" s="31" t="n"/>
      <c r="P1141" s="31" t="n"/>
      <c r="Q1141" s="31" t="n"/>
      <c r="R1141" s="31" t="n"/>
      <c r="S1141" s="32">
        <f>IF($F1141="","",IF(IFERROR(VLOOKUP($F1141,'维度字典'!$M$2:$N$50,2,0),"求和")="手工录入","",IF(IFERROR(VLOOKUP($F1141,'维度字典'!$M$2:$N$50,2,0),"求和")="最新值",IFERROR(LOOKUP(9.99E+307,G1141:R1141),""),SUM(G1141:R1141))))</f>
        <v/>
      </c>
      <c r="T1141" s="33" t="n"/>
    </row>
    <row r="1142">
      <c r="A1142" s="26">
        <f>IF($B1142="","",ROW()-3)</f>
        <v/>
      </c>
      <c r="B1142" s="27" t="n"/>
      <c r="C1142" s="27" t="n"/>
      <c r="D1142" s="28" t="n"/>
      <c r="E1142" s="29" t="n"/>
      <c r="F1142" s="30" t="n"/>
      <c r="G1142" s="31" t="n"/>
      <c r="H1142" s="31" t="n"/>
      <c r="I1142" s="31" t="n"/>
      <c r="J1142" s="31" t="n"/>
      <c r="K1142" s="31" t="n"/>
      <c r="L1142" s="31" t="n"/>
      <c r="M1142" s="31" t="n"/>
      <c r="N1142" s="31" t="n"/>
      <c r="O1142" s="31" t="n"/>
      <c r="P1142" s="31" t="n"/>
      <c r="Q1142" s="31" t="n"/>
      <c r="R1142" s="31" t="n"/>
      <c r="S1142" s="32">
        <f>IF($F1142="","",IF(IFERROR(VLOOKUP($F1142,'维度字典'!$M$2:$N$50,2,0),"求和")="手工录入","",IF(IFERROR(VLOOKUP($F1142,'维度字典'!$M$2:$N$50,2,0),"求和")="最新值",IFERROR(LOOKUP(9.99E+307,G1142:R1142),""),SUM(G1142:R1142))))</f>
        <v/>
      </c>
      <c r="T1142" s="33" t="n"/>
    </row>
    <row r="1143">
      <c r="A1143" s="26">
        <f>IF($B1143="","",ROW()-3)</f>
        <v/>
      </c>
      <c r="B1143" s="27" t="n"/>
      <c r="C1143" s="27" t="n"/>
      <c r="D1143" s="28" t="n"/>
      <c r="E1143" s="29" t="n"/>
      <c r="F1143" s="30" t="n"/>
      <c r="G1143" s="31" t="n"/>
      <c r="H1143" s="31" t="n"/>
      <c r="I1143" s="31" t="n"/>
      <c r="J1143" s="31" t="n"/>
      <c r="K1143" s="31" t="n"/>
      <c r="L1143" s="31" t="n"/>
      <c r="M1143" s="31" t="n"/>
      <c r="N1143" s="31" t="n"/>
      <c r="O1143" s="31" t="n"/>
      <c r="P1143" s="31" t="n"/>
      <c r="Q1143" s="31" t="n"/>
      <c r="R1143" s="31" t="n"/>
      <c r="S1143" s="32">
        <f>IF($F1143="","",IF(IFERROR(VLOOKUP($F1143,'维度字典'!$M$2:$N$50,2,0),"求和")="手工录入","",IF(IFERROR(VLOOKUP($F1143,'维度字典'!$M$2:$N$50,2,0),"求和")="最新值",IFERROR(LOOKUP(9.99E+307,G1143:R1143),""),SUM(G1143:R1143))))</f>
        <v/>
      </c>
      <c r="T1143" s="33" t="n"/>
    </row>
    <row r="1144">
      <c r="A1144" s="26">
        <f>IF($B1144="","",ROW()-3)</f>
        <v/>
      </c>
      <c r="B1144" s="27" t="n"/>
      <c r="C1144" s="27" t="n"/>
      <c r="D1144" s="28" t="n"/>
      <c r="E1144" s="29" t="n"/>
      <c r="F1144" s="30" t="n"/>
      <c r="G1144" s="31" t="n"/>
      <c r="H1144" s="31" t="n"/>
      <c r="I1144" s="31" t="n"/>
      <c r="J1144" s="31" t="n"/>
      <c r="K1144" s="31" t="n"/>
      <c r="L1144" s="31" t="n"/>
      <c r="M1144" s="31" t="n"/>
      <c r="N1144" s="31" t="n"/>
      <c r="O1144" s="31" t="n"/>
      <c r="P1144" s="31" t="n"/>
      <c r="Q1144" s="31" t="n"/>
      <c r="R1144" s="31" t="n"/>
      <c r="S1144" s="32">
        <f>IF($F1144="","",IF(IFERROR(VLOOKUP($F1144,'维度字典'!$M$2:$N$50,2,0),"求和")="手工录入","",IF(IFERROR(VLOOKUP($F1144,'维度字典'!$M$2:$N$50,2,0),"求和")="最新值",IFERROR(LOOKUP(9.99E+307,G1144:R1144),""),SUM(G1144:R1144))))</f>
        <v/>
      </c>
      <c r="T1144" s="33" t="n"/>
    </row>
    <row r="1145">
      <c r="A1145" s="26">
        <f>IF($B1145="","",ROW()-3)</f>
        <v/>
      </c>
      <c r="B1145" s="27" t="n"/>
      <c r="C1145" s="27" t="n"/>
      <c r="D1145" s="28" t="n"/>
      <c r="E1145" s="29" t="n"/>
      <c r="F1145" s="30" t="n"/>
      <c r="G1145" s="31" t="n"/>
      <c r="H1145" s="31" t="n"/>
      <c r="I1145" s="31" t="n"/>
      <c r="J1145" s="31" t="n"/>
      <c r="K1145" s="31" t="n"/>
      <c r="L1145" s="31" t="n"/>
      <c r="M1145" s="31" t="n"/>
      <c r="N1145" s="31" t="n"/>
      <c r="O1145" s="31" t="n"/>
      <c r="P1145" s="31" t="n"/>
      <c r="Q1145" s="31" t="n"/>
      <c r="R1145" s="31" t="n"/>
      <c r="S1145" s="32">
        <f>IF($F1145="","",IF(IFERROR(VLOOKUP($F1145,'维度字典'!$M$2:$N$50,2,0),"求和")="手工录入","",IF(IFERROR(VLOOKUP($F1145,'维度字典'!$M$2:$N$50,2,0),"求和")="最新值",IFERROR(LOOKUP(9.99E+307,G1145:R1145),""),SUM(G1145:R1145))))</f>
        <v/>
      </c>
      <c r="T1145" s="33" t="n"/>
    </row>
    <row r="1146">
      <c r="A1146" s="26">
        <f>IF($B1146="","",ROW()-3)</f>
        <v/>
      </c>
      <c r="B1146" s="27" t="n"/>
      <c r="C1146" s="27" t="n"/>
      <c r="D1146" s="28" t="n"/>
      <c r="E1146" s="29" t="n"/>
      <c r="F1146" s="30" t="n"/>
      <c r="G1146" s="31" t="n"/>
      <c r="H1146" s="31" t="n"/>
      <c r="I1146" s="31" t="n"/>
      <c r="J1146" s="31" t="n"/>
      <c r="K1146" s="31" t="n"/>
      <c r="L1146" s="31" t="n"/>
      <c r="M1146" s="31" t="n"/>
      <c r="N1146" s="31" t="n"/>
      <c r="O1146" s="31" t="n"/>
      <c r="P1146" s="31" t="n"/>
      <c r="Q1146" s="31" t="n"/>
      <c r="R1146" s="31" t="n"/>
      <c r="S1146" s="32">
        <f>IF($F1146="","",IF(IFERROR(VLOOKUP($F1146,'维度字典'!$M$2:$N$50,2,0),"求和")="手工录入","",IF(IFERROR(VLOOKUP($F1146,'维度字典'!$M$2:$N$50,2,0),"求和")="最新值",IFERROR(LOOKUP(9.99E+307,G1146:R1146),""),SUM(G1146:R1146))))</f>
        <v/>
      </c>
      <c r="T1146" s="33" t="n"/>
    </row>
    <row r="1147">
      <c r="A1147" s="26">
        <f>IF($B1147="","",ROW()-3)</f>
        <v/>
      </c>
      <c r="B1147" s="27" t="n"/>
      <c r="C1147" s="27" t="n"/>
      <c r="D1147" s="28" t="n"/>
      <c r="E1147" s="29" t="n"/>
      <c r="F1147" s="30" t="n"/>
      <c r="G1147" s="31" t="n"/>
      <c r="H1147" s="31" t="n"/>
      <c r="I1147" s="31" t="n"/>
      <c r="J1147" s="31" t="n"/>
      <c r="K1147" s="31" t="n"/>
      <c r="L1147" s="31" t="n"/>
      <c r="M1147" s="31" t="n"/>
      <c r="N1147" s="31" t="n"/>
      <c r="O1147" s="31" t="n"/>
      <c r="P1147" s="31" t="n"/>
      <c r="Q1147" s="31" t="n"/>
      <c r="R1147" s="31" t="n"/>
      <c r="S1147" s="32">
        <f>IF($F1147="","",IF(IFERROR(VLOOKUP($F1147,'维度字典'!$M$2:$N$50,2,0),"求和")="手工录入","",IF(IFERROR(VLOOKUP($F1147,'维度字典'!$M$2:$N$50,2,0),"求和")="最新值",IFERROR(LOOKUP(9.99E+307,G1147:R1147),""),SUM(G1147:R1147))))</f>
        <v/>
      </c>
      <c r="T1147" s="33" t="n"/>
    </row>
    <row r="1148">
      <c r="A1148" s="26">
        <f>IF($B1148="","",ROW()-3)</f>
        <v/>
      </c>
      <c r="B1148" s="27" t="n"/>
      <c r="C1148" s="27" t="n"/>
      <c r="D1148" s="28" t="n"/>
      <c r="E1148" s="29" t="n"/>
      <c r="F1148" s="30" t="n"/>
      <c r="G1148" s="31" t="n"/>
      <c r="H1148" s="31" t="n"/>
      <c r="I1148" s="31" t="n"/>
      <c r="J1148" s="31" t="n"/>
      <c r="K1148" s="31" t="n"/>
      <c r="L1148" s="31" t="n"/>
      <c r="M1148" s="31" t="n"/>
      <c r="N1148" s="31" t="n"/>
      <c r="O1148" s="31" t="n"/>
      <c r="P1148" s="31" t="n"/>
      <c r="Q1148" s="31" t="n"/>
      <c r="R1148" s="31" t="n"/>
      <c r="S1148" s="32">
        <f>IF($F1148="","",IF(IFERROR(VLOOKUP($F1148,'维度字典'!$M$2:$N$50,2,0),"求和")="手工录入","",IF(IFERROR(VLOOKUP($F1148,'维度字典'!$M$2:$N$50,2,0),"求和")="最新值",IFERROR(LOOKUP(9.99E+307,G1148:R1148),""),SUM(G1148:R1148))))</f>
        <v/>
      </c>
      <c r="T1148" s="33" t="n"/>
    </row>
    <row r="1149">
      <c r="A1149" s="26">
        <f>IF($B1149="","",ROW()-3)</f>
        <v/>
      </c>
      <c r="B1149" s="27" t="n"/>
      <c r="C1149" s="27" t="n"/>
      <c r="D1149" s="28" t="n"/>
      <c r="E1149" s="29" t="n"/>
      <c r="F1149" s="30" t="n"/>
      <c r="G1149" s="31" t="n"/>
      <c r="H1149" s="31" t="n"/>
      <c r="I1149" s="31" t="n"/>
      <c r="J1149" s="31" t="n"/>
      <c r="K1149" s="31" t="n"/>
      <c r="L1149" s="31" t="n"/>
      <c r="M1149" s="31" t="n"/>
      <c r="N1149" s="31" t="n"/>
      <c r="O1149" s="31" t="n"/>
      <c r="P1149" s="31" t="n"/>
      <c r="Q1149" s="31" t="n"/>
      <c r="R1149" s="31" t="n"/>
      <c r="S1149" s="32">
        <f>IF($F1149="","",IF(IFERROR(VLOOKUP($F1149,'维度字典'!$M$2:$N$50,2,0),"求和")="手工录入","",IF(IFERROR(VLOOKUP($F1149,'维度字典'!$M$2:$N$50,2,0),"求和")="最新值",IFERROR(LOOKUP(9.99E+307,G1149:R1149),""),SUM(G1149:R1149))))</f>
        <v/>
      </c>
      <c r="T1149" s="33" t="n"/>
    </row>
    <row r="1150">
      <c r="A1150" s="26">
        <f>IF($B1150="","",ROW()-3)</f>
        <v/>
      </c>
      <c r="B1150" s="27" t="n"/>
      <c r="C1150" s="27" t="n"/>
      <c r="D1150" s="28" t="n"/>
      <c r="E1150" s="29" t="n"/>
      <c r="F1150" s="30" t="n"/>
      <c r="G1150" s="31" t="n"/>
      <c r="H1150" s="31" t="n"/>
      <c r="I1150" s="31" t="n"/>
      <c r="J1150" s="31" t="n"/>
      <c r="K1150" s="31" t="n"/>
      <c r="L1150" s="31" t="n"/>
      <c r="M1150" s="31" t="n"/>
      <c r="N1150" s="31" t="n"/>
      <c r="O1150" s="31" t="n"/>
      <c r="P1150" s="31" t="n"/>
      <c r="Q1150" s="31" t="n"/>
      <c r="R1150" s="31" t="n"/>
      <c r="S1150" s="32">
        <f>IF($F1150="","",IF(IFERROR(VLOOKUP($F1150,'维度字典'!$M$2:$N$50,2,0),"求和")="手工录入","",IF(IFERROR(VLOOKUP($F1150,'维度字典'!$M$2:$N$50,2,0),"求和")="最新值",IFERROR(LOOKUP(9.99E+307,G1150:R1150),""),SUM(G1150:R1150))))</f>
        <v/>
      </c>
      <c r="T1150" s="33" t="n"/>
    </row>
    <row r="1151">
      <c r="A1151" s="26">
        <f>IF($B1151="","",ROW()-3)</f>
        <v/>
      </c>
      <c r="B1151" s="27" t="n"/>
      <c r="C1151" s="27" t="n"/>
      <c r="D1151" s="28" t="n"/>
      <c r="E1151" s="29" t="n"/>
      <c r="F1151" s="30" t="n"/>
      <c r="G1151" s="31" t="n"/>
      <c r="H1151" s="31" t="n"/>
      <c r="I1151" s="31" t="n"/>
      <c r="J1151" s="31" t="n"/>
      <c r="K1151" s="31" t="n"/>
      <c r="L1151" s="31" t="n"/>
      <c r="M1151" s="31" t="n"/>
      <c r="N1151" s="31" t="n"/>
      <c r="O1151" s="31" t="n"/>
      <c r="P1151" s="31" t="n"/>
      <c r="Q1151" s="31" t="n"/>
      <c r="R1151" s="31" t="n"/>
      <c r="S1151" s="32">
        <f>IF($F1151="","",IF(IFERROR(VLOOKUP($F1151,'维度字典'!$M$2:$N$50,2,0),"求和")="手工录入","",IF(IFERROR(VLOOKUP($F1151,'维度字典'!$M$2:$N$50,2,0),"求和")="最新值",IFERROR(LOOKUP(9.99E+307,G1151:R1151),""),SUM(G1151:R1151))))</f>
        <v/>
      </c>
      <c r="T1151" s="33" t="n"/>
    </row>
    <row r="1152">
      <c r="A1152" s="26">
        <f>IF($B1152="","",ROW()-3)</f>
        <v/>
      </c>
      <c r="B1152" s="27" t="n"/>
      <c r="C1152" s="27" t="n"/>
      <c r="D1152" s="28" t="n"/>
      <c r="E1152" s="29" t="n"/>
      <c r="F1152" s="30" t="n"/>
      <c r="G1152" s="31" t="n"/>
      <c r="H1152" s="31" t="n"/>
      <c r="I1152" s="31" t="n"/>
      <c r="J1152" s="31" t="n"/>
      <c r="K1152" s="31" t="n"/>
      <c r="L1152" s="31" t="n"/>
      <c r="M1152" s="31" t="n"/>
      <c r="N1152" s="31" t="n"/>
      <c r="O1152" s="31" t="n"/>
      <c r="P1152" s="31" t="n"/>
      <c r="Q1152" s="31" t="n"/>
      <c r="R1152" s="31" t="n"/>
      <c r="S1152" s="32">
        <f>IF($F1152="","",IF(IFERROR(VLOOKUP($F1152,'维度字典'!$M$2:$N$50,2,0),"求和")="手工录入","",IF(IFERROR(VLOOKUP($F1152,'维度字典'!$M$2:$N$50,2,0),"求和")="最新值",IFERROR(LOOKUP(9.99E+307,G1152:R1152),""),SUM(G1152:R1152))))</f>
        <v/>
      </c>
      <c r="T1152" s="33" t="n"/>
    </row>
    <row r="1153">
      <c r="A1153" s="26">
        <f>IF($B1153="","",ROW()-3)</f>
        <v/>
      </c>
      <c r="B1153" s="27" t="n"/>
      <c r="C1153" s="27" t="n"/>
      <c r="D1153" s="28" t="n"/>
      <c r="E1153" s="29" t="n"/>
      <c r="F1153" s="30" t="n"/>
      <c r="G1153" s="31" t="n"/>
      <c r="H1153" s="31" t="n"/>
      <c r="I1153" s="31" t="n"/>
      <c r="J1153" s="31" t="n"/>
      <c r="K1153" s="31" t="n"/>
      <c r="L1153" s="31" t="n"/>
      <c r="M1153" s="31" t="n"/>
      <c r="N1153" s="31" t="n"/>
      <c r="O1153" s="31" t="n"/>
      <c r="P1153" s="31" t="n"/>
      <c r="Q1153" s="31" t="n"/>
      <c r="R1153" s="31" t="n"/>
      <c r="S1153" s="32">
        <f>IF($F1153="","",IF(IFERROR(VLOOKUP($F1153,'维度字典'!$M$2:$N$50,2,0),"求和")="手工录入","",IF(IFERROR(VLOOKUP($F1153,'维度字典'!$M$2:$N$50,2,0),"求和")="最新值",IFERROR(LOOKUP(9.99E+307,G1153:R1153),""),SUM(G1153:R1153))))</f>
        <v/>
      </c>
      <c r="T1153" s="33" t="n"/>
    </row>
    <row r="1154">
      <c r="A1154" s="26">
        <f>IF($B1154="","",ROW()-3)</f>
        <v/>
      </c>
      <c r="B1154" s="27" t="n"/>
      <c r="C1154" s="27" t="n"/>
      <c r="D1154" s="28" t="n"/>
      <c r="E1154" s="29" t="n"/>
      <c r="F1154" s="30" t="n"/>
      <c r="G1154" s="31" t="n"/>
      <c r="H1154" s="31" t="n"/>
      <c r="I1154" s="31" t="n"/>
      <c r="J1154" s="31" t="n"/>
      <c r="K1154" s="31" t="n"/>
      <c r="L1154" s="31" t="n"/>
      <c r="M1154" s="31" t="n"/>
      <c r="N1154" s="31" t="n"/>
      <c r="O1154" s="31" t="n"/>
      <c r="P1154" s="31" t="n"/>
      <c r="Q1154" s="31" t="n"/>
      <c r="R1154" s="31" t="n"/>
      <c r="S1154" s="32">
        <f>IF($F1154="","",IF(IFERROR(VLOOKUP($F1154,'维度字典'!$M$2:$N$50,2,0),"求和")="手工录入","",IF(IFERROR(VLOOKUP($F1154,'维度字典'!$M$2:$N$50,2,0),"求和")="最新值",IFERROR(LOOKUP(9.99E+307,G1154:R1154),""),SUM(G1154:R1154))))</f>
        <v/>
      </c>
      <c r="T1154" s="33" t="n"/>
    </row>
    <row r="1155">
      <c r="A1155" s="26">
        <f>IF($B1155="","",ROW()-3)</f>
        <v/>
      </c>
      <c r="B1155" s="27" t="n"/>
      <c r="C1155" s="27" t="n"/>
      <c r="D1155" s="28" t="n"/>
      <c r="E1155" s="29" t="n"/>
      <c r="F1155" s="30" t="n"/>
      <c r="G1155" s="31" t="n"/>
      <c r="H1155" s="31" t="n"/>
      <c r="I1155" s="31" t="n"/>
      <c r="J1155" s="31" t="n"/>
      <c r="K1155" s="31" t="n"/>
      <c r="L1155" s="31" t="n"/>
      <c r="M1155" s="31" t="n"/>
      <c r="N1155" s="31" t="n"/>
      <c r="O1155" s="31" t="n"/>
      <c r="P1155" s="31" t="n"/>
      <c r="Q1155" s="31" t="n"/>
      <c r="R1155" s="31" t="n"/>
      <c r="S1155" s="32">
        <f>IF($F1155="","",IF(IFERROR(VLOOKUP($F1155,'维度字典'!$M$2:$N$50,2,0),"求和")="手工录入","",IF(IFERROR(VLOOKUP($F1155,'维度字典'!$M$2:$N$50,2,0),"求和")="最新值",IFERROR(LOOKUP(9.99E+307,G1155:R1155),""),SUM(G1155:R1155))))</f>
        <v/>
      </c>
      <c r="T1155" s="33" t="n"/>
    </row>
    <row r="1156">
      <c r="A1156" s="26">
        <f>IF($B1156="","",ROW()-3)</f>
        <v/>
      </c>
      <c r="B1156" s="27" t="n"/>
      <c r="C1156" s="27" t="n"/>
      <c r="D1156" s="28" t="n"/>
      <c r="E1156" s="29" t="n"/>
      <c r="F1156" s="30" t="n"/>
      <c r="G1156" s="31" t="n"/>
      <c r="H1156" s="31" t="n"/>
      <c r="I1156" s="31" t="n"/>
      <c r="J1156" s="31" t="n"/>
      <c r="K1156" s="31" t="n"/>
      <c r="L1156" s="31" t="n"/>
      <c r="M1156" s="31" t="n"/>
      <c r="N1156" s="31" t="n"/>
      <c r="O1156" s="31" t="n"/>
      <c r="P1156" s="31" t="n"/>
      <c r="Q1156" s="31" t="n"/>
      <c r="R1156" s="31" t="n"/>
      <c r="S1156" s="32">
        <f>IF($F1156="","",IF(IFERROR(VLOOKUP($F1156,'维度字典'!$M$2:$N$50,2,0),"求和")="手工录入","",IF(IFERROR(VLOOKUP($F1156,'维度字典'!$M$2:$N$50,2,0),"求和")="最新值",IFERROR(LOOKUP(9.99E+307,G1156:R1156),""),SUM(G1156:R1156))))</f>
        <v/>
      </c>
      <c r="T1156" s="33" t="n"/>
    </row>
    <row r="1157">
      <c r="A1157" s="26">
        <f>IF($B1157="","",ROW()-3)</f>
        <v/>
      </c>
      <c r="B1157" s="27" t="n"/>
      <c r="C1157" s="27" t="n"/>
      <c r="D1157" s="28" t="n"/>
      <c r="E1157" s="29" t="n"/>
      <c r="F1157" s="30" t="n"/>
      <c r="G1157" s="31" t="n"/>
      <c r="H1157" s="31" t="n"/>
      <c r="I1157" s="31" t="n"/>
      <c r="J1157" s="31" t="n"/>
      <c r="K1157" s="31" t="n"/>
      <c r="L1157" s="31" t="n"/>
      <c r="M1157" s="31" t="n"/>
      <c r="N1157" s="31" t="n"/>
      <c r="O1157" s="31" t="n"/>
      <c r="P1157" s="31" t="n"/>
      <c r="Q1157" s="31" t="n"/>
      <c r="R1157" s="31" t="n"/>
      <c r="S1157" s="32">
        <f>IF($F1157="","",IF(IFERROR(VLOOKUP($F1157,'维度字典'!$M$2:$N$50,2,0),"求和")="手工录入","",IF(IFERROR(VLOOKUP($F1157,'维度字典'!$M$2:$N$50,2,0),"求和")="最新值",IFERROR(LOOKUP(9.99E+307,G1157:R1157),""),SUM(G1157:R1157))))</f>
        <v/>
      </c>
      <c r="T1157" s="33" t="n"/>
    </row>
    <row r="1158">
      <c r="A1158" s="26">
        <f>IF($B1158="","",ROW()-3)</f>
        <v/>
      </c>
      <c r="B1158" s="27" t="n"/>
      <c r="C1158" s="27" t="n"/>
      <c r="D1158" s="28" t="n"/>
      <c r="E1158" s="29" t="n"/>
      <c r="F1158" s="30" t="n"/>
      <c r="G1158" s="31" t="n"/>
      <c r="H1158" s="31" t="n"/>
      <c r="I1158" s="31" t="n"/>
      <c r="J1158" s="31" t="n"/>
      <c r="K1158" s="31" t="n"/>
      <c r="L1158" s="31" t="n"/>
      <c r="M1158" s="31" t="n"/>
      <c r="N1158" s="31" t="n"/>
      <c r="O1158" s="31" t="n"/>
      <c r="P1158" s="31" t="n"/>
      <c r="Q1158" s="31" t="n"/>
      <c r="R1158" s="31" t="n"/>
      <c r="S1158" s="32">
        <f>IF($F1158="","",IF(IFERROR(VLOOKUP($F1158,'维度字典'!$M$2:$N$50,2,0),"求和")="手工录入","",IF(IFERROR(VLOOKUP($F1158,'维度字典'!$M$2:$N$50,2,0),"求和")="最新值",IFERROR(LOOKUP(9.99E+307,G1158:R1158),""),SUM(G1158:R1158))))</f>
        <v/>
      </c>
      <c r="T1158" s="33" t="n"/>
    </row>
    <row r="1159">
      <c r="A1159" s="26">
        <f>IF($B1159="","",ROW()-3)</f>
        <v/>
      </c>
      <c r="B1159" s="27" t="n"/>
      <c r="C1159" s="27" t="n"/>
      <c r="D1159" s="28" t="n"/>
      <c r="E1159" s="29" t="n"/>
      <c r="F1159" s="30" t="n"/>
      <c r="G1159" s="31" t="n"/>
      <c r="H1159" s="31" t="n"/>
      <c r="I1159" s="31" t="n"/>
      <c r="J1159" s="31" t="n"/>
      <c r="K1159" s="31" t="n"/>
      <c r="L1159" s="31" t="n"/>
      <c r="M1159" s="31" t="n"/>
      <c r="N1159" s="31" t="n"/>
      <c r="O1159" s="31" t="n"/>
      <c r="P1159" s="31" t="n"/>
      <c r="Q1159" s="31" t="n"/>
      <c r="R1159" s="31" t="n"/>
      <c r="S1159" s="32">
        <f>IF($F1159="","",IF(IFERROR(VLOOKUP($F1159,'维度字典'!$M$2:$N$50,2,0),"求和")="手工录入","",IF(IFERROR(VLOOKUP($F1159,'维度字典'!$M$2:$N$50,2,0),"求和")="最新值",IFERROR(LOOKUP(9.99E+307,G1159:R1159),""),SUM(G1159:R1159))))</f>
        <v/>
      </c>
      <c r="T1159" s="33" t="n"/>
    </row>
    <row r="1160">
      <c r="A1160" s="26">
        <f>IF($B1160="","",ROW()-3)</f>
        <v/>
      </c>
      <c r="B1160" s="27" t="n"/>
      <c r="C1160" s="27" t="n"/>
      <c r="D1160" s="28" t="n"/>
      <c r="E1160" s="29" t="n"/>
      <c r="F1160" s="30" t="n"/>
      <c r="G1160" s="31" t="n"/>
      <c r="H1160" s="31" t="n"/>
      <c r="I1160" s="31" t="n"/>
      <c r="J1160" s="31" t="n"/>
      <c r="K1160" s="31" t="n"/>
      <c r="L1160" s="31" t="n"/>
      <c r="M1160" s="31" t="n"/>
      <c r="N1160" s="31" t="n"/>
      <c r="O1160" s="31" t="n"/>
      <c r="P1160" s="31" t="n"/>
      <c r="Q1160" s="31" t="n"/>
      <c r="R1160" s="31" t="n"/>
      <c r="S1160" s="32">
        <f>IF($F1160="","",IF(IFERROR(VLOOKUP($F1160,'维度字典'!$M$2:$N$50,2,0),"求和")="手工录入","",IF(IFERROR(VLOOKUP($F1160,'维度字典'!$M$2:$N$50,2,0),"求和")="最新值",IFERROR(LOOKUP(9.99E+307,G1160:R1160),""),SUM(G1160:R1160))))</f>
        <v/>
      </c>
      <c r="T1160" s="33" t="n"/>
    </row>
    <row r="1161">
      <c r="A1161" s="26">
        <f>IF($B1161="","",ROW()-3)</f>
        <v/>
      </c>
      <c r="B1161" s="27" t="n"/>
      <c r="C1161" s="27" t="n"/>
      <c r="D1161" s="28" t="n"/>
      <c r="E1161" s="29" t="n"/>
      <c r="F1161" s="30" t="n"/>
      <c r="G1161" s="31" t="n"/>
      <c r="H1161" s="31" t="n"/>
      <c r="I1161" s="31" t="n"/>
      <c r="J1161" s="31" t="n"/>
      <c r="K1161" s="31" t="n"/>
      <c r="L1161" s="31" t="n"/>
      <c r="M1161" s="31" t="n"/>
      <c r="N1161" s="31" t="n"/>
      <c r="O1161" s="31" t="n"/>
      <c r="P1161" s="31" t="n"/>
      <c r="Q1161" s="31" t="n"/>
      <c r="R1161" s="31" t="n"/>
      <c r="S1161" s="32">
        <f>IF($F1161="","",IF(IFERROR(VLOOKUP($F1161,'维度字典'!$M$2:$N$50,2,0),"求和")="手工录入","",IF(IFERROR(VLOOKUP($F1161,'维度字典'!$M$2:$N$50,2,0),"求和")="最新值",IFERROR(LOOKUP(9.99E+307,G1161:R1161),""),SUM(G1161:R1161))))</f>
        <v/>
      </c>
      <c r="T1161" s="33" t="n"/>
    </row>
    <row r="1162">
      <c r="A1162" s="26">
        <f>IF($B1162="","",ROW()-3)</f>
        <v/>
      </c>
      <c r="B1162" s="27" t="n"/>
      <c r="C1162" s="27" t="n"/>
      <c r="D1162" s="28" t="n"/>
      <c r="E1162" s="29" t="n"/>
      <c r="F1162" s="30" t="n"/>
      <c r="G1162" s="31" t="n"/>
      <c r="H1162" s="31" t="n"/>
      <c r="I1162" s="31" t="n"/>
      <c r="J1162" s="31" t="n"/>
      <c r="K1162" s="31" t="n"/>
      <c r="L1162" s="31" t="n"/>
      <c r="M1162" s="31" t="n"/>
      <c r="N1162" s="31" t="n"/>
      <c r="O1162" s="31" t="n"/>
      <c r="P1162" s="31" t="n"/>
      <c r="Q1162" s="31" t="n"/>
      <c r="R1162" s="31" t="n"/>
      <c r="S1162" s="32">
        <f>IF($F1162="","",IF(IFERROR(VLOOKUP($F1162,'维度字典'!$M$2:$N$50,2,0),"求和")="手工录入","",IF(IFERROR(VLOOKUP($F1162,'维度字典'!$M$2:$N$50,2,0),"求和")="最新值",IFERROR(LOOKUP(9.99E+307,G1162:R1162),""),SUM(G1162:R1162))))</f>
        <v/>
      </c>
      <c r="T1162" s="33" t="n"/>
    </row>
    <row r="1163">
      <c r="A1163" s="26">
        <f>IF($B1163="","",ROW()-3)</f>
        <v/>
      </c>
      <c r="B1163" s="27" t="n"/>
      <c r="C1163" s="27" t="n"/>
      <c r="D1163" s="28" t="n"/>
      <c r="E1163" s="29" t="n"/>
      <c r="F1163" s="30" t="n"/>
      <c r="G1163" s="31" t="n"/>
      <c r="H1163" s="31" t="n"/>
      <c r="I1163" s="31" t="n"/>
      <c r="J1163" s="31" t="n"/>
      <c r="K1163" s="31" t="n"/>
      <c r="L1163" s="31" t="n"/>
      <c r="M1163" s="31" t="n"/>
      <c r="N1163" s="31" t="n"/>
      <c r="O1163" s="31" t="n"/>
      <c r="P1163" s="31" t="n"/>
      <c r="Q1163" s="31" t="n"/>
      <c r="R1163" s="31" t="n"/>
      <c r="S1163" s="32">
        <f>IF($F1163="","",IF(IFERROR(VLOOKUP($F1163,'维度字典'!$M$2:$N$50,2,0),"求和")="手工录入","",IF(IFERROR(VLOOKUP($F1163,'维度字典'!$M$2:$N$50,2,0),"求和")="最新值",IFERROR(LOOKUP(9.99E+307,G1163:R1163),""),SUM(G1163:R1163))))</f>
        <v/>
      </c>
      <c r="T1163" s="33" t="n"/>
    </row>
    <row r="1164">
      <c r="A1164" s="26">
        <f>IF($B1164="","",ROW()-3)</f>
        <v/>
      </c>
      <c r="B1164" s="27" t="n"/>
      <c r="C1164" s="27" t="n"/>
      <c r="D1164" s="28" t="n"/>
      <c r="E1164" s="29" t="n"/>
      <c r="F1164" s="30" t="n"/>
      <c r="G1164" s="31" t="n"/>
      <c r="H1164" s="31" t="n"/>
      <c r="I1164" s="31" t="n"/>
      <c r="J1164" s="31" t="n"/>
      <c r="K1164" s="31" t="n"/>
      <c r="L1164" s="31" t="n"/>
      <c r="M1164" s="31" t="n"/>
      <c r="N1164" s="31" t="n"/>
      <c r="O1164" s="31" t="n"/>
      <c r="P1164" s="31" t="n"/>
      <c r="Q1164" s="31" t="n"/>
      <c r="R1164" s="31" t="n"/>
      <c r="S1164" s="32">
        <f>IF($F1164="","",IF(IFERROR(VLOOKUP($F1164,'维度字典'!$M$2:$N$50,2,0),"求和")="手工录入","",IF(IFERROR(VLOOKUP($F1164,'维度字典'!$M$2:$N$50,2,0),"求和")="最新值",IFERROR(LOOKUP(9.99E+307,G1164:R1164),""),SUM(G1164:R1164))))</f>
        <v/>
      </c>
      <c r="T1164" s="33" t="n"/>
    </row>
    <row r="1165">
      <c r="A1165" s="26">
        <f>IF($B1165="","",ROW()-3)</f>
        <v/>
      </c>
      <c r="B1165" s="27" t="n"/>
      <c r="C1165" s="27" t="n"/>
      <c r="D1165" s="28" t="n"/>
      <c r="E1165" s="29" t="n"/>
      <c r="F1165" s="30" t="n"/>
      <c r="G1165" s="31" t="n"/>
      <c r="H1165" s="31" t="n"/>
      <c r="I1165" s="31" t="n"/>
      <c r="J1165" s="31" t="n"/>
      <c r="K1165" s="31" t="n"/>
      <c r="L1165" s="31" t="n"/>
      <c r="M1165" s="31" t="n"/>
      <c r="N1165" s="31" t="n"/>
      <c r="O1165" s="31" t="n"/>
      <c r="P1165" s="31" t="n"/>
      <c r="Q1165" s="31" t="n"/>
      <c r="R1165" s="31" t="n"/>
      <c r="S1165" s="32">
        <f>IF($F1165="","",IF(IFERROR(VLOOKUP($F1165,'维度字典'!$M$2:$N$50,2,0),"求和")="手工录入","",IF(IFERROR(VLOOKUP($F1165,'维度字典'!$M$2:$N$50,2,0),"求和")="最新值",IFERROR(LOOKUP(9.99E+307,G1165:R1165),""),SUM(G1165:R1165))))</f>
        <v/>
      </c>
      <c r="T1165" s="33" t="n"/>
    </row>
    <row r="1166">
      <c r="A1166" s="26">
        <f>IF($B1166="","",ROW()-3)</f>
        <v/>
      </c>
      <c r="B1166" s="27" t="n"/>
      <c r="C1166" s="27" t="n"/>
      <c r="D1166" s="28" t="n"/>
      <c r="E1166" s="29" t="n"/>
      <c r="F1166" s="30" t="n"/>
      <c r="G1166" s="31" t="n"/>
      <c r="H1166" s="31" t="n"/>
      <c r="I1166" s="31" t="n"/>
      <c r="J1166" s="31" t="n"/>
      <c r="K1166" s="31" t="n"/>
      <c r="L1166" s="31" t="n"/>
      <c r="M1166" s="31" t="n"/>
      <c r="N1166" s="31" t="n"/>
      <c r="O1166" s="31" t="n"/>
      <c r="P1166" s="31" t="n"/>
      <c r="Q1166" s="31" t="n"/>
      <c r="R1166" s="31" t="n"/>
      <c r="S1166" s="32">
        <f>IF($F1166="","",IF(IFERROR(VLOOKUP($F1166,'维度字典'!$M$2:$N$50,2,0),"求和")="手工录入","",IF(IFERROR(VLOOKUP($F1166,'维度字典'!$M$2:$N$50,2,0),"求和")="最新值",IFERROR(LOOKUP(9.99E+307,G1166:R1166),""),SUM(G1166:R1166))))</f>
        <v/>
      </c>
      <c r="T1166" s="33" t="n"/>
    </row>
    <row r="1167">
      <c r="A1167" s="26">
        <f>IF($B1167="","",ROW()-3)</f>
        <v/>
      </c>
      <c r="B1167" s="27" t="n"/>
      <c r="C1167" s="27" t="n"/>
      <c r="D1167" s="28" t="n"/>
      <c r="E1167" s="29" t="n"/>
      <c r="F1167" s="30" t="n"/>
      <c r="G1167" s="31" t="n"/>
      <c r="H1167" s="31" t="n"/>
      <c r="I1167" s="31" t="n"/>
      <c r="J1167" s="31" t="n"/>
      <c r="K1167" s="31" t="n"/>
      <c r="L1167" s="31" t="n"/>
      <c r="M1167" s="31" t="n"/>
      <c r="N1167" s="31" t="n"/>
      <c r="O1167" s="31" t="n"/>
      <c r="P1167" s="31" t="n"/>
      <c r="Q1167" s="31" t="n"/>
      <c r="R1167" s="31" t="n"/>
      <c r="S1167" s="32">
        <f>IF($F1167="","",IF(IFERROR(VLOOKUP($F1167,'维度字典'!$M$2:$N$50,2,0),"求和")="手工录入","",IF(IFERROR(VLOOKUP($F1167,'维度字典'!$M$2:$N$50,2,0),"求和")="最新值",IFERROR(LOOKUP(9.99E+307,G1167:R1167),""),SUM(G1167:R1167))))</f>
        <v/>
      </c>
      <c r="T1167" s="33" t="n"/>
    </row>
    <row r="1168">
      <c r="A1168" s="26">
        <f>IF($B1168="","",ROW()-3)</f>
        <v/>
      </c>
      <c r="B1168" s="27" t="n"/>
      <c r="C1168" s="27" t="n"/>
      <c r="D1168" s="28" t="n"/>
      <c r="E1168" s="29" t="n"/>
      <c r="F1168" s="30" t="n"/>
      <c r="G1168" s="31" t="n"/>
      <c r="H1168" s="31" t="n"/>
      <c r="I1168" s="31" t="n"/>
      <c r="J1168" s="31" t="n"/>
      <c r="K1168" s="31" t="n"/>
      <c r="L1168" s="31" t="n"/>
      <c r="M1168" s="31" t="n"/>
      <c r="N1168" s="31" t="n"/>
      <c r="O1168" s="31" t="n"/>
      <c r="P1168" s="31" t="n"/>
      <c r="Q1168" s="31" t="n"/>
      <c r="R1168" s="31" t="n"/>
      <c r="S1168" s="32">
        <f>IF($F1168="","",IF(IFERROR(VLOOKUP($F1168,'维度字典'!$M$2:$N$50,2,0),"求和")="手工录入","",IF(IFERROR(VLOOKUP($F1168,'维度字典'!$M$2:$N$50,2,0),"求和")="最新值",IFERROR(LOOKUP(9.99E+307,G1168:R1168),""),SUM(G1168:R1168))))</f>
        <v/>
      </c>
      <c r="T1168" s="33" t="n"/>
    </row>
    <row r="1169">
      <c r="A1169" s="26">
        <f>IF($B1169="","",ROW()-3)</f>
        <v/>
      </c>
      <c r="B1169" s="27" t="n"/>
      <c r="C1169" s="27" t="n"/>
      <c r="D1169" s="28" t="n"/>
      <c r="E1169" s="29" t="n"/>
      <c r="F1169" s="30" t="n"/>
      <c r="G1169" s="31" t="n"/>
      <c r="H1169" s="31" t="n"/>
      <c r="I1169" s="31" t="n"/>
      <c r="J1169" s="31" t="n"/>
      <c r="K1169" s="31" t="n"/>
      <c r="L1169" s="31" t="n"/>
      <c r="M1169" s="31" t="n"/>
      <c r="N1169" s="31" t="n"/>
      <c r="O1169" s="31" t="n"/>
      <c r="P1169" s="31" t="n"/>
      <c r="Q1169" s="31" t="n"/>
      <c r="R1169" s="31" t="n"/>
      <c r="S1169" s="32">
        <f>IF($F1169="","",IF(IFERROR(VLOOKUP($F1169,'维度字典'!$M$2:$N$50,2,0),"求和")="手工录入","",IF(IFERROR(VLOOKUP($F1169,'维度字典'!$M$2:$N$50,2,0),"求和")="最新值",IFERROR(LOOKUP(9.99E+307,G1169:R1169),""),SUM(G1169:R1169))))</f>
        <v/>
      </c>
      <c r="T1169" s="33" t="n"/>
    </row>
    <row r="1170">
      <c r="A1170" s="26">
        <f>IF($B1170="","",ROW()-3)</f>
        <v/>
      </c>
      <c r="B1170" s="27" t="n"/>
      <c r="C1170" s="27" t="n"/>
      <c r="D1170" s="28" t="n"/>
      <c r="E1170" s="29" t="n"/>
      <c r="F1170" s="30" t="n"/>
      <c r="G1170" s="31" t="n"/>
      <c r="H1170" s="31" t="n"/>
      <c r="I1170" s="31" t="n"/>
      <c r="J1170" s="31" t="n"/>
      <c r="K1170" s="31" t="n"/>
      <c r="L1170" s="31" t="n"/>
      <c r="M1170" s="31" t="n"/>
      <c r="N1170" s="31" t="n"/>
      <c r="O1170" s="31" t="n"/>
      <c r="P1170" s="31" t="n"/>
      <c r="Q1170" s="31" t="n"/>
      <c r="R1170" s="31" t="n"/>
      <c r="S1170" s="32">
        <f>IF($F1170="","",IF(IFERROR(VLOOKUP($F1170,'维度字典'!$M$2:$N$50,2,0),"求和")="手工录入","",IF(IFERROR(VLOOKUP($F1170,'维度字典'!$M$2:$N$50,2,0),"求和")="最新值",IFERROR(LOOKUP(9.99E+307,G1170:R1170),""),SUM(G1170:R1170))))</f>
        <v/>
      </c>
      <c r="T1170" s="33" t="n"/>
    </row>
    <row r="1171">
      <c r="A1171" s="26">
        <f>IF($B1171="","",ROW()-3)</f>
        <v/>
      </c>
      <c r="B1171" s="27" t="n"/>
      <c r="C1171" s="27" t="n"/>
      <c r="D1171" s="28" t="n"/>
      <c r="E1171" s="29" t="n"/>
      <c r="F1171" s="30" t="n"/>
      <c r="G1171" s="31" t="n"/>
      <c r="H1171" s="31" t="n"/>
      <c r="I1171" s="31" t="n"/>
      <c r="J1171" s="31" t="n"/>
      <c r="K1171" s="31" t="n"/>
      <c r="L1171" s="31" t="n"/>
      <c r="M1171" s="31" t="n"/>
      <c r="N1171" s="31" t="n"/>
      <c r="O1171" s="31" t="n"/>
      <c r="P1171" s="31" t="n"/>
      <c r="Q1171" s="31" t="n"/>
      <c r="R1171" s="31" t="n"/>
      <c r="S1171" s="32">
        <f>IF($F1171="","",IF(IFERROR(VLOOKUP($F1171,'维度字典'!$M$2:$N$50,2,0),"求和")="手工录入","",IF(IFERROR(VLOOKUP($F1171,'维度字典'!$M$2:$N$50,2,0),"求和")="最新值",IFERROR(LOOKUP(9.99E+307,G1171:R1171),""),SUM(G1171:R1171))))</f>
        <v/>
      </c>
      <c r="T1171" s="33" t="n"/>
    </row>
    <row r="1172">
      <c r="A1172" s="26">
        <f>IF($B1172="","",ROW()-3)</f>
        <v/>
      </c>
      <c r="B1172" s="27" t="n"/>
      <c r="C1172" s="27" t="n"/>
      <c r="D1172" s="28" t="n"/>
      <c r="E1172" s="29" t="n"/>
      <c r="F1172" s="30" t="n"/>
      <c r="G1172" s="31" t="n"/>
      <c r="H1172" s="31" t="n"/>
      <c r="I1172" s="31" t="n"/>
      <c r="J1172" s="31" t="n"/>
      <c r="K1172" s="31" t="n"/>
      <c r="L1172" s="31" t="n"/>
      <c r="M1172" s="31" t="n"/>
      <c r="N1172" s="31" t="n"/>
      <c r="O1172" s="31" t="n"/>
      <c r="P1172" s="31" t="n"/>
      <c r="Q1172" s="31" t="n"/>
      <c r="R1172" s="31" t="n"/>
      <c r="S1172" s="32">
        <f>IF($F1172="","",IF(IFERROR(VLOOKUP($F1172,'维度字典'!$M$2:$N$50,2,0),"求和")="手工录入","",IF(IFERROR(VLOOKUP($F1172,'维度字典'!$M$2:$N$50,2,0),"求和")="最新值",IFERROR(LOOKUP(9.99E+307,G1172:R1172),""),SUM(G1172:R1172))))</f>
        <v/>
      </c>
      <c r="T1172" s="33" t="n"/>
    </row>
    <row r="1173">
      <c r="A1173" s="26">
        <f>IF($B1173="","",ROW()-3)</f>
        <v/>
      </c>
      <c r="B1173" s="27" t="n"/>
      <c r="C1173" s="27" t="n"/>
      <c r="D1173" s="28" t="n"/>
      <c r="E1173" s="29" t="n"/>
      <c r="F1173" s="30" t="n"/>
      <c r="G1173" s="31" t="n"/>
      <c r="H1173" s="31" t="n"/>
      <c r="I1173" s="31" t="n"/>
      <c r="J1173" s="31" t="n"/>
      <c r="K1173" s="31" t="n"/>
      <c r="L1173" s="31" t="n"/>
      <c r="M1173" s="31" t="n"/>
      <c r="N1173" s="31" t="n"/>
      <c r="O1173" s="31" t="n"/>
      <c r="P1173" s="31" t="n"/>
      <c r="Q1173" s="31" t="n"/>
      <c r="R1173" s="31" t="n"/>
      <c r="S1173" s="32">
        <f>IF($F1173="","",IF(IFERROR(VLOOKUP($F1173,'维度字典'!$M$2:$N$50,2,0),"求和")="手工录入","",IF(IFERROR(VLOOKUP($F1173,'维度字典'!$M$2:$N$50,2,0),"求和")="最新值",IFERROR(LOOKUP(9.99E+307,G1173:R1173),""),SUM(G1173:R1173))))</f>
        <v/>
      </c>
      <c r="T1173" s="33" t="n"/>
    </row>
    <row r="1174">
      <c r="A1174" s="26">
        <f>IF($B1174="","",ROW()-3)</f>
        <v/>
      </c>
      <c r="B1174" s="27" t="n"/>
      <c r="C1174" s="27" t="n"/>
      <c r="D1174" s="28" t="n"/>
      <c r="E1174" s="29" t="n"/>
      <c r="F1174" s="30" t="n"/>
      <c r="G1174" s="31" t="n"/>
      <c r="H1174" s="31" t="n"/>
      <c r="I1174" s="31" t="n"/>
      <c r="J1174" s="31" t="n"/>
      <c r="K1174" s="31" t="n"/>
      <c r="L1174" s="31" t="n"/>
      <c r="M1174" s="31" t="n"/>
      <c r="N1174" s="31" t="n"/>
      <c r="O1174" s="31" t="n"/>
      <c r="P1174" s="31" t="n"/>
      <c r="Q1174" s="31" t="n"/>
      <c r="R1174" s="31" t="n"/>
      <c r="S1174" s="32">
        <f>IF($F1174="","",IF(IFERROR(VLOOKUP($F1174,'维度字典'!$M$2:$N$50,2,0),"求和")="手工录入","",IF(IFERROR(VLOOKUP($F1174,'维度字典'!$M$2:$N$50,2,0),"求和")="最新值",IFERROR(LOOKUP(9.99E+307,G1174:R1174),""),SUM(G1174:R1174))))</f>
        <v/>
      </c>
      <c r="T1174" s="33" t="n"/>
    </row>
    <row r="1175">
      <c r="A1175" s="26">
        <f>IF($B1175="","",ROW()-3)</f>
        <v/>
      </c>
      <c r="B1175" s="27" t="n"/>
      <c r="C1175" s="27" t="n"/>
      <c r="D1175" s="28" t="n"/>
      <c r="E1175" s="29" t="n"/>
      <c r="F1175" s="30" t="n"/>
      <c r="G1175" s="31" t="n"/>
      <c r="H1175" s="31" t="n"/>
      <c r="I1175" s="31" t="n"/>
      <c r="J1175" s="31" t="n"/>
      <c r="K1175" s="31" t="n"/>
      <c r="L1175" s="31" t="n"/>
      <c r="M1175" s="31" t="n"/>
      <c r="N1175" s="31" t="n"/>
      <c r="O1175" s="31" t="n"/>
      <c r="P1175" s="31" t="n"/>
      <c r="Q1175" s="31" t="n"/>
      <c r="R1175" s="31" t="n"/>
      <c r="S1175" s="32">
        <f>IF($F1175="","",IF(IFERROR(VLOOKUP($F1175,'维度字典'!$M$2:$N$50,2,0),"求和")="手工录入","",IF(IFERROR(VLOOKUP($F1175,'维度字典'!$M$2:$N$50,2,0),"求和")="最新值",IFERROR(LOOKUP(9.99E+307,G1175:R1175),""),SUM(G1175:R1175))))</f>
        <v/>
      </c>
      <c r="T1175" s="33" t="n"/>
    </row>
    <row r="1176">
      <c r="A1176" s="26">
        <f>IF($B1176="","",ROW()-3)</f>
        <v/>
      </c>
      <c r="B1176" s="27" t="n"/>
      <c r="C1176" s="27" t="n"/>
      <c r="D1176" s="28" t="n"/>
      <c r="E1176" s="29" t="n"/>
      <c r="F1176" s="30" t="n"/>
      <c r="G1176" s="31" t="n"/>
      <c r="H1176" s="31" t="n"/>
      <c r="I1176" s="31" t="n"/>
      <c r="J1176" s="31" t="n"/>
      <c r="K1176" s="31" t="n"/>
      <c r="L1176" s="31" t="n"/>
      <c r="M1176" s="31" t="n"/>
      <c r="N1176" s="31" t="n"/>
      <c r="O1176" s="31" t="n"/>
      <c r="P1176" s="31" t="n"/>
      <c r="Q1176" s="31" t="n"/>
      <c r="R1176" s="31" t="n"/>
      <c r="S1176" s="32">
        <f>IF($F1176="","",IF(IFERROR(VLOOKUP($F1176,'维度字典'!$M$2:$N$50,2,0),"求和")="手工录入","",IF(IFERROR(VLOOKUP($F1176,'维度字典'!$M$2:$N$50,2,0),"求和")="最新值",IFERROR(LOOKUP(9.99E+307,G1176:R1176),""),SUM(G1176:R1176))))</f>
        <v/>
      </c>
      <c r="T1176" s="33" t="n"/>
    </row>
    <row r="1177">
      <c r="A1177" s="26">
        <f>IF($B1177="","",ROW()-3)</f>
        <v/>
      </c>
      <c r="B1177" s="27" t="n"/>
      <c r="C1177" s="27" t="n"/>
      <c r="D1177" s="28" t="n"/>
      <c r="E1177" s="29" t="n"/>
      <c r="F1177" s="30" t="n"/>
      <c r="G1177" s="31" t="n"/>
      <c r="H1177" s="31" t="n"/>
      <c r="I1177" s="31" t="n"/>
      <c r="J1177" s="31" t="n"/>
      <c r="K1177" s="31" t="n"/>
      <c r="L1177" s="31" t="n"/>
      <c r="M1177" s="31" t="n"/>
      <c r="N1177" s="31" t="n"/>
      <c r="O1177" s="31" t="n"/>
      <c r="P1177" s="31" t="n"/>
      <c r="Q1177" s="31" t="n"/>
      <c r="R1177" s="31" t="n"/>
      <c r="S1177" s="32">
        <f>IF($F1177="","",IF(IFERROR(VLOOKUP($F1177,'维度字典'!$M$2:$N$50,2,0),"求和")="手工录入","",IF(IFERROR(VLOOKUP($F1177,'维度字典'!$M$2:$N$50,2,0),"求和")="最新值",IFERROR(LOOKUP(9.99E+307,G1177:R1177),""),SUM(G1177:R1177))))</f>
        <v/>
      </c>
      <c r="T1177" s="33" t="n"/>
    </row>
    <row r="1178">
      <c r="A1178" s="26">
        <f>IF($B1178="","",ROW()-3)</f>
        <v/>
      </c>
      <c r="B1178" s="27" t="n"/>
      <c r="C1178" s="27" t="n"/>
      <c r="D1178" s="28" t="n"/>
      <c r="E1178" s="29" t="n"/>
      <c r="F1178" s="30" t="n"/>
      <c r="G1178" s="31" t="n"/>
      <c r="H1178" s="31" t="n"/>
      <c r="I1178" s="31" t="n"/>
      <c r="J1178" s="31" t="n"/>
      <c r="K1178" s="31" t="n"/>
      <c r="L1178" s="31" t="n"/>
      <c r="M1178" s="31" t="n"/>
      <c r="N1178" s="31" t="n"/>
      <c r="O1178" s="31" t="n"/>
      <c r="P1178" s="31" t="n"/>
      <c r="Q1178" s="31" t="n"/>
      <c r="R1178" s="31" t="n"/>
      <c r="S1178" s="32">
        <f>IF($F1178="","",IF(IFERROR(VLOOKUP($F1178,'维度字典'!$M$2:$N$50,2,0),"求和")="手工录入","",IF(IFERROR(VLOOKUP($F1178,'维度字典'!$M$2:$N$50,2,0),"求和")="最新值",IFERROR(LOOKUP(9.99E+307,G1178:R1178),""),SUM(G1178:R1178))))</f>
        <v/>
      </c>
      <c r="T1178" s="33" t="n"/>
    </row>
    <row r="1179">
      <c r="A1179" s="26">
        <f>IF($B1179="","",ROW()-3)</f>
        <v/>
      </c>
      <c r="B1179" s="27" t="n"/>
      <c r="C1179" s="27" t="n"/>
      <c r="D1179" s="28" t="n"/>
      <c r="E1179" s="29" t="n"/>
      <c r="F1179" s="30" t="n"/>
      <c r="G1179" s="31" t="n"/>
      <c r="H1179" s="31" t="n"/>
      <c r="I1179" s="31" t="n"/>
      <c r="J1179" s="31" t="n"/>
      <c r="K1179" s="31" t="n"/>
      <c r="L1179" s="31" t="n"/>
      <c r="M1179" s="31" t="n"/>
      <c r="N1179" s="31" t="n"/>
      <c r="O1179" s="31" t="n"/>
      <c r="P1179" s="31" t="n"/>
      <c r="Q1179" s="31" t="n"/>
      <c r="R1179" s="31" t="n"/>
      <c r="S1179" s="32">
        <f>IF($F1179="","",IF(IFERROR(VLOOKUP($F1179,'维度字典'!$M$2:$N$50,2,0),"求和")="手工录入","",IF(IFERROR(VLOOKUP($F1179,'维度字典'!$M$2:$N$50,2,0),"求和")="最新值",IFERROR(LOOKUP(9.99E+307,G1179:R1179),""),SUM(G1179:R1179))))</f>
        <v/>
      </c>
      <c r="T1179" s="33" t="n"/>
    </row>
    <row r="1180">
      <c r="A1180" s="26">
        <f>IF($B1180="","",ROW()-3)</f>
        <v/>
      </c>
      <c r="B1180" s="27" t="n"/>
      <c r="C1180" s="27" t="n"/>
      <c r="D1180" s="28" t="n"/>
      <c r="E1180" s="29" t="n"/>
      <c r="F1180" s="30" t="n"/>
      <c r="G1180" s="31" t="n"/>
      <c r="H1180" s="31" t="n"/>
      <c r="I1180" s="31" t="n"/>
      <c r="J1180" s="31" t="n"/>
      <c r="K1180" s="31" t="n"/>
      <c r="L1180" s="31" t="n"/>
      <c r="M1180" s="31" t="n"/>
      <c r="N1180" s="31" t="n"/>
      <c r="O1180" s="31" t="n"/>
      <c r="P1180" s="31" t="n"/>
      <c r="Q1180" s="31" t="n"/>
      <c r="R1180" s="31" t="n"/>
      <c r="S1180" s="32">
        <f>IF($F1180="","",IF(IFERROR(VLOOKUP($F1180,'维度字典'!$M$2:$N$50,2,0),"求和")="手工录入","",IF(IFERROR(VLOOKUP($F1180,'维度字典'!$M$2:$N$50,2,0),"求和")="最新值",IFERROR(LOOKUP(9.99E+307,G1180:R1180),""),SUM(G1180:R1180))))</f>
        <v/>
      </c>
      <c r="T1180" s="33" t="n"/>
    </row>
    <row r="1181">
      <c r="A1181" s="26">
        <f>IF($B1181="","",ROW()-3)</f>
        <v/>
      </c>
      <c r="B1181" s="27" t="n"/>
      <c r="C1181" s="27" t="n"/>
      <c r="D1181" s="28" t="n"/>
      <c r="E1181" s="29" t="n"/>
      <c r="F1181" s="30" t="n"/>
      <c r="G1181" s="31" t="n"/>
      <c r="H1181" s="31" t="n"/>
      <c r="I1181" s="31" t="n"/>
      <c r="J1181" s="31" t="n"/>
      <c r="K1181" s="31" t="n"/>
      <c r="L1181" s="31" t="n"/>
      <c r="M1181" s="31" t="n"/>
      <c r="N1181" s="31" t="n"/>
      <c r="O1181" s="31" t="n"/>
      <c r="P1181" s="31" t="n"/>
      <c r="Q1181" s="31" t="n"/>
      <c r="R1181" s="31" t="n"/>
      <c r="S1181" s="32">
        <f>IF($F1181="","",IF(IFERROR(VLOOKUP($F1181,'维度字典'!$M$2:$N$50,2,0),"求和")="手工录入","",IF(IFERROR(VLOOKUP($F1181,'维度字典'!$M$2:$N$50,2,0),"求和")="最新值",IFERROR(LOOKUP(9.99E+307,G1181:R1181),""),SUM(G1181:R1181))))</f>
        <v/>
      </c>
      <c r="T1181" s="33" t="n"/>
    </row>
    <row r="1182">
      <c r="A1182" s="26">
        <f>IF($B1182="","",ROW()-3)</f>
        <v/>
      </c>
      <c r="B1182" s="27" t="n"/>
      <c r="C1182" s="27" t="n"/>
      <c r="D1182" s="28" t="n"/>
      <c r="E1182" s="29" t="n"/>
      <c r="F1182" s="30" t="n"/>
      <c r="G1182" s="31" t="n"/>
      <c r="H1182" s="31" t="n"/>
      <c r="I1182" s="31" t="n"/>
      <c r="J1182" s="31" t="n"/>
      <c r="K1182" s="31" t="n"/>
      <c r="L1182" s="31" t="n"/>
      <c r="M1182" s="31" t="n"/>
      <c r="N1182" s="31" t="n"/>
      <c r="O1182" s="31" t="n"/>
      <c r="P1182" s="31" t="n"/>
      <c r="Q1182" s="31" t="n"/>
      <c r="R1182" s="31" t="n"/>
      <c r="S1182" s="32">
        <f>IF($F1182="","",IF(IFERROR(VLOOKUP($F1182,'维度字典'!$M$2:$N$50,2,0),"求和")="手工录入","",IF(IFERROR(VLOOKUP($F1182,'维度字典'!$M$2:$N$50,2,0),"求和")="最新值",IFERROR(LOOKUP(9.99E+307,G1182:R1182),""),SUM(G1182:R1182))))</f>
        <v/>
      </c>
      <c r="T1182" s="33" t="n"/>
    </row>
    <row r="1183">
      <c r="A1183" s="26">
        <f>IF($B1183="","",ROW()-3)</f>
        <v/>
      </c>
      <c r="B1183" s="27" t="n"/>
      <c r="C1183" s="27" t="n"/>
      <c r="D1183" s="28" t="n"/>
      <c r="E1183" s="29" t="n"/>
      <c r="F1183" s="30" t="n"/>
      <c r="G1183" s="31" t="n"/>
      <c r="H1183" s="31" t="n"/>
      <c r="I1183" s="31" t="n"/>
      <c r="J1183" s="31" t="n"/>
      <c r="K1183" s="31" t="n"/>
      <c r="L1183" s="31" t="n"/>
      <c r="M1183" s="31" t="n"/>
      <c r="N1183" s="31" t="n"/>
      <c r="O1183" s="31" t="n"/>
      <c r="P1183" s="31" t="n"/>
      <c r="Q1183" s="31" t="n"/>
      <c r="R1183" s="31" t="n"/>
      <c r="S1183" s="32">
        <f>IF($F1183="","",IF(IFERROR(VLOOKUP($F1183,'维度字典'!$M$2:$N$50,2,0),"求和")="手工录入","",IF(IFERROR(VLOOKUP($F1183,'维度字典'!$M$2:$N$50,2,0),"求和")="最新值",IFERROR(LOOKUP(9.99E+307,G1183:R1183),""),SUM(G1183:R1183))))</f>
        <v/>
      </c>
      <c r="T1183" s="33" t="n"/>
    </row>
    <row r="1184">
      <c r="A1184" s="26">
        <f>IF($B1184="","",ROW()-3)</f>
        <v/>
      </c>
      <c r="B1184" s="27" t="n"/>
      <c r="C1184" s="27" t="n"/>
      <c r="D1184" s="28" t="n"/>
      <c r="E1184" s="29" t="n"/>
      <c r="F1184" s="30" t="n"/>
      <c r="G1184" s="31" t="n"/>
      <c r="H1184" s="31" t="n"/>
      <c r="I1184" s="31" t="n"/>
      <c r="J1184" s="31" t="n"/>
      <c r="K1184" s="31" t="n"/>
      <c r="L1184" s="31" t="n"/>
      <c r="M1184" s="31" t="n"/>
      <c r="N1184" s="31" t="n"/>
      <c r="O1184" s="31" t="n"/>
      <c r="P1184" s="31" t="n"/>
      <c r="Q1184" s="31" t="n"/>
      <c r="R1184" s="31" t="n"/>
      <c r="S1184" s="32">
        <f>IF($F1184="","",IF(IFERROR(VLOOKUP($F1184,'维度字典'!$M$2:$N$50,2,0),"求和")="手工录入","",IF(IFERROR(VLOOKUP($F1184,'维度字典'!$M$2:$N$50,2,0),"求和")="最新值",IFERROR(LOOKUP(9.99E+307,G1184:R1184),""),SUM(G1184:R1184))))</f>
        <v/>
      </c>
      <c r="T1184" s="33" t="n"/>
    </row>
    <row r="1185">
      <c r="A1185" s="26">
        <f>IF($B1185="","",ROW()-3)</f>
        <v/>
      </c>
      <c r="B1185" s="27" t="n"/>
      <c r="C1185" s="27" t="n"/>
      <c r="D1185" s="28" t="n"/>
      <c r="E1185" s="29" t="n"/>
      <c r="F1185" s="30" t="n"/>
      <c r="G1185" s="31" t="n"/>
      <c r="H1185" s="31" t="n"/>
      <c r="I1185" s="31" t="n"/>
      <c r="J1185" s="31" t="n"/>
      <c r="K1185" s="31" t="n"/>
      <c r="L1185" s="31" t="n"/>
      <c r="M1185" s="31" t="n"/>
      <c r="N1185" s="31" t="n"/>
      <c r="O1185" s="31" t="n"/>
      <c r="P1185" s="31" t="n"/>
      <c r="Q1185" s="31" t="n"/>
      <c r="R1185" s="31" t="n"/>
      <c r="S1185" s="32">
        <f>IF($F1185="","",IF(IFERROR(VLOOKUP($F1185,'维度字典'!$M$2:$N$50,2,0),"求和")="手工录入","",IF(IFERROR(VLOOKUP($F1185,'维度字典'!$M$2:$N$50,2,0),"求和")="最新值",IFERROR(LOOKUP(9.99E+307,G1185:R1185),""),SUM(G1185:R1185))))</f>
        <v/>
      </c>
      <c r="T1185" s="33" t="n"/>
    </row>
    <row r="1186">
      <c r="A1186" s="26">
        <f>IF($B1186="","",ROW()-3)</f>
        <v/>
      </c>
      <c r="B1186" s="27" t="n"/>
      <c r="C1186" s="27" t="n"/>
      <c r="D1186" s="28" t="n"/>
      <c r="E1186" s="29" t="n"/>
      <c r="F1186" s="30" t="n"/>
      <c r="G1186" s="31" t="n"/>
      <c r="H1186" s="31" t="n"/>
      <c r="I1186" s="31" t="n"/>
      <c r="J1186" s="31" t="n"/>
      <c r="K1186" s="31" t="n"/>
      <c r="L1186" s="31" t="n"/>
      <c r="M1186" s="31" t="n"/>
      <c r="N1186" s="31" t="n"/>
      <c r="O1186" s="31" t="n"/>
      <c r="P1186" s="31" t="n"/>
      <c r="Q1186" s="31" t="n"/>
      <c r="R1186" s="31" t="n"/>
      <c r="S1186" s="32">
        <f>IF($F1186="","",IF(IFERROR(VLOOKUP($F1186,'维度字典'!$M$2:$N$50,2,0),"求和")="手工录入","",IF(IFERROR(VLOOKUP($F1186,'维度字典'!$M$2:$N$50,2,0),"求和")="最新值",IFERROR(LOOKUP(9.99E+307,G1186:R1186),""),SUM(G1186:R1186))))</f>
        <v/>
      </c>
      <c r="T1186" s="33" t="n"/>
    </row>
    <row r="1187">
      <c r="A1187" s="26">
        <f>IF($B1187="","",ROW()-3)</f>
        <v/>
      </c>
      <c r="B1187" s="27" t="n"/>
      <c r="C1187" s="27" t="n"/>
      <c r="D1187" s="28" t="n"/>
      <c r="E1187" s="29" t="n"/>
      <c r="F1187" s="30" t="n"/>
      <c r="G1187" s="31" t="n"/>
      <c r="H1187" s="31" t="n"/>
      <c r="I1187" s="31" t="n"/>
      <c r="J1187" s="31" t="n"/>
      <c r="K1187" s="31" t="n"/>
      <c r="L1187" s="31" t="n"/>
      <c r="M1187" s="31" t="n"/>
      <c r="N1187" s="31" t="n"/>
      <c r="O1187" s="31" t="n"/>
      <c r="P1187" s="31" t="n"/>
      <c r="Q1187" s="31" t="n"/>
      <c r="R1187" s="31" t="n"/>
      <c r="S1187" s="32">
        <f>IF($F1187="","",IF(IFERROR(VLOOKUP($F1187,'维度字典'!$M$2:$N$50,2,0),"求和")="手工录入","",IF(IFERROR(VLOOKUP($F1187,'维度字典'!$M$2:$N$50,2,0),"求和")="最新值",IFERROR(LOOKUP(9.99E+307,G1187:R1187),""),SUM(G1187:R1187))))</f>
        <v/>
      </c>
      <c r="T1187" s="33" t="n"/>
    </row>
    <row r="1188">
      <c r="A1188" s="26">
        <f>IF($B1188="","",ROW()-3)</f>
        <v/>
      </c>
      <c r="B1188" s="27" t="n"/>
      <c r="C1188" s="27" t="n"/>
      <c r="D1188" s="28" t="n"/>
      <c r="E1188" s="29" t="n"/>
      <c r="F1188" s="30" t="n"/>
      <c r="G1188" s="31" t="n"/>
      <c r="H1188" s="31" t="n"/>
      <c r="I1188" s="31" t="n"/>
      <c r="J1188" s="31" t="n"/>
      <c r="K1188" s="31" t="n"/>
      <c r="L1188" s="31" t="n"/>
      <c r="M1188" s="31" t="n"/>
      <c r="N1188" s="31" t="n"/>
      <c r="O1188" s="31" t="n"/>
      <c r="P1188" s="31" t="n"/>
      <c r="Q1188" s="31" t="n"/>
      <c r="R1188" s="31" t="n"/>
      <c r="S1188" s="32">
        <f>IF($F1188="","",IF(IFERROR(VLOOKUP($F1188,'维度字典'!$M$2:$N$50,2,0),"求和")="手工录入","",IF(IFERROR(VLOOKUP($F1188,'维度字典'!$M$2:$N$50,2,0),"求和")="最新值",IFERROR(LOOKUP(9.99E+307,G1188:R1188),""),SUM(G1188:R1188))))</f>
        <v/>
      </c>
      <c r="T1188" s="33" t="n"/>
    </row>
    <row r="1189">
      <c r="A1189" s="26">
        <f>IF($B1189="","",ROW()-3)</f>
        <v/>
      </c>
      <c r="B1189" s="27" t="n"/>
      <c r="C1189" s="27" t="n"/>
      <c r="D1189" s="28" t="n"/>
      <c r="E1189" s="29" t="n"/>
      <c r="F1189" s="30" t="n"/>
      <c r="G1189" s="31" t="n"/>
      <c r="H1189" s="31" t="n"/>
      <c r="I1189" s="31" t="n"/>
      <c r="J1189" s="31" t="n"/>
      <c r="K1189" s="31" t="n"/>
      <c r="L1189" s="31" t="n"/>
      <c r="M1189" s="31" t="n"/>
      <c r="N1189" s="31" t="n"/>
      <c r="O1189" s="31" t="n"/>
      <c r="P1189" s="31" t="n"/>
      <c r="Q1189" s="31" t="n"/>
      <c r="R1189" s="31" t="n"/>
      <c r="S1189" s="32">
        <f>IF($F1189="","",IF(IFERROR(VLOOKUP($F1189,'维度字典'!$M$2:$N$50,2,0),"求和")="手工录入","",IF(IFERROR(VLOOKUP($F1189,'维度字典'!$M$2:$N$50,2,0),"求和")="最新值",IFERROR(LOOKUP(9.99E+307,G1189:R1189),""),SUM(G1189:R1189))))</f>
        <v/>
      </c>
      <c r="T1189" s="33" t="n"/>
    </row>
    <row r="1190">
      <c r="A1190" s="26">
        <f>IF($B1190="","",ROW()-3)</f>
        <v/>
      </c>
      <c r="B1190" s="27" t="n"/>
      <c r="C1190" s="27" t="n"/>
      <c r="D1190" s="28" t="n"/>
      <c r="E1190" s="29" t="n"/>
      <c r="F1190" s="30" t="n"/>
      <c r="G1190" s="31" t="n"/>
      <c r="H1190" s="31" t="n"/>
      <c r="I1190" s="31" t="n"/>
      <c r="J1190" s="31" t="n"/>
      <c r="K1190" s="31" t="n"/>
      <c r="L1190" s="31" t="n"/>
      <c r="M1190" s="31" t="n"/>
      <c r="N1190" s="31" t="n"/>
      <c r="O1190" s="31" t="n"/>
      <c r="P1190" s="31" t="n"/>
      <c r="Q1190" s="31" t="n"/>
      <c r="R1190" s="31" t="n"/>
      <c r="S1190" s="32">
        <f>IF($F1190="","",IF(IFERROR(VLOOKUP($F1190,'维度字典'!$M$2:$N$50,2,0),"求和")="手工录入","",IF(IFERROR(VLOOKUP($F1190,'维度字典'!$M$2:$N$50,2,0),"求和")="最新值",IFERROR(LOOKUP(9.99E+307,G1190:R1190),""),SUM(G1190:R1190))))</f>
        <v/>
      </c>
      <c r="T1190" s="33" t="n"/>
    </row>
    <row r="1191">
      <c r="A1191" s="26">
        <f>IF($B1191="","",ROW()-3)</f>
        <v/>
      </c>
      <c r="B1191" s="27" t="n"/>
      <c r="C1191" s="27" t="n"/>
      <c r="D1191" s="28" t="n"/>
      <c r="E1191" s="29" t="n"/>
      <c r="F1191" s="30" t="n"/>
      <c r="G1191" s="31" t="n"/>
      <c r="H1191" s="31" t="n"/>
      <c r="I1191" s="31" t="n"/>
      <c r="J1191" s="31" t="n"/>
      <c r="K1191" s="31" t="n"/>
      <c r="L1191" s="31" t="n"/>
      <c r="M1191" s="31" t="n"/>
      <c r="N1191" s="31" t="n"/>
      <c r="O1191" s="31" t="n"/>
      <c r="P1191" s="31" t="n"/>
      <c r="Q1191" s="31" t="n"/>
      <c r="R1191" s="31" t="n"/>
      <c r="S1191" s="32">
        <f>IF($F1191="","",IF(IFERROR(VLOOKUP($F1191,'维度字典'!$M$2:$N$50,2,0),"求和")="手工录入","",IF(IFERROR(VLOOKUP($F1191,'维度字典'!$M$2:$N$50,2,0),"求和")="最新值",IFERROR(LOOKUP(9.99E+307,G1191:R1191),""),SUM(G1191:R1191))))</f>
        <v/>
      </c>
      <c r="T1191" s="33" t="n"/>
    </row>
    <row r="1192">
      <c r="A1192" s="26">
        <f>IF($B1192="","",ROW()-3)</f>
        <v/>
      </c>
      <c r="B1192" s="27" t="n"/>
      <c r="C1192" s="27" t="n"/>
      <c r="D1192" s="28" t="n"/>
      <c r="E1192" s="29" t="n"/>
      <c r="F1192" s="30" t="n"/>
      <c r="G1192" s="31" t="n"/>
      <c r="H1192" s="31" t="n"/>
      <c r="I1192" s="31" t="n"/>
      <c r="J1192" s="31" t="n"/>
      <c r="K1192" s="31" t="n"/>
      <c r="L1192" s="31" t="n"/>
      <c r="M1192" s="31" t="n"/>
      <c r="N1192" s="31" t="n"/>
      <c r="O1192" s="31" t="n"/>
      <c r="P1192" s="31" t="n"/>
      <c r="Q1192" s="31" t="n"/>
      <c r="R1192" s="31" t="n"/>
      <c r="S1192" s="32">
        <f>IF($F1192="","",IF(IFERROR(VLOOKUP($F1192,'维度字典'!$M$2:$N$50,2,0),"求和")="手工录入","",IF(IFERROR(VLOOKUP($F1192,'维度字典'!$M$2:$N$50,2,0),"求和")="最新值",IFERROR(LOOKUP(9.99E+307,G1192:R1192),""),SUM(G1192:R1192))))</f>
        <v/>
      </c>
      <c r="T1192" s="33" t="n"/>
    </row>
    <row r="1193">
      <c r="A1193" s="26">
        <f>IF($B1193="","",ROW()-3)</f>
        <v/>
      </c>
      <c r="B1193" s="27" t="n"/>
      <c r="C1193" s="27" t="n"/>
      <c r="D1193" s="28" t="n"/>
      <c r="E1193" s="29" t="n"/>
      <c r="F1193" s="30" t="n"/>
      <c r="G1193" s="31" t="n"/>
      <c r="H1193" s="31" t="n"/>
      <c r="I1193" s="31" t="n"/>
      <c r="J1193" s="31" t="n"/>
      <c r="K1193" s="31" t="n"/>
      <c r="L1193" s="31" t="n"/>
      <c r="M1193" s="31" t="n"/>
      <c r="N1193" s="31" t="n"/>
      <c r="O1193" s="31" t="n"/>
      <c r="P1193" s="31" t="n"/>
      <c r="Q1193" s="31" t="n"/>
      <c r="R1193" s="31" t="n"/>
      <c r="S1193" s="32">
        <f>IF($F1193="","",IF(IFERROR(VLOOKUP($F1193,'维度字典'!$M$2:$N$50,2,0),"求和")="手工录入","",IF(IFERROR(VLOOKUP($F1193,'维度字典'!$M$2:$N$50,2,0),"求和")="最新值",IFERROR(LOOKUP(9.99E+307,G1193:R1193),""),SUM(G1193:R1193))))</f>
        <v/>
      </c>
      <c r="T1193" s="33" t="n"/>
    </row>
    <row r="1194">
      <c r="A1194" s="26">
        <f>IF($B1194="","",ROW()-3)</f>
        <v/>
      </c>
      <c r="B1194" s="27" t="n"/>
      <c r="C1194" s="27" t="n"/>
      <c r="D1194" s="28" t="n"/>
      <c r="E1194" s="29" t="n"/>
      <c r="F1194" s="30" t="n"/>
      <c r="G1194" s="31" t="n"/>
      <c r="H1194" s="31" t="n"/>
      <c r="I1194" s="31" t="n"/>
      <c r="J1194" s="31" t="n"/>
      <c r="K1194" s="31" t="n"/>
      <c r="L1194" s="31" t="n"/>
      <c r="M1194" s="31" t="n"/>
      <c r="N1194" s="31" t="n"/>
      <c r="O1194" s="31" t="n"/>
      <c r="P1194" s="31" t="n"/>
      <c r="Q1194" s="31" t="n"/>
      <c r="R1194" s="31" t="n"/>
      <c r="S1194" s="32">
        <f>IF($F1194="","",IF(IFERROR(VLOOKUP($F1194,'维度字典'!$M$2:$N$50,2,0),"求和")="手工录入","",IF(IFERROR(VLOOKUP($F1194,'维度字典'!$M$2:$N$50,2,0),"求和")="最新值",IFERROR(LOOKUP(9.99E+307,G1194:R1194),""),SUM(G1194:R1194))))</f>
        <v/>
      </c>
      <c r="T1194" s="33" t="n"/>
    </row>
    <row r="1195">
      <c r="A1195" s="26">
        <f>IF($B1195="","",ROW()-3)</f>
        <v/>
      </c>
      <c r="B1195" s="27" t="n"/>
      <c r="C1195" s="27" t="n"/>
      <c r="D1195" s="28" t="n"/>
      <c r="E1195" s="29" t="n"/>
      <c r="F1195" s="30" t="n"/>
      <c r="G1195" s="31" t="n"/>
      <c r="H1195" s="31" t="n"/>
      <c r="I1195" s="31" t="n"/>
      <c r="J1195" s="31" t="n"/>
      <c r="K1195" s="31" t="n"/>
      <c r="L1195" s="31" t="n"/>
      <c r="M1195" s="31" t="n"/>
      <c r="N1195" s="31" t="n"/>
      <c r="O1195" s="31" t="n"/>
      <c r="P1195" s="31" t="n"/>
      <c r="Q1195" s="31" t="n"/>
      <c r="R1195" s="31" t="n"/>
      <c r="S1195" s="32">
        <f>IF($F1195="","",IF(IFERROR(VLOOKUP($F1195,'维度字典'!$M$2:$N$50,2,0),"求和")="手工录入","",IF(IFERROR(VLOOKUP($F1195,'维度字典'!$M$2:$N$50,2,0),"求和")="最新值",IFERROR(LOOKUP(9.99E+307,G1195:R1195),""),SUM(G1195:R1195))))</f>
        <v/>
      </c>
      <c r="T1195" s="33" t="n"/>
    </row>
    <row r="1196">
      <c r="A1196" s="26">
        <f>IF($B1196="","",ROW()-3)</f>
        <v/>
      </c>
      <c r="B1196" s="27" t="n"/>
      <c r="C1196" s="27" t="n"/>
      <c r="D1196" s="28" t="n"/>
      <c r="E1196" s="29" t="n"/>
      <c r="F1196" s="30" t="n"/>
      <c r="G1196" s="31" t="n"/>
      <c r="H1196" s="31" t="n"/>
      <c r="I1196" s="31" t="n"/>
      <c r="J1196" s="31" t="n"/>
      <c r="K1196" s="31" t="n"/>
      <c r="L1196" s="31" t="n"/>
      <c r="M1196" s="31" t="n"/>
      <c r="N1196" s="31" t="n"/>
      <c r="O1196" s="31" t="n"/>
      <c r="P1196" s="31" t="n"/>
      <c r="Q1196" s="31" t="n"/>
      <c r="R1196" s="31" t="n"/>
      <c r="S1196" s="32">
        <f>IF($F1196="","",IF(IFERROR(VLOOKUP($F1196,'维度字典'!$M$2:$N$50,2,0),"求和")="手工录入","",IF(IFERROR(VLOOKUP($F1196,'维度字典'!$M$2:$N$50,2,0),"求和")="最新值",IFERROR(LOOKUP(9.99E+307,G1196:R1196),""),SUM(G1196:R1196))))</f>
        <v/>
      </c>
      <c r="T1196" s="33" t="n"/>
    </row>
    <row r="1197">
      <c r="A1197" s="26">
        <f>IF($B1197="","",ROW()-3)</f>
        <v/>
      </c>
      <c r="B1197" s="27" t="n"/>
      <c r="C1197" s="27" t="n"/>
      <c r="D1197" s="28" t="n"/>
      <c r="E1197" s="29" t="n"/>
      <c r="F1197" s="30" t="n"/>
      <c r="G1197" s="31" t="n"/>
      <c r="H1197" s="31" t="n"/>
      <c r="I1197" s="31" t="n"/>
      <c r="J1197" s="31" t="n"/>
      <c r="K1197" s="31" t="n"/>
      <c r="L1197" s="31" t="n"/>
      <c r="M1197" s="31" t="n"/>
      <c r="N1197" s="31" t="n"/>
      <c r="O1197" s="31" t="n"/>
      <c r="P1197" s="31" t="n"/>
      <c r="Q1197" s="31" t="n"/>
      <c r="R1197" s="31" t="n"/>
      <c r="S1197" s="32">
        <f>IF($F1197="","",IF(IFERROR(VLOOKUP($F1197,'维度字典'!$M$2:$N$50,2,0),"求和")="手工录入","",IF(IFERROR(VLOOKUP($F1197,'维度字典'!$M$2:$N$50,2,0),"求和")="最新值",IFERROR(LOOKUP(9.99E+307,G1197:R1197),""),SUM(G1197:R1197))))</f>
        <v/>
      </c>
      <c r="T1197" s="33" t="n"/>
    </row>
    <row r="1198">
      <c r="A1198" s="26">
        <f>IF($B1198="","",ROW()-3)</f>
        <v/>
      </c>
      <c r="B1198" s="27" t="n"/>
      <c r="C1198" s="27" t="n"/>
      <c r="D1198" s="28" t="n"/>
      <c r="E1198" s="29" t="n"/>
      <c r="F1198" s="30" t="n"/>
      <c r="G1198" s="31" t="n"/>
      <c r="H1198" s="31" t="n"/>
      <c r="I1198" s="31" t="n"/>
      <c r="J1198" s="31" t="n"/>
      <c r="K1198" s="31" t="n"/>
      <c r="L1198" s="31" t="n"/>
      <c r="M1198" s="31" t="n"/>
      <c r="N1198" s="31" t="n"/>
      <c r="O1198" s="31" t="n"/>
      <c r="P1198" s="31" t="n"/>
      <c r="Q1198" s="31" t="n"/>
      <c r="R1198" s="31" t="n"/>
      <c r="S1198" s="32">
        <f>IF($F1198="","",IF(IFERROR(VLOOKUP($F1198,'维度字典'!$M$2:$N$50,2,0),"求和")="手工录入","",IF(IFERROR(VLOOKUP($F1198,'维度字典'!$M$2:$N$50,2,0),"求和")="最新值",IFERROR(LOOKUP(9.99E+307,G1198:R1198),""),SUM(G1198:R1198))))</f>
        <v/>
      </c>
      <c r="T1198" s="33" t="n"/>
    </row>
    <row r="1199">
      <c r="A1199" s="26">
        <f>IF($B1199="","",ROW()-3)</f>
        <v/>
      </c>
      <c r="B1199" s="27" t="n"/>
      <c r="C1199" s="27" t="n"/>
      <c r="D1199" s="28" t="n"/>
      <c r="E1199" s="29" t="n"/>
      <c r="F1199" s="30" t="n"/>
      <c r="G1199" s="31" t="n"/>
      <c r="H1199" s="31" t="n"/>
      <c r="I1199" s="31" t="n"/>
      <c r="J1199" s="31" t="n"/>
      <c r="K1199" s="31" t="n"/>
      <c r="L1199" s="31" t="n"/>
      <c r="M1199" s="31" t="n"/>
      <c r="N1199" s="31" t="n"/>
      <c r="O1199" s="31" t="n"/>
      <c r="P1199" s="31" t="n"/>
      <c r="Q1199" s="31" t="n"/>
      <c r="R1199" s="31" t="n"/>
      <c r="S1199" s="32">
        <f>IF($F1199="","",IF(IFERROR(VLOOKUP($F1199,'维度字典'!$M$2:$N$50,2,0),"求和")="手工录入","",IF(IFERROR(VLOOKUP($F1199,'维度字典'!$M$2:$N$50,2,0),"求和")="最新值",IFERROR(LOOKUP(9.99E+307,G1199:R1199),""),SUM(G1199:R1199))))</f>
        <v/>
      </c>
      <c r="T1199" s="33" t="n"/>
    </row>
    <row r="1200">
      <c r="A1200" s="26">
        <f>IF($B1200="","",ROW()-3)</f>
        <v/>
      </c>
      <c r="B1200" s="27" t="n"/>
      <c r="C1200" s="27" t="n"/>
      <c r="D1200" s="28" t="n"/>
      <c r="E1200" s="29" t="n"/>
      <c r="F1200" s="30" t="n"/>
      <c r="G1200" s="31" t="n"/>
      <c r="H1200" s="31" t="n"/>
      <c r="I1200" s="31" t="n"/>
      <c r="J1200" s="31" t="n"/>
      <c r="K1200" s="31" t="n"/>
      <c r="L1200" s="31" t="n"/>
      <c r="M1200" s="31" t="n"/>
      <c r="N1200" s="31" t="n"/>
      <c r="O1200" s="31" t="n"/>
      <c r="P1200" s="31" t="n"/>
      <c r="Q1200" s="31" t="n"/>
      <c r="R1200" s="31" t="n"/>
      <c r="S1200" s="32">
        <f>IF($F1200="","",IF(IFERROR(VLOOKUP($F1200,'维度字典'!$M$2:$N$50,2,0),"求和")="手工录入","",IF(IFERROR(VLOOKUP($F1200,'维度字典'!$M$2:$N$50,2,0),"求和")="最新值",IFERROR(LOOKUP(9.99E+307,G1200:R1200),""),SUM(G1200:R1200))))</f>
        <v/>
      </c>
      <c r="T1200" s="33" t="n"/>
    </row>
    <row r="1201">
      <c r="A1201" s="26">
        <f>IF($B1201="","",ROW()-3)</f>
        <v/>
      </c>
      <c r="B1201" s="27" t="n"/>
      <c r="C1201" s="27" t="n"/>
      <c r="D1201" s="28" t="n"/>
      <c r="E1201" s="29" t="n"/>
      <c r="F1201" s="30" t="n"/>
      <c r="G1201" s="31" t="n"/>
      <c r="H1201" s="31" t="n"/>
      <c r="I1201" s="31" t="n"/>
      <c r="J1201" s="31" t="n"/>
      <c r="K1201" s="31" t="n"/>
      <c r="L1201" s="31" t="n"/>
      <c r="M1201" s="31" t="n"/>
      <c r="N1201" s="31" t="n"/>
      <c r="O1201" s="31" t="n"/>
      <c r="P1201" s="31" t="n"/>
      <c r="Q1201" s="31" t="n"/>
      <c r="R1201" s="31" t="n"/>
      <c r="S1201" s="32">
        <f>IF($F1201="","",IF(IFERROR(VLOOKUP($F1201,'维度字典'!$M$2:$N$50,2,0),"求和")="手工录入","",IF(IFERROR(VLOOKUP($F1201,'维度字典'!$M$2:$N$50,2,0),"求和")="最新值",IFERROR(LOOKUP(9.99E+307,G1201:R1201),""),SUM(G1201:R1201))))</f>
        <v/>
      </c>
      <c r="T1201" s="33" t="n"/>
    </row>
    <row r="1202">
      <c r="A1202" s="26">
        <f>IF($B1202="","",ROW()-3)</f>
        <v/>
      </c>
      <c r="B1202" s="27" t="n"/>
      <c r="C1202" s="27" t="n"/>
      <c r="D1202" s="28" t="n"/>
      <c r="E1202" s="29" t="n"/>
      <c r="F1202" s="30" t="n"/>
      <c r="G1202" s="31" t="n"/>
      <c r="H1202" s="31" t="n"/>
      <c r="I1202" s="31" t="n"/>
      <c r="J1202" s="31" t="n"/>
      <c r="K1202" s="31" t="n"/>
      <c r="L1202" s="31" t="n"/>
      <c r="M1202" s="31" t="n"/>
      <c r="N1202" s="31" t="n"/>
      <c r="O1202" s="31" t="n"/>
      <c r="P1202" s="31" t="n"/>
      <c r="Q1202" s="31" t="n"/>
      <c r="R1202" s="31" t="n"/>
      <c r="S1202" s="32">
        <f>IF($F1202="","",IF(IFERROR(VLOOKUP($F1202,'维度字典'!$M$2:$N$50,2,0),"求和")="手工录入","",IF(IFERROR(VLOOKUP($F1202,'维度字典'!$M$2:$N$50,2,0),"求和")="最新值",IFERROR(LOOKUP(9.99E+307,G1202:R1202),""),SUM(G1202:R1202))))</f>
        <v/>
      </c>
      <c r="T1202" s="33" t="n"/>
    </row>
    <row r="1203">
      <c r="A1203" s="26">
        <f>IF($B1203="","",ROW()-3)</f>
        <v/>
      </c>
      <c r="B1203" s="27" t="n"/>
      <c r="C1203" s="27" t="n"/>
      <c r="D1203" s="28" t="n"/>
      <c r="E1203" s="29" t="n"/>
      <c r="F1203" s="30" t="n"/>
      <c r="G1203" s="31" t="n"/>
      <c r="H1203" s="31" t="n"/>
      <c r="I1203" s="31" t="n"/>
      <c r="J1203" s="31" t="n"/>
      <c r="K1203" s="31" t="n"/>
      <c r="L1203" s="31" t="n"/>
      <c r="M1203" s="31" t="n"/>
      <c r="N1203" s="31" t="n"/>
      <c r="O1203" s="31" t="n"/>
      <c r="P1203" s="31" t="n"/>
      <c r="Q1203" s="31" t="n"/>
      <c r="R1203" s="31" t="n"/>
      <c r="S1203" s="32">
        <f>IF($F1203="","",IF(IFERROR(VLOOKUP($F1203,'维度字典'!$M$2:$N$50,2,0),"求和")="手工录入","",IF(IFERROR(VLOOKUP($F1203,'维度字典'!$M$2:$N$50,2,0),"求和")="最新值",IFERROR(LOOKUP(9.99E+307,G1203:R1203),""),SUM(G1203:R1203))))</f>
        <v/>
      </c>
      <c r="T1203" s="33" t="n"/>
    </row>
    <row r="1204">
      <c r="A1204" s="26">
        <f>IF($B1204="","",ROW()-3)</f>
        <v/>
      </c>
      <c r="B1204" s="27" t="n"/>
      <c r="C1204" s="27" t="n"/>
      <c r="D1204" s="28" t="n"/>
      <c r="E1204" s="29" t="n"/>
      <c r="F1204" s="30" t="n"/>
      <c r="G1204" s="31" t="n"/>
      <c r="H1204" s="31" t="n"/>
      <c r="I1204" s="31" t="n"/>
      <c r="J1204" s="31" t="n"/>
      <c r="K1204" s="31" t="n"/>
      <c r="L1204" s="31" t="n"/>
      <c r="M1204" s="31" t="n"/>
      <c r="N1204" s="31" t="n"/>
      <c r="O1204" s="31" t="n"/>
      <c r="P1204" s="31" t="n"/>
      <c r="Q1204" s="31" t="n"/>
      <c r="R1204" s="31" t="n"/>
      <c r="S1204" s="32">
        <f>IF($F1204="","",IF(IFERROR(VLOOKUP($F1204,'维度字典'!$M$2:$N$50,2,0),"求和")="手工录入","",IF(IFERROR(VLOOKUP($F1204,'维度字典'!$M$2:$N$50,2,0),"求和")="最新值",IFERROR(LOOKUP(9.99E+307,G1204:R1204),""),SUM(G1204:R1204))))</f>
        <v/>
      </c>
      <c r="T1204" s="33" t="n"/>
    </row>
    <row r="1205">
      <c r="A1205" s="26">
        <f>IF($B1205="","",ROW()-3)</f>
        <v/>
      </c>
      <c r="B1205" s="27" t="n"/>
      <c r="C1205" s="27" t="n"/>
      <c r="D1205" s="28" t="n"/>
      <c r="E1205" s="29" t="n"/>
      <c r="F1205" s="30" t="n"/>
      <c r="G1205" s="31" t="n"/>
      <c r="H1205" s="31" t="n"/>
      <c r="I1205" s="31" t="n"/>
      <c r="J1205" s="31" t="n"/>
      <c r="K1205" s="31" t="n"/>
      <c r="L1205" s="31" t="n"/>
      <c r="M1205" s="31" t="n"/>
      <c r="N1205" s="31" t="n"/>
      <c r="O1205" s="31" t="n"/>
      <c r="P1205" s="31" t="n"/>
      <c r="Q1205" s="31" t="n"/>
      <c r="R1205" s="31" t="n"/>
      <c r="S1205" s="32">
        <f>IF($F1205="","",IF(IFERROR(VLOOKUP($F1205,'维度字典'!$M$2:$N$50,2,0),"求和")="手工录入","",IF(IFERROR(VLOOKUP($F1205,'维度字典'!$M$2:$N$50,2,0),"求和")="最新值",IFERROR(LOOKUP(9.99E+307,G1205:R1205),""),SUM(G1205:R1205))))</f>
        <v/>
      </c>
      <c r="T1205" s="33" t="n"/>
    </row>
    <row r="1206">
      <c r="A1206" s="26">
        <f>IF($B1206="","",ROW()-3)</f>
        <v/>
      </c>
      <c r="B1206" s="27" t="n"/>
      <c r="C1206" s="27" t="n"/>
      <c r="D1206" s="28" t="n"/>
      <c r="E1206" s="29" t="n"/>
      <c r="F1206" s="30" t="n"/>
      <c r="G1206" s="31" t="n"/>
      <c r="H1206" s="31" t="n"/>
      <c r="I1206" s="31" t="n"/>
      <c r="J1206" s="31" t="n"/>
      <c r="K1206" s="31" t="n"/>
      <c r="L1206" s="31" t="n"/>
      <c r="M1206" s="31" t="n"/>
      <c r="N1206" s="31" t="n"/>
      <c r="O1206" s="31" t="n"/>
      <c r="P1206" s="31" t="n"/>
      <c r="Q1206" s="31" t="n"/>
      <c r="R1206" s="31" t="n"/>
      <c r="S1206" s="32">
        <f>IF($F1206="","",IF(IFERROR(VLOOKUP($F1206,'维度字典'!$M$2:$N$50,2,0),"求和")="手工录入","",IF(IFERROR(VLOOKUP($F1206,'维度字典'!$M$2:$N$50,2,0),"求和")="最新值",IFERROR(LOOKUP(9.99E+307,G1206:R1206),""),SUM(G1206:R1206))))</f>
        <v/>
      </c>
      <c r="T1206" s="33" t="n"/>
    </row>
    <row r="1207">
      <c r="A1207" s="26">
        <f>IF($B1207="","",ROW()-3)</f>
        <v/>
      </c>
      <c r="B1207" s="27" t="n"/>
      <c r="C1207" s="27" t="n"/>
      <c r="D1207" s="28" t="n"/>
      <c r="E1207" s="29" t="n"/>
      <c r="F1207" s="30" t="n"/>
      <c r="G1207" s="31" t="n"/>
      <c r="H1207" s="31" t="n"/>
      <c r="I1207" s="31" t="n"/>
      <c r="J1207" s="31" t="n"/>
      <c r="K1207" s="31" t="n"/>
      <c r="L1207" s="31" t="n"/>
      <c r="M1207" s="31" t="n"/>
      <c r="N1207" s="31" t="n"/>
      <c r="O1207" s="31" t="n"/>
      <c r="P1207" s="31" t="n"/>
      <c r="Q1207" s="31" t="n"/>
      <c r="R1207" s="31" t="n"/>
      <c r="S1207" s="32">
        <f>IF($F1207="","",IF(IFERROR(VLOOKUP($F1207,'维度字典'!$M$2:$N$50,2,0),"求和")="手工录入","",IF(IFERROR(VLOOKUP($F1207,'维度字典'!$M$2:$N$50,2,0),"求和")="最新值",IFERROR(LOOKUP(9.99E+307,G1207:R1207),""),SUM(G1207:R1207))))</f>
        <v/>
      </c>
      <c r="T1207" s="33" t="n"/>
    </row>
    <row r="1208">
      <c r="A1208" s="26">
        <f>IF($B1208="","",ROW()-3)</f>
        <v/>
      </c>
      <c r="B1208" s="27" t="n"/>
      <c r="C1208" s="27" t="n"/>
      <c r="D1208" s="28" t="n"/>
      <c r="E1208" s="29" t="n"/>
      <c r="F1208" s="30" t="n"/>
      <c r="G1208" s="31" t="n"/>
      <c r="H1208" s="31" t="n"/>
      <c r="I1208" s="31" t="n"/>
      <c r="J1208" s="31" t="n"/>
      <c r="K1208" s="31" t="n"/>
      <c r="L1208" s="31" t="n"/>
      <c r="M1208" s="31" t="n"/>
      <c r="N1208" s="31" t="n"/>
      <c r="O1208" s="31" t="n"/>
      <c r="P1208" s="31" t="n"/>
      <c r="Q1208" s="31" t="n"/>
      <c r="R1208" s="31" t="n"/>
      <c r="S1208" s="32">
        <f>IF($F1208="","",IF(IFERROR(VLOOKUP($F1208,'维度字典'!$M$2:$N$50,2,0),"求和")="手工录入","",IF(IFERROR(VLOOKUP($F1208,'维度字典'!$M$2:$N$50,2,0),"求和")="最新值",IFERROR(LOOKUP(9.99E+307,G1208:R1208),""),SUM(G1208:R1208))))</f>
        <v/>
      </c>
      <c r="T1208" s="33" t="n"/>
    </row>
    <row r="1209">
      <c r="A1209" s="26">
        <f>IF($B1209="","",ROW()-3)</f>
        <v/>
      </c>
      <c r="B1209" s="27" t="n"/>
      <c r="C1209" s="27" t="n"/>
      <c r="D1209" s="28" t="n"/>
      <c r="E1209" s="29" t="n"/>
      <c r="F1209" s="30" t="n"/>
      <c r="G1209" s="31" t="n"/>
      <c r="H1209" s="31" t="n"/>
      <c r="I1209" s="31" t="n"/>
      <c r="J1209" s="31" t="n"/>
      <c r="K1209" s="31" t="n"/>
      <c r="L1209" s="31" t="n"/>
      <c r="M1209" s="31" t="n"/>
      <c r="N1209" s="31" t="n"/>
      <c r="O1209" s="31" t="n"/>
      <c r="P1209" s="31" t="n"/>
      <c r="Q1209" s="31" t="n"/>
      <c r="R1209" s="31" t="n"/>
      <c r="S1209" s="32">
        <f>IF($F1209="","",IF(IFERROR(VLOOKUP($F1209,'维度字典'!$M$2:$N$50,2,0),"求和")="手工录入","",IF(IFERROR(VLOOKUP($F1209,'维度字典'!$M$2:$N$50,2,0),"求和")="最新值",IFERROR(LOOKUP(9.99E+307,G1209:R1209),""),SUM(G1209:R1209))))</f>
        <v/>
      </c>
      <c r="T1209" s="33" t="n"/>
    </row>
    <row r="1210">
      <c r="A1210" s="26">
        <f>IF($B1210="","",ROW()-3)</f>
        <v/>
      </c>
      <c r="B1210" s="27" t="n"/>
      <c r="C1210" s="27" t="n"/>
      <c r="D1210" s="28" t="n"/>
      <c r="E1210" s="29" t="n"/>
      <c r="F1210" s="30" t="n"/>
      <c r="G1210" s="31" t="n"/>
      <c r="H1210" s="31" t="n"/>
      <c r="I1210" s="31" t="n"/>
      <c r="J1210" s="31" t="n"/>
      <c r="K1210" s="31" t="n"/>
      <c r="L1210" s="31" t="n"/>
      <c r="M1210" s="31" t="n"/>
      <c r="N1210" s="31" t="n"/>
      <c r="O1210" s="31" t="n"/>
      <c r="P1210" s="31" t="n"/>
      <c r="Q1210" s="31" t="n"/>
      <c r="R1210" s="31" t="n"/>
      <c r="S1210" s="32">
        <f>IF($F1210="","",IF(IFERROR(VLOOKUP($F1210,'维度字典'!$M$2:$N$50,2,0),"求和")="手工录入","",IF(IFERROR(VLOOKUP($F1210,'维度字典'!$M$2:$N$50,2,0),"求和")="最新值",IFERROR(LOOKUP(9.99E+307,G1210:R1210),""),SUM(G1210:R1210))))</f>
        <v/>
      </c>
      <c r="T1210" s="33" t="n"/>
    </row>
    <row r="1211">
      <c r="A1211" s="26">
        <f>IF($B1211="","",ROW()-3)</f>
        <v/>
      </c>
      <c r="B1211" s="27" t="n"/>
      <c r="C1211" s="27" t="n"/>
      <c r="D1211" s="28" t="n"/>
      <c r="E1211" s="29" t="n"/>
      <c r="F1211" s="30" t="n"/>
      <c r="G1211" s="31" t="n"/>
      <c r="H1211" s="31" t="n"/>
      <c r="I1211" s="31" t="n"/>
      <c r="J1211" s="31" t="n"/>
      <c r="K1211" s="31" t="n"/>
      <c r="L1211" s="31" t="n"/>
      <c r="M1211" s="31" t="n"/>
      <c r="N1211" s="31" t="n"/>
      <c r="O1211" s="31" t="n"/>
      <c r="P1211" s="31" t="n"/>
      <c r="Q1211" s="31" t="n"/>
      <c r="R1211" s="31" t="n"/>
      <c r="S1211" s="32">
        <f>IF($F1211="","",IF(IFERROR(VLOOKUP($F1211,'维度字典'!$M$2:$N$50,2,0),"求和")="手工录入","",IF(IFERROR(VLOOKUP($F1211,'维度字典'!$M$2:$N$50,2,0),"求和")="最新值",IFERROR(LOOKUP(9.99E+307,G1211:R1211),""),SUM(G1211:R1211))))</f>
        <v/>
      </c>
      <c r="T1211" s="33" t="n"/>
    </row>
    <row r="1212">
      <c r="A1212" s="26">
        <f>IF($B1212="","",ROW()-3)</f>
        <v/>
      </c>
      <c r="B1212" s="27" t="n"/>
      <c r="C1212" s="27" t="n"/>
      <c r="D1212" s="28" t="n"/>
      <c r="E1212" s="29" t="n"/>
      <c r="F1212" s="30" t="n"/>
      <c r="G1212" s="31" t="n"/>
      <c r="H1212" s="31" t="n"/>
      <c r="I1212" s="31" t="n"/>
      <c r="J1212" s="31" t="n"/>
      <c r="K1212" s="31" t="n"/>
      <c r="L1212" s="31" t="n"/>
      <c r="M1212" s="31" t="n"/>
      <c r="N1212" s="31" t="n"/>
      <c r="O1212" s="31" t="n"/>
      <c r="P1212" s="31" t="n"/>
      <c r="Q1212" s="31" t="n"/>
      <c r="R1212" s="31" t="n"/>
      <c r="S1212" s="32">
        <f>IF($F1212="","",IF(IFERROR(VLOOKUP($F1212,'维度字典'!$M$2:$N$50,2,0),"求和")="手工录入","",IF(IFERROR(VLOOKUP($F1212,'维度字典'!$M$2:$N$50,2,0),"求和")="最新值",IFERROR(LOOKUP(9.99E+307,G1212:R1212),""),SUM(G1212:R1212))))</f>
        <v/>
      </c>
      <c r="T1212" s="33" t="n"/>
    </row>
    <row r="1213">
      <c r="A1213" s="26">
        <f>IF($B1213="","",ROW()-3)</f>
        <v/>
      </c>
      <c r="B1213" s="27" t="n"/>
      <c r="C1213" s="27" t="n"/>
      <c r="D1213" s="28" t="n"/>
      <c r="E1213" s="29" t="n"/>
      <c r="F1213" s="30" t="n"/>
      <c r="G1213" s="31" t="n"/>
      <c r="H1213" s="31" t="n"/>
      <c r="I1213" s="31" t="n"/>
      <c r="J1213" s="31" t="n"/>
      <c r="K1213" s="31" t="n"/>
      <c r="L1213" s="31" t="n"/>
      <c r="M1213" s="31" t="n"/>
      <c r="N1213" s="31" t="n"/>
      <c r="O1213" s="31" t="n"/>
      <c r="P1213" s="31" t="n"/>
      <c r="Q1213" s="31" t="n"/>
      <c r="R1213" s="31" t="n"/>
      <c r="S1213" s="32">
        <f>IF($F1213="","",IF(IFERROR(VLOOKUP($F1213,'维度字典'!$M$2:$N$50,2,0),"求和")="手工录入","",IF(IFERROR(VLOOKUP($F1213,'维度字典'!$M$2:$N$50,2,0),"求和")="最新值",IFERROR(LOOKUP(9.99E+307,G1213:R1213),""),SUM(G1213:R1213))))</f>
        <v/>
      </c>
      <c r="T1213" s="33" t="n"/>
    </row>
    <row r="1214">
      <c r="A1214" s="26">
        <f>IF($B1214="","",ROW()-3)</f>
        <v/>
      </c>
      <c r="B1214" s="27" t="n"/>
      <c r="C1214" s="27" t="n"/>
      <c r="D1214" s="28" t="n"/>
      <c r="E1214" s="29" t="n"/>
      <c r="F1214" s="30" t="n"/>
      <c r="G1214" s="31" t="n"/>
      <c r="H1214" s="31" t="n"/>
      <c r="I1214" s="31" t="n"/>
      <c r="J1214" s="31" t="n"/>
      <c r="K1214" s="31" t="n"/>
      <c r="L1214" s="31" t="n"/>
      <c r="M1214" s="31" t="n"/>
      <c r="N1214" s="31" t="n"/>
      <c r="O1214" s="31" t="n"/>
      <c r="P1214" s="31" t="n"/>
      <c r="Q1214" s="31" t="n"/>
      <c r="R1214" s="31" t="n"/>
      <c r="S1214" s="32">
        <f>IF($F1214="","",IF(IFERROR(VLOOKUP($F1214,'维度字典'!$M$2:$N$50,2,0),"求和")="手工录入","",IF(IFERROR(VLOOKUP($F1214,'维度字典'!$M$2:$N$50,2,0),"求和")="最新值",IFERROR(LOOKUP(9.99E+307,G1214:R1214),""),SUM(G1214:R1214))))</f>
        <v/>
      </c>
      <c r="T1214" s="33" t="n"/>
    </row>
    <row r="1215">
      <c r="A1215" s="26">
        <f>IF($B1215="","",ROW()-3)</f>
        <v/>
      </c>
      <c r="B1215" s="27" t="n"/>
      <c r="C1215" s="27" t="n"/>
      <c r="D1215" s="28" t="n"/>
      <c r="E1215" s="29" t="n"/>
      <c r="F1215" s="30" t="n"/>
      <c r="G1215" s="31" t="n"/>
      <c r="H1215" s="31" t="n"/>
      <c r="I1215" s="31" t="n"/>
      <c r="J1215" s="31" t="n"/>
      <c r="K1215" s="31" t="n"/>
      <c r="L1215" s="31" t="n"/>
      <c r="M1215" s="31" t="n"/>
      <c r="N1215" s="31" t="n"/>
      <c r="O1215" s="31" t="n"/>
      <c r="P1215" s="31" t="n"/>
      <c r="Q1215" s="31" t="n"/>
      <c r="R1215" s="31" t="n"/>
      <c r="S1215" s="32">
        <f>IF($F1215="","",IF(IFERROR(VLOOKUP($F1215,'维度字典'!$M$2:$N$50,2,0),"求和")="手工录入","",IF(IFERROR(VLOOKUP($F1215,'维度字典'!$M$2:$N$50,2,0),"求和")="最新值",IFERROR(LOOKUP(9.99E+307,G1215:R1215),""),SUM(G1215:R1215))))</f>
        <v/>
      </c>
      <c r="T1215" s="33" t="n"/>
    </row>
    <row r="1216">
      <c r="A1216" s="26">
        <f>IF($B1216="","",ROW()-3)</f>
        <v/>
      </c>
      <c r="B1216" s="27" t="n"/>
      <c r="C1216" s="27" t="n"/>
      <c r="D1216" s="28" t="n"/>
      <c r="E1216" s="29" t="n"/>
      <c r="F1216" s="30" t="n"/>
      <c r="G1216" s="31" t="n"/>
      <c r="H1216" s="31" t="n"/>
      <c r="I1216" s="31" t="n"/>
      <c r="J1216" s="31" t="n"/>
      <c r="K1216" s="31" t="n"/>
      <c r="L1216" s="31" t="n"/>
      <c r="M1216" s="31" t="n"/>
      <c r="N1216" s="31" t="n"/>
      <c r="O1216" s="31" t="n"/>
      <c r="P1216" s="31" t="n"/>
      <c r="Q1216" s="31" t="n"/>
      <c r="R1216" s="31" t="n"/>
      <c r="S1216" s="32">
        <f>IF($F1216="","",IF(IFERROR(VLOOKUP($F1216,'维度字典'!$M$2:$N$50,2,0),"求和")="手工录入","",IF(IFERROR(VLOOKUP($F1216,'维度字典'!$M$2:$N$50,2,0),"求和")="最新值",IFERROR(LOOKUP(9.99E+307,G1216:R1216),""),SUM(G1216:R1216))))</f>
        <v/>
      </c>
      <c r="T1216" s="33" t="n"/>
    </row>
    <row r="1217">
      <c r="A1217" s="26">
        <f>IF($B1217="","",ROW()-3)</f>
        <v/>
      </c>
      <c r="B1217" s="27" t="n"/>
      <c r="C1217" s="27" t="n"/>
      <c r="D1217" s="28" t="n"/>
      <c r="E1217" s="29" t="n"/>
      <c r="F1217" s="30" t="n"/>
      <c r="G1217" s="31" t="n"/>
      <c r="H1217" s="31" t="n"/>
      <c r="I1217" s="31" t="n"/>
      <c r="J1217" s="31" t="n"/>
      <c r="K1217" s="31" t="n"/>
      <c r="L1217" s="31" t="n"/>
      <c r="M1217" s="31" t="n"/>
      <c r="N1217" s="31" t="n"/>
      <c r="O1217" s="31" t="n"/>
      <c r="P1217" s="31" t="n"/>
      <c r="Q1217" s="31" t="n"/>
      <c r="R1217" s="31" t="n"/>
      <c r="S1217" s="32">
        <f>IF($F1217="","",IF(IFERROR(VLOOKUP($F1217,'维度字典'!$M$2:$N$50,2,0),"求和")="手工录入","",IF(IFERROR(VLOOKUP($F1217,'维度字典'!$M$2:$N$50,2,0),"求和")="最新值",IFERROR(LOOKUP(9.99E+307,G1217:R1217),""),SUM(G1217:R1217))))</f>
        <v/>
      </c>
      <c r="T1217" s="33" t="n"/>
    </row>
    <row r="1218">
      <c r="A1218" s="26">
        <f>IF($B1218="","",ROW()-3)</f>
        <v/>
      </c>
      <c r="B1218" s="27" t="n"/>
      <c r="C1218" s="27" t="n"/>
      <c r="D1218" s="28" t="n"/>
      <c r="E1218" s="29" t="n"/>
      <c r="F1218" s="30" t="n"/>
      <c r="G1218" s="31" t="n"/>
      <c r="H1218" s="31" t="n"/>
      <c r="I1218" s="31" t="n"/>
      <c r="J1218" s="31" t="n"/>
      <c r="K1218" s="31" t="n"/>
      <c r="L1218" s="31" t="n"/>
      <c r="M1218" s="31" t="n"/>
      <c r="N1218" s="31" t="n"/>
      <c r="O1218" s="31" t="n"/>
      <c r="P1218" s="31" t="n"/>
      <c r="Q1218" s="31" t="n"/>
      <c r="R1218" s="31" t="n"/>
      <c r="S1218" s="32">
        <f>IF($F1218="","",IF(IFERROR(VLOOKUP($F1218,'维度字典'!$M$2:$N$50,2,0),"求和")="手工录入","",IF(IFERROR(VLOOKUP($F1218,'维度字典'!$M$2:$N$50,2,0),"求和")="最新值",IFERROR(LOOKUP(9.99E+307,G1218:R1218),""),SUM(G1218:R1218))))</f>
        <v/>
      </c>
      <c r="T1218" s="33" t="n"/>
    </row>
    <row r="1219">
      <c r="A1219" s="26">
        <f>IF($B1219="","",ROW()-3)</f>
        <v/>
      </c>
      <c r="B1219" s="27" t="n"/>
      <c r="C1219" s="27" t="n"/>
      <c r="D1219" s="28" t="n"/>
      <c r="E1219" s="29" t="n"/>
      <c r="F1219" s="30" t="n"/>
      <c r="G1219" s="31" t="n"/>
      <c r="H1219" s="31" t="n"/>
      <c r="I1219" s="31" t="n"/>
      <c r="J1219" s="31" t="n"/>
      <c r="K1219" s="31" t="n"/>
      <c r="L1219" s="31" t="n"/>
      <c r="M1219" s="31" t="n"/>
      <c r="N1219" s="31" t="n"/>
      <c r="O1219" s="31" t="n"/>
      <c r="P1219" s="31" t="n"/>
      <c r="Q1219" s="31" t="n"/>
      <c r="R1219" s="31" t="n"/>
      <c r="S1219" s="32">
        <f>IF($F1219="","",IF(IFERROR(VLOOKUP($F1219,'维度字典'!$M$2:$N$50,2,0),"求和")="手工录入","",IF(IFERROR(VLOOKUP($F1219,'维度字典'!$M$2:$N$50,2,0),"求和")="最新值",IFERROR(LOOKUP(9.99E+307,G1219:R1219),""),SUM(G1219:R1219))))</f>
        <v/>
      </c>
      <c r="T1219" s="33" t="n"/>
    </row>
    <row r="1220">
      <c r="A1220" s="26">
        <f>IF($B1220="","",ROW()-3)</f>
        <v/>
      </c>
      <c r="B1220" s="27" t="n"/>
      <c r="C1220" s="27" t="n"/>
      <c r="D1220" s="28" t="n"/>
      <c r="E1220" s="29" t="n"/>
      <c r="F1220" s="30" t="n"/>
      <c r="G1220" s="31" t="n"/>
      <c r="H1220" s="31" t="n"/>
      <c r="I1220" s="31" t="n"/>
      <c r="J1220" s="31" t="n"/>
      <c r="K1220" s="31" t="n"/>
      <c r="L1220" s="31" t="n"/>
      <c r="M1220" s="31" t="n"/>
      <c r="N1220" s="31" t="n"/>
      <c r="O1220" s="31" t="n"/>
      <c r="P1220" s="31" t="n"/>
      <c r="Q1220" s="31" t="n"/>
      <c r="R1220" s="31" t="n"/>
      <c r="S1220" s="32">
        <f>IF($F1220="","",IF(IFERROR(VLOOKUP($F1220,'维度字典'!$M$2:$N$50,2,0),"求和")="手工录入","",IF(IFERROR(VLOOKUP($F1220,'维度字典'!$M$2:$N$50,2,0),"求和")="最新值",IFERROR(LOOKUP(9.99E+307,G1220:R1220),""),SUM(G1220:R1220))))</f>
        <v/>
      </c>
      <c r="T1220" s="33" t="n"/>
    </row>
    <row r="1221">
      <c r="A1221" s="26">
        <f>IF($B1221="","",ROW()-3)</f>
        <v/>
      </c>
      <c r="B1221" s="27" t="n"/>
      <c r="C1221" s="27" t="n"/>
      <c r="D1221" s="28" t="n"/>
      <c r="E1221" s="29" t="n"/>
      <c r="F1221" s="30" t="n"/>
      <c r="G1221" s="31" t="n"/>
      <c r="H1221" s="31" t="n"/>
      <c r="I1221" s="31" t="n"/>
      <c r="J1221" s="31" t="n"/>
      <c r="K1221" s="31" t="n"/>
      <c r="L1221" s="31" t="n"/>
      <c r="M1221" s="31" t="n"/>
      <c r="N1221" s="31" t="n"/>
      <c r="O1221" s="31" t="n"/>
      <c r="P1221" s="31" t="n"/>
      <c r="Q1221" s="31" t="n"/>
      <c r="R1221" s="31" t="n"/>
      <c r="S1221" s="32">
        <f>IF($F1221="","",IF(IFERROR(VLOOKUP($F1221,'维度字典'!$M$2:$N$50,2,0),"求和")="手工录入","",IF(IFERROR(VLOOKUP($F1221,'维度字典'!$M$2:$N$50,2,0),"求和")="最新值",IFERROR(LOOKUP(9.99E+307,G1221:R1221),""),SUM(G1221:R1221))))</f>
        <v/>
      </c>
      <c r="T1221" s="33" t="n"/>
    </row>
    <row r="1222">
      <c r="A1222" s="26">
        <f>IF($B1222="","",ROW()-3)</f>
        <v/>
      </c>
      <c r="B1222" s="27" t="n"/>
      <c r="C1222" s="27" t="n"/>
      <c r="D1222" s="28" t="n"/>
      <c r="E1222" s="29" t="n"/>
      <c r="F1222" s="30" t="n"/>
      <c r="G1222" s="31" t="n"/>
      <c r="H1222" s="31" t="n"/>
      <c r="I1222" s="31" t="n"/>
      <c r="J1222" s="31" t="n"/>
      <c r="K1222" s="31" t="n"/>
      <c r="L1222" s="31" t="n"/>
      <c r="M1222" s="31" t="n"/>
      <c r="N1222" s="31" t="n"/>
      <c r="O1222" s="31" t="n"/>
      <c r="P1222" s="31" t="n"/>
      <c r="Q1222" s="31" t="n"/>
      <c r="R1222" s="31" t="n"/>
      <c r="S1222" s="32">
        <f>IF($F1222="","",IF(IFERROR(VLOOKUP($F1222,'维度字典'!$M$2:$N$50,2,0),"求和")="手工录入","",IF(IFERROR(VLOOKUP($F1222,'维度字典'!$M$2:$N$50,2,0),"求和")="最新值",IFERROR(LOOKUP(9.99E+307,G1222:R1222),""),SUM(G1222:R1222))))</f>
        <v/>
      </c>
      <c r="T1222" s="33" t="n"/>
    </row>
    <row r="1223">
      <c r="A1223" s="26">
        <f>IF($B1223="","",ROW()-3)</f>
        <v/>
      </c>
      <c r="B1223" s="27" t="n"/>
      <c r="C1223" s="27" t="n"/>
      <c r="D1223" s="28" t="n"/>
      <c r="E1223" s="29" t="n"/>
      <c r="F1223" s="30" t="n"/>
      <c r="G1223" s="31" t="n"/>
      <c r="H1223" s="31" t="n"/>
      <c r="I1223" s="31" t="n"/>
      <c r="J1223" s="31" t="n"/>
      <c r="K1223" s="31" t="n"/>
      <c r="L1223" s="31" t="n"/>
      <c r="M1223" s="31" t="n"/>
      <c r="N1223" s="31" t="n"/>
      <c r="O1223" s="31" t="n"/>
      <c r="P1223" s="31" t="n"/>
      <c r="Q1223" s="31" t="n"/>
      <c r="R1223" s="31" t="n"/>
      <c r="S1223" s="32">
        <f>IF($F1223="","",IF(IFERROR(VLOOKUP($F1223,'维度字典'!$M$2:$N$50,2,0),"求和")="手工录入","",IF(IFERROR(VLOOKUP($F1223,'维度字典'!$M$2:$N$50,2,0),"求和")="最新值",IFERROR(LOOKUP(9.99E+307,G1223:R1223),""),SUM(G1223:R1223))))</f>
        <v/>
      </c>
      <c r="T1223" s="33" t="n"/>
    </row>
    <row r="1224">
      <c r="A1224" s="26">
        <f>IF($B1224="","",ROW()-3)</f>
        <v/>
      </c>
      <c r="B1224" s="27" t="n"/>
      <c r="C1224" s="27" t="n"/>
      <c r="D1224" s="28" t="n"/>
      <c r="E1224" s="29" t="n"/>
      <c r="F1224" s="30" t="n"/>
      <c r="G1224" s="31" t="n"/>
      <c r="H1224" s="31" t="n"/>
      <c r="I1224" s="31" t="n"/>
      <c r="J1224" s="31" t="n"/>
      <c r="K1224" s="31" t="n"/>
      <c r="L1224" s="31" t="n"/>
      <c r="M1224" s="31" t="n"/>
      <c r="N1224" s="31" t="n"/>
      <c r="O1224" s="31" t="n"/>
      <c r="P1224" s="31" t="n"/>
      <c r="Q1224" s="31" t="n"/>
      <c r="R1224" s="31" t="n"/>
      <c r="S1224" s="32">
        <f>IF($F1224="","",IF(IFERROR(VLOOKUP($F1224,'维度字典'!$M$2:$N$50,2,0),"求和")="手工录入","",IF(IFERROR(VLOOKUP($F1224,'维度字典'!$M$2:$N$50,2,0),"求和")="最新值",IFERROR(LOOKUP(9.99E+307,G1224:R1224),""),SUM(G1224:R1224))))</f>
        <v/>
      </c>
      <c r="T1224" s="33" t="n"/>
    </row>
    <row r="1225">
      <c r="A1225" s="26">
        <f>IF($B1225="","",ROW()-3)</f>
        <v/>
      </c>
      <c r="B1225" s="27" t="n"/>
      <c r="C1225" s="27" t="n"/>
      <c r="D1225" s="28" t="n"/>
      <c r="E1225" s="29" t="n"/>
      <c r="F1225" s="30" t="n"/>
      <c r="G1225" s="31" t="n"/>
      <c r="H1225" s="31" t="n"/>
      <c r="I1225" s="31" t="n"/>
      <c r="J1225" s="31" t="n"/>
      <c r="K1225" s="31" t="n"/>
      <c r="L1225" s="31" t="n"/>
      <c r="M1225" s="31" t="n"/>
      <c r="N1225" s="31" t="n"/>
      <c r="O1225" s="31" t="n"/>
      <c r="P1225" s="31" t="n"/>
      <c r="Q1225" s="31" t="n"/>
      <c r="R1225" s="31" t="n"/>
      <c r="S1225" s="32">
        <f>IF($F1225="","",IF(IFERROR(VLOOKUP($F1225,'维度字典'!$M$2:$N$50,2,0),"求和")="手工录入","",IF(IFERROR(VLOOKUP($F1225,'维度字典'!$M$2:$N$50,2,0),"求和")="最新值",IFERROR(LOOKUP(9.99E+307,G1225:R1225),""),SUM(G1225:R1225))))</f>
        <v/>
      </c>
      <c r="T1225" s="33" t="n"/>
    </row>
    <row r="1226">
      <c r="A1226" s="26">
        <f>IF($B1226="","",ROW()-3)</f>
        <v/>
      </c>
      <c r="B1226" s="27" t="n"/>
      <c r="C1226" s="27" t="n"/>
      <c r="D1226" s="28" t="n"/>
      <c r="E1226" s="29" t="n"/>
      <c r="F1226" s="30" t="n"/>
      <c r="G1226" s="31" t="n"/>
      <c r="H1226" s="31" t="n"/>
      <c r="I1226" s="31" t="n"/>
      <c r="J1226" s="31" t="n"/>
      <c r="K1226" s="31" t="n"/>
      <c r="L1226" s="31" t="n"/>
      <c r="M1226" s="31" t="n"/>
      <c r="N1226" s="31" t="n"/>
      <c r="O1226" s="31" t="n"/>
      <c r="P1226" s="31" t="n"/>
      <c r="Q1226" s="31" t="n"/>
      <c r="R1226" s="31" t="n"/>
      <c r="S1226" s="32">
        <f>IF($F1226="","",IF(IFERROR(VLOOKUP($F1226,'维度字典'!$M$2:$N$50,2,0),"求和")="手工录入","",IF(IFERROR(VLOOKUP($F1226,'维度字典'!$M$2:$N$50,2,0),"求和")="最新值",IFERROR(LOOKUP(9.99E+307,G1226:R1226),""),SUM(G1226:R1226))))</f>
        <v/>
      </c>
      <c r="T1226" s="33" t="n"/>
    </row>
    <row r="1227">
      <c r="A1227" s="26">
        <f>IF($B1227="","",ROW()-3)</f>
        <v/>
      </c>
      <c r="B1227" s="27" t="n"/>
      <c r="C1227" s="27" t="n"/>
      <c r="D1227" s="28" t="n"/>
      <c r="E1227" s="29" t="n"/>
      <c r="F1227" s="30" t="n"/>
      <c r="G1227" s="31" t="n"/>
      <c r="H1227" s="31" t="n"/>
      <c r="I1227" s="31" t="n"/>
      <c r="J1227" s="31" t="n"/>
      <c r="K1227" s="31" t="n"/>
      <c r="L1227" s="31" t="n"/>
      <c r="M1227" s="31" t="n"/>
      <c r="N1227" s="31" t="n"/>
      <c r="O1227" s="31" t="n"/>
      <c r="P1227" s="31" t="n"/>
      <c r="Q1227" s="31" t="n"/>
      <c r="R1227" s="31" t="n"/>
      <c r="S1227" s="32">
        <f>IF($F1227="","",IF(IFERROR(VLOOKUP($F1227,'维度字典'!$M$2:$N$50,2,0),"求和")="手工录入","",IF(IFERROR(VLOOKUP($F1227,'维度字典'!$M$2:$N$50,2,0),"求和")="最新值",IFERROR(LOOKUP(9.99E+307,G1227:R1227),""),SUM(G1227:R1227))))</f>
        <v/>
      </c>
      <c r="T1227" s="33" t="n"/>
    </row>
    <row r="1228">
      <c r="A1228" s="26">
        <f>IF($B1228="","",ROW()-3)</f>
        <v/>
      </c>
      <c r="B1228" s="27" t="n"/>
      <c r="C1228" s="27" t="n"/>
      <c r="D1228" s="28" t="n"/>
      <c r="E1228" s="29" t="n"/>
      <c r="F1228" s="30" t="n"/>
      <c r="G1228" s="31" t="n"/>
      <c r="H1228" s="31" t="n"/>
      <c r="I1228" s="31" t="n"/>
      <c r="J1228" s="31" t="n"/>
      <c r="K1228" s="31" t="n"/>
      <c r="L1228" s="31" t="n"/>
      <c r="M1228" s="31" t="n"/>
      <c r="N1228" s="31" t="n"/>
      <c r="O1228" s="31" t="n"/>
      <c r="P1228" s="31" t="n"/>
      <c r="Q1228" s="31" t="n"/>
      <c r="R1228" s="31" t="n"/>
      <c r="S1228" s="32">
        <f>IF($F1228="","",IF(IFERROR(VLOOKUP($F1228,'维度字典'!$M$2:$N$50,2,0),"求和")="手工录入","",IF(IFERROR(VLOOKUP($F1228,'维度字典'!$M$2:$N$50,2,0),"求和")="最新值",IFERROR(LOOKUP(9.99E+307,G1228:R1228),""),SUM(G1228:R1228))))</f>
        <v/>
      </c>
      <c r="T1228" s="33" t="n"/>
    </row>
    <row r="1229">
      <c r="A1229" s="26">
        <f>IF($B1229="","",ROW()-3)</f>
        <v/>
      </c>
      <c r="B1229" s="27" t="n"/>
      <c r="C1229" s="27" t="n"/>
      <c r="D1229" s="28" t="n"/>
      <c r="E1229" s="29" t="n"/>
      <c r="F1229" s="30" t="n"/>
      <c r="G1229" s="31" t="n"/>
      <c r="H1229" s="31" t="n"/>
      <c r="I1229" s="31" t="n"/>
      <c r="J1229" s="31" t="n"/>
      <c r="K1229" s="31" t="n"/>
      <c r="L1229" s="31" t="n"/>
      <c r="M1229" s="31" t="n"/>
      <c r="N1229" s="31" t="n"/>
      <c r="O1229" s="31" t="n"/>
      <c r="P1229" s="31" t="n"/>
      <c r="Q1229" s="31" t="n"/>
      <c r="R1229" s="31" t="n"/>
      <c r="S1229" s="32">
        <f>IF($F1229="","",IF(IFERROR(VLOOKUP($F1229,'维度字典'!$M$2:$N$50,2,0),"求和")="手工录入","",IF(IFERROR(VLOOKUP($F1229,'维度字典'!$M$2:$N$50,2,0),"求和")="最新值",IFERROR(LOOKUP(9.99E+307,G1229:R1229),""),SUM(G1229:R1229))))</f>
        <v/>
      </c>
      <c r="T1229" s="33" t="n"/>
    </row>
    <row r="1230">
      <c r="A1230" s="26">
        <f>IF($B1230="","",ROW()-3)</f>
        <v/>
      </c>
      <c r="B1230" s="27" t="n"/>
      <c r="C1230" s="27" t="n"/>
      <c r="D1230" s="28" t="n"/>
      <c r="E1230" s="29" t="n"/>
      <c r="F1230" s="30" t="n"/>
      <c r="G1230" s="31" t="n"/>
      <c r="H1230" s="31" t="n"/>
      <c r="I1230" s="31" t="n"/>
      <c r="J1230" s="31" t="n"/>
      <c r="K1230" s="31" t="n"/>
      <c r="L1230" s="31" t="n"/>
      <c r="M1230" s="31" t="n"/>
      <c r="N1230" s="31" t="n"/>
      <c r="O1230" s="31" t="n"/>
      <c r="P1230" s="31" t="n"/>
      <c r="Q1230" s="31" t="n"/>
      <c r="R1230" s="31" t="n"/>
      <c r="S1230" s="32">
        <f>IF($F1230="","",IF(IFERROR(VLOOKUP($F1230,'维度字典'!$M$2:$N$50,2,0),"求和")="手工录入","",IF(IFERROR(VLOOKUP($F1230,'维度字典'!$M$2:$N$50,2,0),"求和")="最新值",IFERROR(LOOKUP(9.99E+307,G1230:R1230),""),SUM(G1230:R1230))))</f>
        <v/>
      </c>
      <c r="T1230" s="33" t="n"/>
    </row>
    <row r="1231">
      <c r="A1231" s="26">
        <f>IF($B1231="","",ROW()-3)</f>
        <v/>
      </c>
      <c r="B1231" s="27" t="n"/>
      <c r="C1231" s="27" t="n"/>
      <c r="D1231" s="28" t="n"/>
      <c r="E1231" s="29" t="n"/>
      <c r="F1231" s="30" t="n"/>
      <c r="G1231" s="31" t="n"/>
      <c r="H1231" s="31" t="n"/>
      <c r="I1231" s="31" t="n"/>
      <c r="J1231" s="31" t="n"/>
      <c r="K1231" s="31" t="n"/>
      <c r="L1231" s="31" t="n"/>
      <c r="M1231" s="31" t="n"/>
      <c r="N1231" s="31" t="n"/>
      <c r="O1231" s="31" t="n"/>
      <c r="P1231" s="31" t="n"/>
      <c r="Q1231" s="31" t="n"/>
      <c r="R1231" s="31" t="n"/>
      <c r="S1231" s="32">
        <f>IF($F1231="","",IF(IFERROR(VLOOKUP($F1231,'维度字典'!$M$2:$N$50,2,0),"求和")="手工录入","",IF(IFERROR(VLOOKUP($F1231,'维度字典'!$M$2:$N$50,2,0),"求和")="最新值",IFERROR(LOOKUP(9.99E+307,G1231:R1231),""),SUM(G1231:R1231))))</f>
        <v/>
      </c>
      <c r="T1231" s="33" t="n"/>
    </row>
    <row r="1232">
      <c r="A1232" s="26">
        <f>IF($B1232="","",ROW()-3)</f>
        <v/>
      </c>
      <c r="B1232" s="27" t="n"/>
      <c r="C1232" s="27" t="n"/>
      <c r="D1232" s="28" t="n"/>
      <c r="E1232" s="29" t="n"/>
      <c r="F1232" s="30" t="n"/>
      <c r="G1232" s="31" t="n"/>
      <c r="H1232" s="31" t="n"/>
      <c r="I1232" s="31" t="n"/>
      <c r="J1232" s="31" t="n"/>
      <c r="K1232" s="31" t="n"/>
      <c r="L1232" s="31" t="n"/>
      <c r="M1232" s="31" t="n"/>
      <c r="N1232" s="31" t="n"/>
      <c r="O1232" s="31" t="n"/>
      <c r="P1232" s="31" t="n"/>
      <c r="Q1232" s="31" t="n"/>
      <c r="R1232" s="31" t="n"/>
      <c r="S1232" s="32">
        <f>IF($F1232="","",IF(IFERROR(VLOOKUP($F1232,'维度字典'!$M$2:$N$50,2,0),"求和")="手工录入","",IF(IFERROR(VLOOKUP($F1232,'维度字典'!$M$2:$N$50,2,0),"求和")="最新值",IFERROR(LOOKUP(9.99E+307,G1232:R1232),""),SUM(G1232:R1232))))</f>
        <v/>
      </c>
      <c r="T1232" s="33" t="n"/>
    </row>
    <row r="1233">
      <c r="A1233" s="26">
        <f>IF($B1233="","",ROW()-3)</f>
        <v/>
      </c>
      <c r="B1233" s="27" t="n"/>
      <c r="C1233" s="27" t="n"/>
      <c r="D1233" s="28" t="n"/>
      <c r="E1233" s="29" t="n"/>
      <c r="F1233" s="30" t="n"/>
      <c r="G1233" s="31" t="n"/>
      <c r="H1233" s="31" t="n"/>
      <c r="I1233" s="31" t="n"/>
      <c r="J1233" s="31" t="n"/>
      <c r="K1233" s="31" t="n"/>
      <c r="L1233" s="31" t="n"/>
      <c r="M1233" s="31" t="n"/>
      <c r="N1233" s="31" t="n"/>
      <c r="O1233" s="31" t="n"/>
      <c r="P1233" s="31" t="n"/>
      <c r="Q1233" s="31" t="n"/>
      <c r="R1233" s="31" t="n"/>
      <c r="S1233" s="32">
        <f>IF($F1233="","",IF(IFERROR(VLOOKUP($F1233,'维度字典'!$M$2:$N$50,2,0),"求和")="手工录入","",IF(IFERROR(VLOOKUP($F1233,'维度字典'!$M$2:$N$50,2,0),"求和")="最新值",IFERROR(LOOKUP(9.99E+307,G1233:R1233),""),SUM(G1233:R1233))))</f>
        <v/>
      </c>
      <c r="T1233" s="33" t="n"/>
    </row>
    <row r="1234">
      <c r="A1234" s="26">
        <f>IF($B1234="","",ROW()-3)</f>
        <v/>
      </c>
      <c r="B1234" s="27" t="n"/>
      <c r="C1234" s="27" t="n"/>
      <c r="D1234" s="28" t="n"/>
      <c r="E1234" s="29" t="n"/>
      <c r="F1234" s="30" t="n"/>
      <c r="G1234" s="31" t="n"/>
      <c r="H1234" s="31" t="n"/>
      <c r="I1234" s="31" t="n"/>
      <c r="J1234" s="31" t="n"/>
      <c r="K1234" s="31" t="n"/>
      <c r="L1234" s="31" t="n"/>
      <c r="M1234" s="31" t="n"/>
      <c r="N1234" s="31" t="n"/>
      <c r="O1234" s="31" t="n"/>
      <c r="P1234" s="31" t="n"/>
      <c r="Q1234" s="31" t="n"/>
      <c r="R1234" s="31" t="n"/>
      <c r="S1234" s="32">
        <f>IF($F1234="","",IF(IFERROR(VLOOKUP($F1234,'维度字典'!$M$2:$N$50,2,0),"求和")="手工录入","",IF(IFERROR(VLOOKUP($F1234,'维度字典'!$M$2:$N$50,2,0),"求和")="最新值",IFERROR(LOOKUP(9.99E+307,G1234:R1234),""),SUM(G1234:R1234))))</f>
        <v/>
      </c>
      <c r="T1234" s="33" t="n"/>
    </row>
    <row r="1235">
      <c r="A1235" s="26">
        <f>IF($B1235="","",ROW()-3)</f>
        <v/>
      </c>
      <c r="B1235" s="27" t="n"/>
      <c r="C1235" s="27" t="n"/>
      <c r="D1235" s="28" t="n"/>
      <c r="E1235" s="29" t="n"/>
      <c r="F1235" s="30" t="n"/>
      <c r="G1235" s="31" t="n"/>
      <c r="H1235" s="31" t="n"/>
      <c r="I1235" s="31" t="n"/>
      <c r="J1235" s="31" t="n"/>
      <c r="K1235" s="31" t="n"/>
      <c r="L1235" s="31" t="n"/>
      <c r="M1235" s="31" t="n"/>
      <c r="N1235" s="31" t="n"/>
      <c r="O1235" s="31" t="n"/>
      <c r="P1235" s="31" t="n"/>
      <c r="Q1235" s="31" t="n"/>
      <c r="R1235" s="31" t="n"/>
      <c r="S1235" s="32">
        <f>IF($F1235="","",IF(IFERROR(VLOOKUP($F1235,'维度字典'!$M$2:$N$50,2,0),"求和")="手工录入","",IF(IFERROR(VLOOKUP($F1235,'维度字典'!$M$2:$N$50,2,0),"求和")="最新值",IFERROR(LOOKUP(9.99E+307,G1235:R1235),""),SUM(G1235:R1235))))</f>
        <v/>
      </c>
      <c r="T1235" s="33" t="n"/>
    </row>
    <row r="1236">
      <c r="A1236" s="26">
        <f>IF($B1236="","",ROW()-3)</f>
        <v/>
      </c>
      <c r="B1236" s="27" t="n"/>
      <c r="C1236" s="27" t="n"/>
      <c r="D1236" s="28" t="n"/>
      <c r="E1236" s="29" t="n"/>
      <c r="F1236" s="30" t="n"/>
      <c r="G1236" s="31" t="n"/>
      <c r="H1236" s="31" t="n"/>
      <c r="I1236" s="31" t="n"/>
      <c r="J1236" s="31" t="n"/>
      <c r="K1236" s="31" t="n"/>
      <c r="L1236" s="31" t="n"/>
      <c r="M1236" s="31" t="n"/>
      <c r="N1236" s="31" t="n"/>
      <c r="O1236" s="31" t="n"/>
      <c r="P1236" s="31" t="n"/>
      <c r="Q1236" s="31" t="n"/>
      <c r="R1236" s="31" t="n"/>
      <c r="S1236" s="32">
        <f>IF($F1236="","",IF(IFERROR(VLOOKUP($F1236,'维度字典'!$M$2:$N$50,2,0),"求和")="手工录入","",IF(IFERROR(VLOOKUP($F1236,'维度字典'!$M$2:$N$50,2,0),"求和")="最新值",IFERROR(LOOKUP(9.99E+307,G1236:R1236),""),SUM(G1236:R1236))))</f>
        <v/>
      </c>
      <c r="T1236" s="33" t="n"/>
    </row>
    <row r="1237">
      <c r="A1237" s="26">
        <f>IF($B1237="","",ROW()-3)</f>
        <v/>
      </c>
      <c r="B1237" s="27" t="n"/>
      <c r="C1237" s="27" t="n"/>
      <c r="D1237" s="28" t="n"/>
      <c r="E1237" s="29" t="n"/>
      <c r="F1237" s="30" t="n"/>
      <c r="G1237" s="31" t="n"/>
      <c r="H1237" s="31" t="n"/>
      <c r="I1237" s="31" t="n"/>
      <c r="J1237" s="31" t="n"/>
      <c r="K1237" s="31" t="n"/>
      <c r="L1237" s="31" t="n"/>
      <c r="M1237" s="31" t="n"/>
      <c r="N1237" s="31" t="n"/>
      <c r="O1237" s="31" t="n"/>
      <c r="P1237" s="31" t="n"/>
      <c r="Q1237" s="31" t="n"/>
      <c r="R1237" s="31" t="n"/>
      <c r="S1237" s="32">
        <f>IF($F1237="","",IF(IFERROR(VLOOKUP($F1237,'维度字典'!$M$2:$N$50,2,0),"求和")="手工录入","",IF(IFERROR(VLOOKUP($F1237,'维度字典'!$M$2:$N$50,2,0),"求和")="最新值",IFERROR(LOOKUP(9.99E+307,G1237:R1237),""),SUM(G1237:R1237))))</f>
        <v/>
      </c>
      <c r="T1237" s="33" t="n"/>
    </row>
    <row r="1238">
      <c r="A1238" s="26">
        <f>IF($B1238="","",ROW()-3)</f>
        <v/>
      </c>
      <c r="B1238" s="27" t="n"/>
      <c r="C1238" s="27" t="n"/>
      <c r="D1238" s="28" t="n"/>
      <c r="E1238" s="29" t="n"/>
      <c r="F1238" s="30" t="n"/>
      <c r="G1238" s="31" t="n"/>
      <c r="H1238" s="31" t="n"/>
      <c r="I1238" s="31" t="n"/>
      <c r="J1238" s="31" t="n"/>
      <c r="K1238" s="31" t="n"/>
      <c r="L1238" s="31" t="n"/>
      <c r="M1238" s="31" t="n"/>
      <c r="N1238" s="31" t="n"/>
      <c r="O1238" s="31" t="n"/>
      <c r="P1238" s="31" t="n"/>
      <c r="Q1238" s="31" t="n"/>
      <c r="R1238" s="31" t="n"/>
      <c r="S1238" s="32">
        <f>IF($F1238="","",IF(IFERROR(VLOOKUP($F1238,'维度字典'!$M$2:$N$50,2,0),"求和")="手工录入","",IF(IFERROR(VLOOKUP($F1238,'维度字典'!$M$2:$N$50,2,0),"求和")="最新值",IFERROR(LOOKUP(9.99E+307,G1238:R1238),""),SUM(G1238:R1238))))</f>
        <v/>
      </c>
      <c r="T1238" s="33" t="n"/>
    </row>
    <row r="1239">
      <c r="A1239" s="26">
        <f>IF($B1239="","",ROW()-3)</f>
        <v/>
      </c>
      <c r="B1239" s="27" t="n"/>
      <c r="C1239" s="27" t="n"/>
      <c r="D1239" s="28" t="n"/>
      <c r="E1239" s="29" t="n"/>
      <c r="F1239" s="30" t="n"/>
      <c r="G1239" s="31" t="n"/>
      <c r="H1239" s="31" t="n"/>
      <c r="I1239" s="31" t="n"/>
      <c r="J1239" s="31" t="n"/>
      <c r="K1239" s="31" t="n"/>
      <c r="L1239" s="31" t="n"/>
      <c r="M1239" s="31" t="n"/>
      <c r="N1239" s="31" t="n"/>
      <c r="O1239" s="31" t="n"/>
      <c r="P1239" s="31" t="n"/>
      <c r="Q1239" s="31" t="n"/>
      <c r="R1239" s="31" t="n"/>
      <c r="S1239" s="32">
        <f>IF($F1239="","",IF(IFERROR(VLOOKUP($F1239,'维度字典'!$M$2:$N$50,2,0),"求和")="手工录入","",IF(IFERROR(VLOOKUP($F1239,'维度字典'!$M$2:$N$50,2,0),"求和")="最新值",IFERROR(LOOKUP(9.99E+307,G1239:R1239),""),SUM(G1239:R1239))))</f>
        <v/>
      </c>
      <c r="T1239" s="33" t="n"/>
    </row>
    <row r="1240">
      <c r="A1240" s="26">
        <f>IF($B1240="","",ROW()-3)</f>
        <v/>
      </c>
      <c r="B1240" s="27" t="n"/>
      <c r="C1240" s="27" t="n"/>
      <c r="D1240" s="28" t="n"/>
      <c r="E1240" s="29" t="n"/>
      <c r="F1240" s="30" t="n"/>
      <c r="G1240" s="31" t="n"/>
      <c r="H1240" s="31" t="n"/>
      <c r="I1240" s="31" t="n"/>
      <c r="J1240" s="31" t="n"/>
      <c r="K1240" s="31" t="n"/>
      <c r="L1240" s="31" t="n"/>
      <c r="M1240" s="31" t="n"/>
      <c r="N1240" s="31" t="n"/>
      <c r="O1240" s="31" t="n"/>
      <c r="P1240" s="31" t="n"/>
      <c r="Q1240" s="31" t="n"/>
      <c r="R1240" s="31" t="n"/>
      <c r="S1240" s="32">
        <f>IF($F1240="","",IF(IFERROR(VLOOKUP($F1240,'维度字典'!$M$2:$N$50,2,0),"求和")="手工录入","",IF(IFERROR(VLOOKUP($F1240,'维度字典'!$M$2:$N$50,2,0),"求和")="最新值",IFERROR(LOOKUP(9.99E+307,G1240:R1240),""),SUM(G1240:R1240))))</f>
        <v/>
      </c>
      <c r="T1240" s="33" t="n"/>
    </row>
    <row r="1241">
      <c r="A1241" s="26">
        <f>IF($B1241="","",ROW()-3)</f>
        <v/>
      </c>
      <c r="B1241" s="27" t="n"/>
      <c r="C1241" s="27" t="n"/>
      <c r="D1241" s="28" t="n"/>
      <c r="E1241" s="29" t="n"/>
      <c r="F1241" s="30" t="n"/>
      <c r="G1241" s="31" t="n"/>
      <c r="H1241" s="31" t="n"/>
      <c r="I1241" s="31" t="n"/>
      <c r="J1241" s="31" t="n"/>
      <c r="K1241" s="31" t="n"/>
      <c r="L1241" s="31" t="n"/>
      <c r="M1241" s="31" t="n"/>
      <c r="N1241" s="31" t="n"/>
      <c r="O1241" s="31" t="n"/>
      <c r="P1241" s="31" t="n"/>
      <c r="Q1241" s="31" t="n"/>
      <c r="R1241" s="31" t="n"/>
      <c r="S1241" s="32">
        <f>IF($F1241="","",IF(IFERROR(VLOOKUP($F1241,'维度字典'!$M$2:$N$50,2,0),"求和")="手工录入","",IF(IFERROR(VLOOKUP($F1241,'维度字典'!$M$2:$N$50,2,0),"求和")="最新值",IFERROR(LOOKUP(9.99E+307,G1241:R1241),""),SUM(G1241:R1241))))</f>
        <v/>
      </c>
      <c r="T1241" s="33" t="n"/>
    </row>
    <row r="1242">
      <c r="A1242" s="26">
        <f>IF($B1242="","",ROW()-3)</f>
        <v/>
      </c>
      <c r="B1242" s="27" t="n"/>
      <c r="C1242" s="27" t="n"/>
      <c r="D1242" s="28" t="n"/>
      <c r="E1242" s="29" t="n"/>
      <c r="F1242" s="30" t="n"/>
      <c r="G1242" s="31" t="n"/>
      <c r="H1242" s="31" t="n"/>
      <c r="I1242" s="31" t="n"/>
      <c r="J1242" s="31" t="n"/>
      <c r="K1242" s="31" t="n"/>
      <c r="L1242" s="31" t="n"/>
      <c r="M1242" s="31" t="n"/>
      <c r="N1242" s="31" t="n"/>
      <c r="O1242" s="31" t="n"/>
      <c r="P1242" s="31" t="n"/>
      <c r="Q1242" s="31" t="n"/>
      <c r="R1242" s="31" t="n"/>
      <c r="S1242" s="32">
        <f>IF($F1242="","",IF(IFERROR(VLOOKUP($F1242,'维度字典'!$M$2:$N$50,2,0),"求和")="手工录入","",IF(IFERROR(VLOOKUP($F1242,'维度字典'!$M$2:$N$50,2,0),"求和")="最新值",IFERROR(LOOKUP(9.99E+307,G1242:R1242),""),SUM(G1242:R1242))))</f>
        <v/>
      </c>
      <c r="T1242" s="33" t="n"/>
    </row>
    <row r="1243">
      <c r="A1243" s="26">
        <f>IF($B1243="","",ROW()-3)</f>
        <v/>
      </c>
      <c r="B1243" s="27" t="n"/>
      <c r="C1243" s="27" t="n"/>
      <c r="D1243" s="28" t="n"/>
      <c r="E1243" s="29" t="n"/>
      <c r="F1243" s="30" t="n"/>
      <c r="G1243" s="31" t="n"/>
      <c r="H1243" s="31" t="n"/>
      <c r="I1243" s="31" t="n"/>
      <c r="J1243" s="31" t="n"/>
      <c r="K1243" s="31" t="n"/>
      <c r="L1243" s="31" t="n"/>
      <c r="M1243" s="31" t="n"/>
      <c r="N1243" s="31" t="n"/>
      <c r="O1243" s="31" t="n"/>
      <c r="P1243" s="31" t="n"/>
      <c r="Q1243" s="31" t="n"/>
      <c r="R1243" s="31" t="n"/>
      <c r="S1243" s="32">
        <f>IF($F1243="","",IF(IFERROR(VLOOKUP($F1243,'维度字典'!$M$2:$N$50,2,0),"求和")="手工录入","",IF(IFERROR(VLOOKUP($F1243,'维度字典'!$M$2:$N$50,2,0),"求和")="最新值",IFERROR(LOOKUP(9.99E+307,G1243:R1243),""),SUM(G1243:R1243))))</f>
        <v/>
      </c>
      <c r="T1243" s="33" t="n"/>
    </row>
    <row r="1244">
      <c r="A1244" s="26">
        <f>IF($B1244="","",ROW()-3)</f>
        <v/>
      </c>
      <c r="B1244" s="27" t="n"/>
      <c r="C1244" s="27" t="n"/>
      <c r="D1244" s="28" t="n"/>
      <c r="E1244" s="29" t="n"/>
      <c r="F1244" s="30" t="n"/>
      <c r="G1244" s="31" t="n"/>
      <c r="H1244" s="31" t="n"/>
      <c r="I1244" s="31" t="n"/>
      <c r="J1244" s="31" t="n"/>
      <c r="K1244" s="31" t="n"/>
      <c r="L1244" s="31" t="n"/>
      <c r="M1244" s="31" t="n"/>
      <c r="N1244" s="31" t="n"/>
      <c r="O1244" s="31" t="n"/>
      <c r="P1244" s="31" t="n"/>
      <c r="Q1244" s="31" t="n"/>
      <c r="R1244" s="31" t="n"/>
      <c r="S1244" s="32">
        <f>IF($F1244="","",IF(IFERROR(VLOOKUP($F1244,'维度字典'!$M$2:$N$50,2,0),"求和")="手工录入","",IF(IFERROR(VLOOKUP($F1244,'维度字典'!$M$2:$N$50,2,0),"求和")="最新值",IFERROR(LOOKUP(9.99E+307,G1244:R1244),""),SUM(G1244:R1244))))</f>
        <v/>
      </c>
      <c r="T1244" s="33" t="n"/>
    </row>
    <row r="1245">
      <c r="A1245" s="26">
        <f>IF($B1245="","",ROW()-3)</f>
        <v/>
      </c>
      <c r="B1245" s="27" t="n"/>
      <c r="C1245" s="27" t="n"/>
      <c r="D1245" s="28" t="n"/>
      <c r="E1245" s="29" t="n"/>
      <c r="F1245" s="30" t="n"/>
      <c r="G1245" s="31" t="n"/>
      <c r="H1245" s="31" t="n"/>
      <c r="I1245" s="31" t="n"/>
      <c r="J1245" s="31" t="n"/>
      <c r="K1245" s="31" t="n"/>
      <c r="L1245" s="31" t="n"/>
      <c r="M1245" s="31" t="n"/>
      <c r="N1245" s="31" t="n"/>
      <c r="O1245" s="31" t="n"/>
      <c r="P1245" s="31" t="n"/>
      <c r="Q1245" s="31" t="n"/>
      <c r="R1245" s="31" t="n"/>
      <c r="S1245" s="32">
        <f>IF($F1245="","",IF(IFERROR(VLOOKUP($F1245,'维度字典'!$M$2:$N$50,2,0),"求和")="手工录入","",IF(IFERROR(VLOOKUP($F1245,'维度字典'!$M$2:$N$50,2,0),"求和")="最新值",IFERROR(LOOKUP(9.99E+307,G1245:R1245),""),SUM(G1245:R1245))))</f>
        <v/>
      </c>
      <c r="T1245" s="33" t="n"/>
    </row>
    <row r="1246">
      <c r="A1246" s="26">
        <f>IF($B1246="","",ROW()-3)</f>
        <v/>
      </c>
      <c r="B1246" s="27" t="n"/>
      <c r="C1246" s="27" t="n"/>
      <c r="D1246" s="28" t="n"/>
      <c r="E1246" s="29" t="n"/>
      <c r="F1246" s="30" t="n"/>
      <c r="G1246" s="31" t="n"/>
      <c r="H1246" s="31" t="n"/>
      <c r="I1246" s="31" t="n"/>
      <c r="J1246" s="31" t="n"/>
      <c r="K1246" s="31" t="n"/>
      <c r="L1246" s="31" t="n"/>
      <c r="M1246" s="31" t="n"/>
      <c r="N1246" s="31" t="n"/>
      <c r="O1246" s="31" t="n"/>
      <c r="P1246" s="31" t="n"/>
      <c r="Q1246" s="31" t="n"/>
      <c r="R1246" s="31" t="n"/>
      <c r="S1246" s="32">
        <f>IF($F1246="","",IF(IFERROR(VLOOKUP($F1246,'维度字典'!$M$2:$N$50,2,0),"求和")="手工录入","",IF(IFERROR(VLOOKUP($F1246,'维度字典'!$M$2:$N$50,2,0),"求和")="最新值",IFERROR(LOOKUP(9.99E+307,G1246:R1246),""),SUM(G1246:R1246))))</f>
        <v/>
      </c>
      <c r="T1246" s="33" t="n"/>
    </row>
    <row r="1247">
      <c r="A1247" s="26">
        <f>IF($B1247="","",ROW()-3)</f>
        <v/>
      </c>
      <c r="B1247" s="27" t="n"/>
      <c r="C1247" s="27" t="n"/>
      <c r="D1247" s="28" t="n"/>
      <c r="E1247" s="29" t="n"/>
      <c r="F1247" s="30" t="n"/>
      <c r="G1247" s="31" t="n"/>
      <c r="H1247" s="31" t="n"/>
      <c r="I1247" s="31" t="n"/>
      <c r="J1247" s="31" t="n"/>
      <c r="K1247" s="31" t="n"/>
      <c r="L1247" s="31" t="n"/>
      <c r="M1247" s="31" t="n"/>
      <c r="N1247" s="31" t="n"/>
      <c r="O1247" s="31" t="n"/>
      <c r="P1247" s="31" t="n"/>
      <c r="Q1247" s="31" t="n"/>
      <c r="R1247" s="31" t="n"/>
      <c r="S1247" s="32">
        <f>IF($F1247="","",IF(IFERROR(VLOOKUP($F1247,'维度字典'!$M$2:$N$50,2,0),"求和")="手工录入","",IF(IFERROR(VLOOKUP($F1247,'维度字典'!$M$2:$N$50,2,0),"求和")="最新值",IFERROR(LOOKUP(9.99E+307,G1247:R1247),""),SUM(G1247:R1247))))</f>
        <v/>
      </c>
      <c r="T1247" s="33" t="n"/>
    </row>
    <row r="1248">
      <c r="A1248" s="26">
        <f>IF($B1248="","",ROW()-3)</f>
        <v/>
      </c>
      <c r="B1248" s="27" t="n"/>
      <c r="C1248" s="27" t="n"/>
      <c r="D1248" s="28" t="n"/>
      <c r="E1248" s="29" t="n"/>
      <c r="F1248" s="30" t="n"/>
      <c r="G1248" s="31" t="n"/>
      <c r="H1248" s="31" t="n"/>
      <c r="I1248" s="31" t="n"/>
      <c r="J1248" s="31" t="n"/>
      <c r="K1248" s="31" t="n"/>
      <c r="L1248" s="31" t="n"/>
      <c r="M1248" s="31" t="n"/>
      <c r="N1248" s="31" t="n"/>
      <c r="O1248" s="31" t="n"/>
      <c r="P1248" s="31" t="n"/>
      <c r="Q1248" s="31" t="n"/>
      <c r="R1248" s="31" t="n"/>
      <c r="S1248" s="32">
        <f>IF($F1248="","",IF(IFERROR(VLOOKUP($F1248,'维度字典'!$M$2:$N$50,2,0),"求和")="手工录入","",IF(IFERROR(VLOOKUP($F1248,'维度字典'!$M$2:$N$50,2,0),"求和")="最新值",IFERROR(LOOKUP(9.99E+307,G1248:R1248),""),SUM(G1248:R1248))))</f>
        <v/>
      </c>
      <c r="T1248" s="33" t="n"/>
    </row>
    <row r="1249">
      <c r="A1249" s="26">
        <f>IF($B1249="","",ROW()-3)</f>
        <v/>
      </c>
      <c r="B1249" s="27" t="n"/>
      <c r="C1249" s="27" t="n"/>
      <c r="D1249" s="28" t="n"/>
      <c r="E1249" s="29" t="n"/>
      <c r="F1249" s="30" t="n"/>
      <c r="G1249" s="31" t="n"/>
      <c r="H1249" s="31" t="n"/>
      <c r="I1249" s="31" t="n"/>
      <c r="J1249" s="31" t="n"/>
      <c r="K1249" s="31" t="n"/>
      <c r="L1249" s="31" t="n"/>
      <c r="M1249" s="31" t="n"/>
      <c r="N1249" s="31" t="n"/>
      <c r="O1249" s="31" t="n"/>
      <c r="P1249" s="31" t="n"/>
      <c r="Q1249" s="31" t="n"/>
      <c r="R1249" s="31" t="n"/>
      <c r="S1249" s="32">
        <f>IF($F1249="","",IF(IFERROR(VLOOKUP($F1249,'维度字典'!$M$2:$N$50,2,0),"求和")="手工录入","",IF(IFERROR(VLOOKUP($F1249,'维度字典'!$M$2:$N$50,2,0),"求和")="最新值",IFERROR(LOOKUP(9.99E+307,G1249:R1249),""),SUM(G1249:R1249))))</f>
        <v/>
      </c>
      <c r="T1249" s="33" t="n"/>
    </row>
    <row r="1250">
      <c r="A1250" s="26">
        <f>IF($B1250="","",ROW()-3)</f>
        <v/>
      </c>
      <c r="B1250" s="27" t="n"/>
      <c r="C1250" s="27" t="n"/>
      <c r="D1250" s="28" t="n"/>
      <c r="E1250" s="29" t="n"/>
      <c r="F1250" s="30" t="n"/>
      <c r="G1250" s="31" t="n"/>
      <c r="H1250" s="31" t="n"/>
      <c r="I1250" s="31" t="n"/>
      <c r="J1250" s="31" t="n"/>
      <c r="K1250" s="31" t="n"/>
      <c r="L1250" s="31" t="n"/>
      <c r="M1250" s="31" t="n"/>
      <c r="N1250" s="31" t="n"/>
      <c r="O1250" s="31" t="n"/>
      <c r="P1250" s="31" t="n"/>
      <c r="Q1250" s="31" t="n"/>
      <c r="R1250" s="31" t="n"/>
      <c r="S1250" s="32">
        <f>IF($F1250="","",IF(IFERROR(VLOOKUP($F1250,'维度字典'!$M$2:$N$50,2,0),"求和")="手工录入","",IF(IFERROR(VLOOKUP($F1250,'维度字典'!$M$2:$N$50,2,0),"求和")="最新值",IFERROR(LOOKUP(9.99E+307,G1250:R1250),""),SUM(G1250:R1250))))</f>
        <v/>
      </c>
      <c r="T1250" s="33" t="n"/>
    </row>
    <row r="1251">
      <c r="A1251" s="26">
        <f>IF($B1251="","",ROW()-3)</f>
        <v/>
      </c>
      <c r="B1251" s="27" t="n"/>
      <c r="C1251" s="27" t="n"/>
      <c r="D1251" s="28" t="n"/>
      <c r="E1251" s="29" t="n"/>
      <c r="F1251" s="30" t="n"/>
      <c r="G1251" s="31" t="n"/>
      <c r="H1251" s="31" t="n"/>
      <c r="I1251" s="31" t="n"/>
      <c r="J1251" s="31" t="n"/>
      <c r="K1251" s="31" t="n"/>
      <c r="L1251" s="31" t="n"/>
      <c r="M1251" s="31" t="n"/>
      <c r="N1251" s="31" t="n"/>
      <c r="O1251" s="31" t="n"/>
      <c r="P1251" s="31" t="n"/>
      <c r="Q1251" s="31" t="n"/>
      <c r="R1251" s="31" t="n"/>
      <c r="S1251" s="32">
        <f>IF($F1251="","",IF(IFERROR(VLOOKUP($F1251,'维度字典'!$M$2:$N$50,2,0),"求和")="手工录入","",IF(IFERROR(VLOOKUP($F1251,'维度字典'!$M$2:$N$50,2,0),"求和")="最新值",IFERROR(LOOKUP(9.99E+307,G1251:R1251),""),SUM(G1251:R1251))))</f>
        <v/>
      </c>
      <c r="T1251" s="33" t="n"/>
    </row>
    <row r="1252">
      <c r="A1252" s="26">
        <f>IF($B1252="","",ROW()-3)</f>
        <v/>
      </c>
      <c r="B1252" s="27" t="n"/>
      <c r="C1252" s="27" t="n"/>
      <c r="D1252" s="28" t="n"/>
      <c r="E1252" s="29" t="n"/>
      <c r="F1252" s="30" t="n"/>
      <c r="G1252" s="31" t="n"/>
      <c r="H1252" s="31" t="n"/>
      <c r="I1252" s="31" t="n"/>
      <c r="J1252" s="31" t="n"/>
      <c r="K1252" s="31" t="n"/>
      <c r="L1252" s="31" t="n"/>
      <c r="M1252" s="31" t="n"/>
      <c r="N1252" s="31" t="n"/>
      <c r="O1252" s="31" t="n"/>
      <c r="P1252" s="31" t="n"/>
      <c r="Q1252" s="31" t="n"/>
      <c r="R1252" s="31" t="n"/>
      <c r="S1252" s="32">
        <f>IF($F1252="","",IF(IFERROR(VLOOKUP($F1252,'维度字典'!$M$2:$N$50,2,0),"求和")="手工录入","",IF(IFERROR(VLOOKUP($F1252,'维度字典'!$M$2:$N$50,2,0),"求和")="最新值",IFERROR(LOOKUP(9.99E+307,G1252:R1252),""),SUM(G1252:R1252))))</f>
        <v/>
      </c>
      <c r="T1252" s="33" t="n"/>
    </row>
    <row r="1253">
      <c r="A1253" s="26">
        <f>IF($B1253="","",ROW()-3)</f>
        <v/>
      </c>
      <c r="B1253" s="27" t="n"/>
      <c r="C1253" s="27" t="n"/>
      <c r="D1253" s="28" t="n"/>
      <c r="E1253" s="29" t="n"/>
      <c r="F1253" s="30" t="n"/>
      <c r="G1253" s="31" t="n"/>
      <c r="H1253" s="31" t="n"/>
      <c r="I1253" s="31" t="n"/>
      <c r="J1253" s="31" t="n"/>
      <c r="K1253" s="31" t="n"/>
      <c r="L1253" s="31" t="n"/>
      <c r="M1253" s="31" t="n"/>
      <c r="N1253" s="31" t="n"/>
      <c r="O1253" s="31" t="n"/>
      <c r="P1253" s="31" t="n"/>
      <c r="Q1253" s="31" t="n"/>
      <c r="R1253" s="31" t="n"/>
      <c r="S1253" s="32">
        <f>IF($F1253="","",IF(IFERROR(VLOOKUP($F1253,'维度字典'!$M$2:$N$50,2,0),"求和")="手工录入","",IF(IFERROR(VLOOKUP($F1253,'维度字典'!$M$2:$N$50,2,0),"求和")="最新值",IFERROR(LOOKUP(9.99E+307,G1253:R1253),""),SUM(G1253:R1253))))</f>
        <v/>
      </c>
      <c r="T1253" s="33" t="n"/>
    </row>
    <row r="1254">
      <c r="A1254" s="26">
        <f>IF($B1254="","",ROW()-3)</f>
        <v/>
      </c>
      <c r="B1254" s="27" t="n"/>
      <c r="C1254" s="27" t="n"/>
      <c r="D1254" s="28" t="n"/>
      <c r="E1254" s="29" t="n"/>
      <c r="F1254" s="30" t="n"/>
      <c r="G1254" s="31" t="n"/>
      <c r="H1254" s="31" t="n"/>
      <c r="I1254" s="31" t="n"/>
      <c r="J1254" s="31" t="n"/>
      <c r="K1254" s="31" t="n"/>
      <c r="L1254" s="31" t="n"/>
      <c r="M1254" s="31" t="n"/>
      <c r="N1254" s="31" t="n"/>
      <c r="O1254" s="31" t="n"/>
      <c r="P1254" s="31" t="n"/>
      <c r="Q1254" s="31" t="n"/>
      <c r="R1254" s="31" t="n"/>
      <c r="S1254" s="32">
        <f>IF($F1254="","",IF(IFERROR(VLOOKUP($F1254,'维度字典'!$M$2:$N$50,2,0),"求和")="手工录入","",IF(IFERROR(VLOOKUP($F1254,'维度字典'!$M$2:$N$50,2,0),"求和")="最新值",IFERROR(LOOKUP(9.99E+307,G1254:R1254),""),SUM(G1254:R1254))))</f>
        <v/>
      </c>
      <c r="T1254" s="33" t="n"/>
    </row>
    <row r="1255">
      <c r="A1255" s="26">
        <f>IF($B1255="","",ROW()-3)</f>
        <v/>
      </c>
      <c r="B1255" s="27" t="n"/>
      <c r="C1255" s="27" t="n"/>
      <c r="D1255" s="28" t="n"/>
      <c r="E1255" s="29" t="n"/>
      <c r="F1255" s="30" t="n"/>
      <c r="G1255" s="31" t="n"/>
      <c r="H1255" s="31" t="n"/>
      <c r="I1255" s="31" t="n"/>
      <c r="J1255" s="31" t="n"/>
      <c r="K1255" s="31" t="n"/>
      <c r="L1255" s="31" t="n"/>
      <c r="M1255" s="31" t="n"/>
      <c r="N1255" s="31" t="n"/>
      <c r="O1255" s="31" t="n"/>
      <c r="P1255" s="31" t="n"/>
      <c r="Q1255" s="31" t="n"/>
      <c r="R1255" s="31" t="n"/>
      <c r="S1255" s="32">
        <f>IF($F1255="","",IF(IFERROR(VLOOKUP($F1255,'维度字典'!$M$2:$N$50,2,0),"求和")="手工录入","",IF(IFERROR(VLOOKUP($F1255,'维度字典'!$M$2:$N$50,2,0),"求和")="最新值",IFERROR(LOOKUP(9.99E+307,G1255:R1255),""),SUM(G1255:R1255))))</f>
        <v/>
      </c>
      <c r="T1255" s="33" t="n"/>
    </row>
    <row r="1256">
      <c r="A1256" s="26">
        <f>IF($B1256="","",ROW()-3)</f>
        <v/>
      </c>
      <c r="B1256" s="27" t="n"/>
      <c r="C1256" s="27" t="n"/>
      <c r="D1256" s="28" t="n"/>
      <c r="E1256" s="29" t="n"/>
      <c r="F1256" s="30" t="n"/>
      <c r="G1256" s="31" t="n"/>
      <c r="H1256" s="31" t="n"/>
      <c r="I1256" s="31" t="n"/>
      <c r="J1256" s="31" t="n"/>
      <c r="K1256" s="31" t="n"/>
      <c r="L1256" s="31" t="n"/>
      <c r="M1256" s="31" t="n"/>
      <c r="N1256" s="31" t="n"/>
      <c r="O1256" s="31" t="n"/>
      <c r="P1256" s="31" t="n"/>
      <c r="Q1256" s="31" t="n"/>
      <c r="R1256" s="31" t="n"/>
      <c r="S1256" s="32">
        <f>IF($F1256="","",IF(IFERROR(VLOOKUP($F1256,'维度字典'!$M$2:$N$50,2,0),"求和")="手工录入","",IF(IFERROR(VLOOKUP($F1256,'维度字典'!$M$2:$N$50,2,0),"求和")="最新值",IFERROR(LOOKUP(9.99E+307,G1256:R1256),""),SUM(G1256:R1256))))</f>
        <v/>
      </c>
      <c r="T1256" s="33" t="n"/>
    </row>
    <row r="1257">
      <c r="A1257" s="26">
        <f>IF($B1257="","",ROW()-3)</f>
        <v/>
      </c>
      <c r="B1257" s="27" t="n"/>
      <c r="C1257" s="27" t="n"/>
      <c r="D1257" s="28" t="n"/>
      <c r="E1257" s="29" t="n"/>
      <c r="F1257" s="30" t="n"/>
      <c r="G1257" s="31" t="n"/>
      <c r="H1257" s="31" t="n"/>
      <c r="I1257" s="31" t="n"/>
      <c r="J1257" s="31" t="n"/>
      <c r="K1257" s="31" t="n"/>
      <c r="L1257" s="31" t="n"/>
      <c r="M1257" s="31" t="n"/>
      <c r="N1257" s="31" t="n"/>
      <c r="O1257" s="31" t="n"/>
      <c r="P1257" s="31" t="n"/>
      <c r="Q1257" s="31" t="n"/>
      <c r="R1257" s="31" t="n"/>
      <c r="S1257" s="32">
        <f>IF($F1257="","",IF(IFERROR(VLOOKUP($F1257,'维度字典'!$M$2:$N$50,2,0),"求和")="手工录入","",IF(IFERROR(VLOOKUP($F1257,'维度字典'!$M$2:$N$50,2,0),"求和")="最新值",IFERROR(LOOKUP(9.99E+307,G1257:R1257),""),SUM(G1257:R1257))))</f>
        <v/>
      </c>
      <c r="T1257" s="33" t="n"/>
    </row>
    <row r="1258">
      <c r="A1258" s="26">
        <f>IF($B1258="","",ROW()-3)</f>
        <v/>
      </c>
      <c r="B1258" s="27" t="n"/>
      <c r="C1258" s="27" t="n"/>
      <c r="D1258" s="28" t="n"/>
      <c r="E1258" s="29" t="n"/>
      <c r="F1258" s="30" t="n"/>
      <c r="G1258" s="31" t="n"/>
      <c r="H1258" s="31" t="n"/>
      <c r="I1258" s="31" t="n"/>
      <c r="J1258" s="31" t="n"/>
      <c r="K1258" s="31" t="n"/>
      <c r="L1258" s="31" t="n"/>
      <c r="M1258" s="31" t="n"/>
      <c r="N1258" s="31" t="n"/>
      <c r="O1258" s="31" t="n"/>
      <c r="P1258" s="31" t="n"/>
      <c r="Q1258" s="31" t="n"/>
      <c r="R1258" s="31" t="n"/>
      <c r="S1258" s="32">
        <f>IF($F1258="","",IF(IFERROR(VLOOKUP($F1258,'维度字典'!$M$2:$N$50,2,0),"求和")="手工录入","",IF(IFERROR(VLOOKUP($F1258,'维度字典'!$M$2:$N$50,2,0),"求和")="最新值",IFERROR(LOOKUP(9.99E+307,G1258:R1258),""),SUM(G1258:R1258))))</f>
        <v/>
      </c>
      <c r="T1258" s="33" t="n"/>
    </row>
    <row r="1259">
      <c r="A1259" s="26">
        <f>IF($B1259="","",ROW()-3)</f>
        <v/>
      </c>
      <c r="B1259" s="27" t="n"/>
      <c r="C1259" s="27" t="n"/>
      <c r="D1259" s="28" t="n"/>
      <c r="E1259" s="29" t="n"/>
      <c r="F1259" s="30" t="n"/>
      <c r="G1259" s="31" t="n"/>
      <c r="H1259" s="31" t="n"/>
      <c r="I1259" s="31" t="n"/>
      <c r="J1259" s="31" t="n"/>
      <c r="K1259" s="31" t="n"/>
      <c r="L1259" s="31" t="n"/>
      <c r="M1259" s="31" t="n"/>
      <c r="N1259" s="31" t="n"/>
      <c r="O1259" s="31" t="n"/>
      <c r="P1259" s="31" t="n"/>
      <c r="Q1259" s="31" t="n"/>
      <c r="R1259" s="31" t="n"/>
      <c r="S1259" s="32">
        <f>IF($F1259="","",IF(IFERROR(VLOOKUP($F1259,'维度字典'!$M$2:$N$50,2,0),"求和")="手工录入","",IF(IFERROR(VLOOKUP($F1259,'维度字典'!$M$2:$N$50,2,0),"求和")="最新值",IFERROR(LOOKUP(9.99E+307,G1259:R1259),""),SUM(G1259:R1259))))</f>
        <v/>
      </c>
      <c r="T1259" s="33" t="n"/>
    </row>
    <row r="1260">
      <c r="A1260" s="26">
        <f>IF($B1260="","",ROW()-3)</f>
        <v/>
      </c>
      <c r="B1260" s="27" t="n"/>
      <c r="C1260" s="27" t="n"/>
      <c r="D1260" s="28" t="n"/>
      <c r="E1260" s="29" t="n"/>
      <c r="F1260" s="30" t="n"/>
      <c r="G1260" s="31" t="n"/>
      <c r="H1260" s="31" t="n"/>
      <c r="I1260" s="31" t="n"/>
      <c r="J1260" s="31" t="n"/>
      <c r="K1260" s="31" t="n"/>
      <c r="L1260" s="31" t="n"/>
      <c r="M1260" s="31" t="n"/>
      <c r="N1260" s="31" t="n"/>
      <c r="O1260" s="31" t="n"/>
      <c r="P1260" s="31" t="n"/>
      <c r="Q1260" s="31" t="n"/>
      <c r="R1260" s="31" t="n"/>
      <c r="S1260" s="32">
        <f>IF($F1260="","",IF(IFERROR(VLOOKUP($F1260,'维度字典'!$M$2:$N$50,2,0),"求和")="手工录入","",IF(IFERROR(VLOOKUP($F1260,'维度字典'!$M$2:$N$50,2,0),"求和")="最新值",IFERROR(LOOKUP(9.99E+307,G1260:R1260),""),SUM(G1260:R1260))))</f>
        <v/>
      </c>
      <c r="T1260" s="33" t="n"/>
    </row>
    <row r="1261">
      <c r="A1261" s="26">
        <f>IF($B1261="","",ROW()-3)</f>
        <v/>
      </c>
      <c r="B1261" s="27" t="n"/>
      <c r="C1261" s="27" t="n"/>
      <c r="D1261" s="28" t="n"/>
      <c r="E1261" s="29" t="n"/>
      <c r="F1261" s="30" t="n"/>
      <c r="G1261" s="31" t="n"/>
      <c r="H1261" s="31" t="n"/>
      <c r="I1261" s="31" t="n"/>
      <c r="J1261" s="31" t="n"/>
      <c r="K1261" s="31" t="n"/>
      <c r="L1261" s="31" t="n"/>
      <c r="M1261" s="31" t="n"/>
      <c r="N1261" s="31" t="n"/>
      <c r="O1261" s="31" t="n"/>
      <c r="P1261" s="31" t="n"/>
      <c r="Q1261" s="31" t="n"/>
      <c r="R1261" s="31" t="n"/>
      <c r="S1261" s="32">
        <f>IF($F1261="","",IF(IFERROR(VLOOKUP($F1261,'维度字典'!$M$2:$N$50,2,0),"求和")="手工录入","",IF(IFERROR(VLOOKUP($F1261,'维度字典'!$M$2:$N$50,2,0),"求和")="最新值",IFERROR(LOOKUP(9.99E+307,G1261:R1261),""),SUM(G1261:R1261))))</f>
        <v/>
      </c>
      <c r="T1261" s="33" t="n"/>
    </row>
    <row r="1262">
      <c r="A1262" s="26">
        <f>IF($B1262="","",ROW()-3)</f>
        <v/>
      </c>
      <c r="B1262" s="27" t="n"/>
      <c r="C1262" s="27" t="n"/>
      <c r="D1262" s="28" t="n"/>
      <c r="E1262" s="29" t="n"/>
      <c r="F1262" s="30" t="n"/>
      <c r="G1262" s="31" t="n"/>
      <c r="H1262" s="31" t="n"/>
      <c r="I1262" s="31" t="n"/>
      <c r="J1262" s="31" t="n"/>
      <c r="K1262" s="31" t="n"/>
      <c r="L1262" s="31" t="n"/>
      <c r="M1262" s="31" t="n"/>
      <c r="N1262" s="31" t="n"/>
      <c r="O1262" s="31" t="n"/>
      <c r="P1262" s="31" t="n"/>
      <c r="Q1262" s="31" t="n"/>
      <c r="R1262" s="31" t="n"/>
      <c r="S1262" s="32">
        <f>IF($F1262="","",IF(IFERROR(VLOOKUP($F1262,'维度字典'!$M$2:$N$50,2,0),"求和")="手工录入","",IF(IFERROR(VLOOKUP($F1262,'维度字典'!$M$2:$N$50,2,0),"求和")="最新值",IFERROR(LOOKUP(9.99E+307,G1262:R1262),""),SUM(G1262:R1262))))</f>
        <v/>
      </c>
      <c r="T1262" s="33" t="n"/>
    </row>
    <row r="1263">
      <c r="A1263" s="26">
        <f>IF($B1263="","",ROW()-3)</f>
        <v/>
      </c>
      <c r="B1263" s="27" t="n"/>
      <c r="C1263" s="27" t="n"/>
      <c r="D1263" s="28" t="n"/>
      <c r="E1263" s="29" t="n"/>
      <c r="F1263" s="30" t="n"/>
      <c r="G1263" s="31" t="n"/>
      <c r="H1263" s="31" t="n"/>
      <c r="I1263" s="31" t="n"/>
      <c r="J1263" s="31" t="n"/>
      <c r="K1263" s="31" t="n"/>
      <c r="L1263" s="31" t="n"/>
      <c r="M1263" s="31" t="n"/>
      <c r="N1263" s="31" t="n"/>
      <c r="O1263" s="31" t="n"/>
      <c r="P1263" s="31" t="n"/>
      <c r="Q1263" s="31" t="n"/>
      <c r="R1263" s="31" t="n"/>
      <c r="S1263" s="32">
        <f>IF($F1263="","",IF(IFERROR(VLOOKUP($F1263,'维度字典'!$M$2:$N$50,2,0),"求和")="手工录入","",IF(IFERROR(VLOOKUP($F1263,'维度字典'!$M$2:$N$50,2,0),"求和")="最新值",IFERROR(LOOKUP(9.99E+307,G1263:R1263),""),SUM(G1263:R1263))))</f>
        <v/>
      </c>
      <c r="T1263" s="33" t="n"/>
    </row>
    <row r="1264">
      <c r="A1264" s="26">
        <f>IF($B1264="","",ROW()-3)</f>
        <v/>
      </c>
      <c r="B1264" s="27" t="n"/>
      <c r="C1264" s="27" t="n"/>
      <c r="D1264" s="28" t="n"/>
      <c r="E1264" s="29" t="n"/>
      <c r="F1264" s="30" t="n"/>
      <c r="G1264" s="31" t="n"/>
      <c r="H1264" s="31" t="n"/>
      <c r="I1264" s="31" t="n"/>
      <c r="J1264" s="31" t="n"/>
      <c r="K1264" s="31" t="n"/>
      <c r="L1264" s="31" t="n"/>
      <c r="M1264" s="31" t="n"/>
      <c r="N1264" s="31" t="n"/>
      <c r="O1264" s="31" t="n"/>
      <c r="P1264" s="31" t="n"/>
      <c r="Q1264" s="31" t="n"/>
      <c r="R1264" s="31" t="n"/>
      <c r="S1264" s="32">
        <f>IF($F1264="","",IF(IFERROR(VLOOKUP($F1264,'维度字典'!$M$2:$N$50,2,0),"求和")="手工录入","",IF(IFERROR(VLOOKUP($F1264,'维度字典'!$M$2:$N$50,2,0),"求和")="最新值",IFERROR(LOOKUP(9.99E+307,G1264:R1264),""),SUM(G1264:R1264))))</f>
        <v/>
      </c>
      <c r="T1264" s="33" t="n"/>
    </row>
    <row r="1265">
      <c r="A1265" s="26">
        <f>IF($B1265="","",ROW()-3)</f>
        <v/>
      </c>
      <c r="B1265" s="27" t="n"/>
      <c r="C1265" s="27" t="n"/>
      <c r="D1265" s="28" t="n"/>
      <c r="E1265" s="29" t="n"/>
      <c r="F1265" s="30" t="n"/>
      <c r="G1265" s="31" t="n"/>
      <c r="H1265" s="31" t="n"/>
      <c r="I1265" s="31" t="n"/>
      <c r="J1265" s="31" t="n"/>
      <c r="K1265" s="31" t="n"/>
      <c r="L1265" s="31" t="n"/>
      <c r="M1265" s="31" t="n"/>
      <c r="N1265" s="31" t="n"/>
      <c r="O1265" s="31" t="n"/>
      <c r="P1265" s="31" t="n"/>
      <c r="Q1265" s="31" t="n"/>
      <c r="R1265" s="31" t="n"/>
      <c r="S1265" s="32">
        <f>IF($F1265="","",IF(IFERROR(VLOOKUP($F1265,'维度字典'!$M$2:$N$50,2,0),"求和")="手工录入","",IF(IFERROR(VLOOKUP($F1265,'维度字典'!$M$2:$N$50,2,0),"求和")="最新值",IFERROR(LOOKUP(9.99E+307,G1265:R1265),""),SUM(G1265:R1265))))</f>
        <v/>
      </c>
      <c r="T1265" s="33" t="n"/>
    </row>
    <row r="1266">
      <c r="A1266" s="26">
        <f>IF($B1266="","",ROW()-3)</f>
        <v/>
      </c>
      <c r="B1266" s="27" t="n"/>
      <c r="C1266" s="27" t="n"/>
      <c r="D1266" s="28" t="n"/>
      <c r="E1266" s="29" t="n"/>
      <c r="F1266" s="30" t="n"/>
      <c r="G1266" s="31" t="n"/>
      <c r="H1266" s="31" t="n"/>
      <c r="I1266" s="31" t="n"/>
      <c r="J1266" s="31" t="n"/>
      <c r="K1266" s="31" t="n"/>
      <c r="L1266" s="31" t="n"/>
      <c r="M1266" s="31" t="n"/>
      <c r="N1266" s="31" t="n"/>
      <c r="O1266" s="31" t="n"/>
      <c r="P1266" s="31" t="n"/>
      <c r="Q1266" s="31" t="n"/>
      <c r="R1266" s="31" t="n"/>
      <c r="S1266" s="32">
        <f>IF($F1266="","",IF(IFERROR(VLOOKUP($F1266,'维度字典'!$M$2:$N$50,2,0),"求和")="手工录入","",IF(IFERROR(VLOOKUP($F1266,'维度字典'!$M$2:$N$50,2,0),"求和")="最新值",IFERROR(LOOKUP(9.99E+307,G1266:R1266),""),SUM(G1266:R1266))))</f>
        <v/>
      </c>
      <c r="T1266" s="33" t="n"/>
    </row>
    <row r="1267">
      <c r="A1267" s="26">
        <f>IF($B1267="","",ROW()-3)</f>
        <v/>
      </c>
      <c r="B1267" s="27" t="n"/>
      <c r="C1267" s="27" t="n"/>
      <c r="D1267" s="28" t="n"/>
      <c r="E1267" s="29" t="n"/>
      <c r="F1267" s="30" t="n"/>
      <c r="G1267" s="31" t="n"/>
      <c r="H1267" s="31" t="n"/>
      <c r="I1267" s="31" t="n"/>
      <c r="J1267" s="31" t="n"/>
      <c r="K1267" s="31" t="n"/>
      <c r="L1267" s="31" t="n"/>
      <c r="M1267" s="31" t="n"/>
      <c r="N1267" s="31" t="n"/>
      <c r="O1267" s="31" t="n"/>
      <c r="P1267" s="31" t="n"/>
      <c r="Q1267" s="31" t="n"/>
      <c r="R1267" s="31" t="n"/>
      <c r="S1267" s="32">
        <f>IF($F1267="","",IF(IFERROR(VLOOKUP($F1267,'维度字典'!$M$2:$N$50,2,0),"求和")="手工录入","",IF(IFERROR(VLOOKUP($F1267,'维度字典'!$M$2:$N$50,2,0),"求和")="最新值",IFERROR(LOOKUP(9.99E+307,G1267:R1267),""),SUM(G1267:R1267))))</f>
        <v/>
      </c>
      <c r="T1267" s="33" t="n"/>
    </row>
    <row r="1268">
      <c r="A1268" s="26">
        <f>IF($B1268="","",ROW()-3)</f>
        <v/>
      </c>
      <c r="B1268" s="27" t="n"/>
      <c r="C1268" s="27" t="n"/>
      <c r="D1268" s="28" t="n"/>
      <c r="E1268" s="29" t="n"/>
      <c r="F1268" s="30" t="n"/>
      <c r="G1268" s="31" t="n"/>
      <c r="H1268" s="31" t="n"/>
      <c r="I1268" s="31" t="n"/>
      <c r="J1268" s="31" t="n"/>
      <c r="K1268" s="31" t="n"/>
      <c r="L1268" s="31" t="n"/>
      <c r="M1268" s="31" t="n"/>
      <c r="N1268" s="31" t="n"/>
      <c r="O1268" s="31" t="n"/>
      <c r="P1268" s="31" t="n"/>
      <c r="Q1268" s="31" t="n"/>
      <c r="R1268" s="31" t="n"/>
      <c r="S1268" s="32">
        <f>IF($F1268="","",IF(IFERROR(VLOOKUP($F1268,'维度字典'!$M$2:$N$50,2,0),"求和")="手工录入","",IF(IFERROR(VLOOKUP($F1268,'维度字典'!$M$2:$N$50,2,0),"求和")="最新值",IFERROR(LOOKUP(9.99E+307,G1268:R1268),""),SUM(G1268:R1268))))</f>
        <v/>
      </c>
      <c r="T1268" s="33" t="n"/>
    </row>
    <row r="1269">
      <c r="A1269" s="26">
        <f>IF($B1269="","",ROW()-3)</f>
        <v/>
      </c>
      <c r="B1269" s="27" t="n"/>
      <c r="C1269" s="27" t="n"/>
      <c r="D1269" s="28" t="n"/>
      <c r="E1269" s="29" t="n"/>
      <c r="F1269" s="30" t="n"/>
      <c r="G1269" s="31" t="n"/>
      <c r="H1269" s="31" t="n"/>
      <c r="I1269" s="31" t="n"/>
      <c r="J1269" s="31" t="n"/>
      <c r="K1269" s="31" t="n"/>
      <c r="L1269" s="31" t="n"/>
      <c r="M1269" s="31" t="n"/>
      <c r="N1269" s="31" t="n"/>
      <c r="O1269" s="31" t="n"/>
      <c r="P1269" s="31" t="n"/>
      <c r="Q1269" s="31" t="n"/>
      <c r="R1269" s="31" t="n"/>
      <c r="S1269" s="32">
        <f>IF($F1269="","",IF(IFERROR(VLOOKUP($F1269,'维度字典'!$M$2:$N$50,2,0),"求和")="手工录入","",IF(IFERROR(VLOOKUP($F1269,'维度字典'!$M$2:$N$50,2,0),"求和")="最新值",IFERROR(LOOKUP(9.99E+307,G1269:R1269),""),SUM(G1269:R1269))))</f>
        <v/>
      </c>
      <c r="T1269" s="33" t="n"/>
    </row>
    <row r="1270">
      <c r="A1270" s="26">
        <f>IF($B1270="","",ROW()-3)</f>
        <v/>
      </c>
      <c r="B1270" s="27" t="n"/>
      <c r="C1270" s="27" t="n"/>
      <c r="D1270" s="28" t="n"/>
      <c r="E1270" s="29" t="n"/>
      <c r="F1270" s="30" t="n"/>
      <c r="G1270" s="31" t="n"/>
      <c r="H1270" s="31" t="n"/>
      <c r="I1270" s="31" t="n"/>
      <c r="J1270" s="31" t="n"/>
      <c r="K1270" s="31" t="n"/>
      <c r="L1270" s="31" t="n"/>
      <c r="M1270" s="31" t="n"/>
      <c r="N1270" s="31" t="n"/>
      <c r="O1270" s="31" t="n"/>
      <c r="P1270" s="31" t="n"/>
      <c r="Q1270" s="31" t="n"/>
      <c r="R1270" s="31" t="n"/>
      <c r="S1270" s="32">
        <f>IF($F1270="","",IF(IFERROR(VLOOKUP($F1270,'维度字典'!$M$2:$N$50,2,0),"求和")="手工录入","",IF(IFERROR(VLOOKUP($F1270,'维度字典'!$M$2:$N$50,2,0),"求和")="最新值",IFERROR(LOOKUP(9.99E+307,G1270:R1270),""),SUM(G1270:R1270))))</f>
        <v/>
      </c>
      <c r="T1270" s="33" t="n"/>
    </row>
    <row r="1271">
      <c r="A1271" s="26">
        <f>IF($B1271="","",ROW()-3)</f>
        <v/>
      </c>
      <c r="B1271" s="27" t="n"/>
      <c r="C1271" s="27" t="n"/>
      <c r="D1271" s="28" t="n"/>
      <c r="E1271" s="29" t="n"/>
      <c r="F1271" s="30" t="n"/>
      <c r="G1271" s="31" t="n"/>
      <c r="H1271" s="31" t="n"/>
      <c r="I1271" s="31" t="n"/>
      <c r="J1271" s="31" t="n"/>
      <c r="K1271" s="31" t="n"/>
      <c r="L1271" s="31" t="n"/>
      <c r="M1271" s="31" t="n"/>
      <c r="N1271" s="31" t="n"/>
      <c r="O1271" s="31" t="n"/>
      <c r="P1271" s="31" t="n"/>
      <c r="Q1271" s="31" t="n"/>
      <c r="R1271" s="31" t="n"/>
      <c r="S1271" s="32">
        <f>IF($F1271="","",IF(IFERROR(VLOOKUP($F1271,'维度字典'!$M$2:$N$50,2,0),"求和")="手工录入","",IF(IFERROR(VLOOKUP($F1271,'维度字典'!$M$2:$N$50,2,0),"求和")="最新值",IFERROR(LOOKUP(9.99E+307,G1271:R1271),""),SUM(G1271:R1271))))</f>
        <v/>
      </c>
      <c r="T1271" s="33" t="n"/>
    </row>
    <row r="1272">
      <c r="A1272" s="26">
        <f>IF($B1272="","",ROW()-3)</f>
        <v/>
      </c>
      <c r="B1272" s="27" t="n"/>
      <c r="C1272" s="27" t="n"/>
      <c r="D1272" s="28" t="n"/>
      <c r="E1272" s="29" t="n"/>
      <c r="F1272" s="30" t="n"/>
      <c r="G1272" s="31" t="n"/>
      <c r="H1272" s="31" t="n"/>
      <c r="I1272" s="31" t="n"/>
      <c r="J1272" s="31" t="n"/>
      <c r="K1272" s="31" t="n"/>
      <c r="L1272" s="31" t="n"/>
      <c r="M1272" s="31" t="n"/>
      <c r="N1272" s="31" t="n"/>
      <c r="O1272" s="31" t="n"/>
      <c r="P1272" s="31" t="n"/>
      <c r="Q1272" s="31" t="n"/>
      <c r="R1272" s="31" t="n"/>
      <c r="S1272" s="32">
        <f>IF($F1272="","",IF(IFERROR(VLOOKUP($F1272,'维度字典'!$M$2:$N$50,2,0),"求和")="手工录入","",IF(IFERROR(VLOOKUP($F1272,'维度字典'!$M$2:$N$50,2,0),"求和")="最新值",IFERROR(LOOKUP(9.99E+307,G1272:R1272),""),SUM(G1272:R1272))))</f>
        <v/>
      </c>
      <c r="T1272" s="33" t="n"/>
    </row>
    <row r="1273">
      <c r="A1273" s="26">
        <f>IF($B1273="","",ROW()-3)</f>
        <v/>
      </c>
      <c r="B1273" s="27" t="n"/>
      <c r="C1273" s="27" t="n"/>
      <c r="D1273" s="28" t="n"/>
      <c r="E1273" s="29" t="n"/>
      <c r="F1273" s="30" t="n"/>
      <c r="G1273" s="31" t="n"/>
      <c r="H1273" s="31" t="n"/>
      <c r="I1273" s="31" t="n"/>
      <c r="J1273" s="31" t="n"/>
      <c r="K1273" s="31" t="n"/>
      <c r="L1273" s="31" t="n"/>
      <c r="M1273" s="31" t="n"/>
      <c r="N1273" s="31" t="n"/>
      <c r="O1273" s="31" t="n"/>
      <c r="P1273" s="31" t="n"/>
      <c r="Q1273" s="31" t="n"/>
      <c r="R1273" s="31" t="n"/>
      <c r="S1273" s="32">
        <f>IF($F1273="","",IF(IFERROR(VLOOKUP($F1273,'维度字典'!$M$2:$N$50,2,0),"求和")="手工录入","",IF(IFERROR(VLOOKUP($F1273,'维度字典'!$M$2:$N$50,2,0),"求和")="最新值",IFERROR(LOOKUP(9.99E+307,G1273:R1273),""),SUM(G1273:R1273))))</f>
        <v/>
      </c>
      <c r="T1273" s="33" t="n"/>
    </row>
    <row r="1274">
      <c r="A1274" s="26">
        <f>IF($B1274="","",ROW()-3)</f>
        <v/>
      </c>
      <c r="B1274" s="27" t="n"/>
      <c r="C1274" s="27" t="n"/>
      <c r="D1274" s="28" t="n"/>
      <c r="E1274" s="29" t="n"/>
      <c r="F1274" s="30" t="n"/>
      <c r="G1274" s="31" t="n"/>
      <c r="H1274" s="31" t="n"/>
      <c r="I1274" s="31" t="n"/>
      <c r="J1274" s="31" t="n"/>
      <c r="K1274" s="31" t="n"/>
      <c r="L1274" s="31" t="n"/>
      <c r="M1274" s="31" t="n"/>
      <c r="N1274" s="31" t="n"/>
      <c r="O1274" s="31" t="n"/>
      <c r="P1274" s="31" t="n"/>
      <c r="Q1274" s="31" t="n"/>
      <c r="R1274" s="31" t="n"/>
      <c r="S1274" s="32">
        <f>IF($F1274="","",IF(IFERROR(VLOOKUP($F1274,'维度字典'!$M$2:$N$50,2,0),"求和")="手工录入","",IF(IFERROR(VLOOKUP($F1274,'维度字典'!$M$2:$N$50,2,0),"求和")="最新值",IFERROR(LOOKUP(9.99E+307,G1274:R1274),""),SUM(G1274:R1274))))</f>
        <v/>
      </c>
      <c r="T1274" s="33" t="n"/>
    </row>
    <row r="1275">
      <c r="A1275" s="26">
        <f>IF($B1275="","",ROW()-3)</f>
        <v/>
      </c>
      <c r="B1275" s="27" t="n"/>
      <c r="C1275" s="27" t="n"/>
      <c r="D1275" s="28" t="n"/>
      <c r="E1275" s="29" t="n"/>
      <c r="F1275" s="30" t="n"/>
      <c r="G1275" s="31" t="n"/>
      <c r="H1275" s="31" t="n"/>
      <c r="I1275" s="31" t="n"/>
      <c r="J1275" s="31" t="n"/>
      <c r="K1275" s="31" t="n"/>
      <c r="L1275" s="31" t="n"/>
      <c r="M1275" s="31" t="n"/>
      <c r="N1275" s="31" t="n"/>
      <c r="O1275" s="31" t="n"/>
      <c r="P1275" s="31" t="n"/>
      <c r="Q1275" s="31" t="n"/>
      <c r="R1275" s="31" t="n"/>
      <c r="S1275" s="32">
        <f>IF($F1275="","",IF(IFERROR(VLOOKUP($F1275,'维度字典'!$M$2:$N$50,2,0),"求和")="手工录入","",IF(IFERROR(VLOOKUP($F1275,'维度字典'!$M$2:$N$50,2,0),"求和")="最新值",IFERROR(LOOKUP(9.99E+307,G1275:R1275),""),SUM(G1275:R1275))))</f>
        <v/>
      </c>
      <c r="T1275" s="33" t="n"/>
    </row>
    <row r="1276">
      <c r="A1276" s="26">
        <f>IF($B1276="","",ROW()-3)</f>
        <v/>
      </c>
      <c r="B1276" s="27" t="n"/>
      <c r="C1276" s="27" t="n"/>
      <c r="D1276" s="28" t="n"/>
      <c r="E1276" s="29" t="n"/>
      <c r="F1276" s="30" t="n"/>
      <c r="G1276" s="31" t="n"/>
      <c r="H1276" s="31" t="n"/>
      <c r="I1276" s="31" t="n"/>
      <c r="J1276" s="31" t="n"/>
      <c r="K1276" s="31" t="n"/>
      <c r="L1276" s="31" t="n"/>
      <c r="M1276" s="31" t="n"/>
      <c r="N1276" s="31" t="n"/>
      <c r="O1276" s="31" t="n"/>
      <c r="P1276" s="31" t="n"/>
      <c r="Q1276" s="31" t="n"/>
      <c r="R1276" s="31" t="n"/>
      <c r="S1276" s="32">
        <f>IF($F1276="","",IF(IFERROR(VLOOKUP($F1276,'维度字典'!$M$2:$N$50,2,0),"求和")="手工录入","",IF(IFERROR(VLOOKUP($F1276,'维度字典'!$M$2:$N$50,2,0),"求和")="最新值",IFERROR(LOOKUP(9.99E+307,G1276:R1276),""),SUM(G1276:R1276))))</f>
        <v/>
      </c>
      <c r="T1276" s="33" t="n"/>
    </row>
    <row r="1277">
      <c r="A1277" s="26">
        <f>IF($B1277="","",ROW()-3)</f>
        <v/>
      </c>
      <c r="B1277" s="27" t="n"/>
      <c r="C1277" s="27" t="n"/>
      <c r="D1277" s="28" t="n"/>
      <c r="E1277" s="29" t="n"/>
      <c r="F1277" s="30" t="n"/>
      <c r="G1277" s="31" t="n"/>
      <c r="H1277" s="31" t="n"/>
      <c r="I1277" s="31" t="n"/>
      <c r="J1277" s="31" t="n"/>
      <c r="K1277" s="31" t="n"/>
      <c r="L1277" s="31" t="n"/>
      <c r="M1277" s="31" t="n"/>
      <c r="N1277" s="31" t="n"/>
      <c r="O1277" s="31" t="n"/>
      <c r="P1277" s="31" t="n"/>
      <c r="Q1277" s="31" t="n"/>
      <c r="R1277" s="31" t="n"/>
      <c r="S1277" s="32">
        <f>IF($F1277="","",IF(IFERROR(VLOOKUP($F1277,'维度字典'!$M$2:$N$50,2,0),"求和")="手工录入","",IF(IFERROR(VLOOKUP($F1277,'维度字典'!$M$2:$N$50,2,0),"求和")="最新值",IFERROR(LOOKUP(9.99E+307,G1277:R1277),""),SUM(G1277:R1277))))</f>
        <v/>
      </c>
      <c r="T1277" s="33" t="n"/>
    </row>
    <row r="1278">
      <c r="A1278" s="26">
        <f>IF($B1278="","",ROW()-3)</f>
        <v/>
      </c>
      <c r="B1278" s="27" t="n"/>
      <c r="C1278" s="27" t="n"/>
      <c r="D1278" s="28" t="n"/>
      <c r="E1278" s="29" t="n"/>
      <c r="F1278" s="30" t="n"/>
      <c r="G1278" s="31" t="n"/>
      <c r="H1278" s="31" t="n"/>
      <c r="I1278" s="31" t="n"/>
      <c r="J1278" s="31" t="n"/>
      <c r="K1278" s="31" t="n"/>
      <c r="L1278" s="31" t="n"/>
      <c r="M1278" s="31" t="n"/>
      <c r="N1278" s="31" t="n"/>
      <c r="O1278" s="31" t="n"/>
      <c r="P1278" s="31" t="n"/>
      <c r="Q1278" s="31" t="n"/>
      <c r="R1278" s="31" t="n"/>
      <c r="S1278" s="32">
        <f>IF($F1278="","",IF(IFERROR(VLOOKUP($F1278,'维度字典'!$M$2:$N$50,2,0),"求和")="手工录入","",IF(IFERROR(VLOOKUP($F1278,'维度字典'!$M$2:$N$50,2,0),"求和")="最新值",IFERROR(LOOKUP(9.99E+307,G1278:R1278),""),SUM(G1278:R1278))))</f>
        <v/>
      </c>
      <c r="T1278" s="33" t="n"/>
    </row>
    <row r="1279">
      <c r="A1279" s="26">
        <f>IF($B1279="","",ROW()-3)</f>
        <v/>
      </c>
      <c r="B1279" s="27" t="n"/>
      <c r="C1279" s="27" t="n"/>
      <c r="D1279" s="28" t="n"/>
      <c r="E1279" s="29" t="n"/>
      <c r="F1279" s="30" t="n"/>
      <c r="G1279" s="31" t="n"/>
      <c r="H1279" s="31" t="n"/>
      <c r="I1279" s="31" t="n"/>
      <c r="J1279" s="31" t="n"/>
      <c r="K1279" s="31" t="n"/>
      <c r="L1279" s="31" t="n"/>
      <c r="M1279" s="31" t="n"/>
      <c r="N1279" s="31" t="n"/>
      <c r="O1279" s="31" t="n"/>
      <c r="P1279" s="31" t="n"/>
      <c r="Q1279" s="31" t="n"/>
      <c r="R1279" s="31" t="n"/>
      <c r="S1279" s="32">
        <f>IF($F1279="","",IF(IFERROR(VLOOKUP($F1279,'维度字典'!$M$2:$N$50,2,0),"求和")="手工录入","",IF(IFERROR(VLOOKUP($F1279,'维度字典'!$M$2:$N$50,2,0),"求和")="最新值",IFERROR(LOOKUP(9.99E+307,G1279:R1279),""),SUM(G1279:R1279))))</f>
        <v/>
      </c>
      <c r="T1279" s="33" t="n"/>
    </row>
    <row r="1280">
      <c r="A1280" s="26">
        <f>IF($B1280="","",ROW()-3)</f>
        <v/>
      </c>
      <c r="B1280" s="27" t="n"/>
      <c r="C1280" s="27" t="n"/>
      <c r="D1280" s="28" t="n"/>
      <c r="E1280" s="29" t="n"/>
      <c r="F1280" s="30" t="n"/>
      <c r="G1280" s="31" t="n"/>
      <c r="H1280" s="31" t="n"/>
      <c r="I1280" s="31" t="n"/>
      <c r="J1280" s="31" t="n"/>
      <c r="K1280" s="31" t="n"/>
      <c r="L1280" s="31" t="n"/>
      <c r="M1280" s="31" t="n"/>
      <c r="N1280" s="31" t="n"/>
      <c r="O1280" s="31" t="n"/>
      <c r="P1280" s="31" t="n"/>
      <c r="Q1280" s="31" t="n"/>
      <c r="R1280" s="31" t="n"/>
      <c r="S1280" s="32">
        <f>IF($F1280="","",IF(IFERROR(VLOOKUP($F1280,'维度字典'!$M$2:$N$50,2,0),"求和")="手工录入","",IF(IFERROR(VLOOKUP($F1280,'维度字典'!$M$2:$N$50,2,0),"求和")="最新值",IFERROR(LOOKUP(9.99E+307,G1280:R1280),""),SUM(G1280:R1280))))</f>
        <v/>
      </c>
      <c r="T1280" s="33" t="n"/>
    </row>
    <row r="1281">
      <c r="A1281" s="26">
        <f>IF($B1281="","",ROW()-3)</f>
        <v/>
      </c>
      <c r="B1281" s="27" t="n"/>
      <c r="C1281" s="27" t="n"/>
      <c r="D1281" s="28" t="n"/>
      <c r="E1281" s="29" t="n"/>
      <c r="F1281" s="30" t="n"/>
      <c r="G1281" s="31" t="n"/>
      <c r="H1281" s="31" t="n"/>
      <c r="I1281" s="31" t="n"/>
      <c r="J1281" s="31" t="n"/>
      <c r="K1281" s="31" t="n"/>
      <c r="L1281" s="31" t="n"/>
      <c r="M1281" s="31" t="n"/>
      <c r="N1281" s="31" t="n"/>
      <c r="O1281" s="31" t="n"/>
      <c r="P1281" s="31" t="n"/>
      <c r="Q1281" s="31" t="n"/>
      <c r="R1281" s="31" t="n"/>
      <c r="S1281" s="32">
        <f>IF($F1281="","",IF(IFERROR(VLOOKUP($F1281,'维度字典'!$M$2:$N$50,2,0),"求和")="手工录入","",IF(IFERROR(VLOOKUP($F1281,'维度字典'!$M$2:$N$50,2,0),"求和")="最新值",IFERROR(LOOKUP(9.99E+307,G1281:R1281),""),SUM(G1281:R1281))))</f>
        <v/>
      </c>
      <c r="T1281" s="33" t="n"/>
    </row>
    <row r="1282">
      <c r="A1282" s="26">
        <f>IF($B1282="","",ROW()-3)</f>
        <v/>
      </c>
      <c r="B1282" s="27" t="n"/>
      <c r="C1282" s="27" t="n"/>
      <c r="D1282" s="28" t="n"/>
      <c r="E1282" s="29" t="n"/>
      <c r="F1282" s="30" t="n"/>
      <c r="G1282" s="31" t="n"/>
      <c r="H1282" s="31" t="n"/>
      <c r="I1282" s="31" t="n"/>
      <c r="J1282" s="31" t="n"/>
      <c r="K1282" s="31" t="n"/>
      <c r="L1282" s="31" t="n"/>
      <c r="M1282" s="31" t="n"/>
      <c r="N1282" s="31" t="n"/>
      <c r="O1282" s="31" t="n"/>
      <c r="P1282" s="31" t="n"/>
      <c r="Q1282" s="31" t="n"/>
      <c r="R1282" s="31" t="n"/>
      <c r="S1282" s="32">
        <f>IF($F1282="","",IF(IFERROR(VLOOKUP($F1282,'维度字典'!$M$2:$N$50,2,0),"求和")="手工录入","",IF(IFERROR(VLOOKUP($F1282,'维度字典'!$M$2:$N$50,2,0),"求和")="最新值",IFERROR(LOOKUP(9.99E+307,G1282:R1282),""),SUM(G1282:R1282))))</f>
        <v/>
      </c>
      <c r="T1282" s="33" t="n"/>
    </row>
    <row r="1283">
      <c r="A1283" s="26">
        <f>IF($B1283="","",ROW()-3)</f>
        <v/>
      </c>
      <c r="B1283" s="27" t="n"/>
      <c r="C1283" s="27" t="n"/>
      <c r="D1283" s="28" t="n"/>
      <c r="E1283" s="29" t="n"/>
      <c r="F1283" s="30" t="n"/>
      <c r="G1283" s="31" t="n"/>
      <c r="H1283" s="31" t="n"/>
      <c r="I1283" s="31" t="n"/>
      <c r="J1283" s="31" t="n"/>
      <c r="K1283" s="31" t="n"/>
      <c r="L1283" s="31" t="n"/>
      <c r="M1283" s="31" t="n"/>
      <c r="N1283" s="31" t="n"/>
      <c r="O1283" s="31" t="n"/>
      <c r="P1283" s="31" t="n"/>
      <c r="Q1283" s="31" t="n"/>
      <c r="R1283" s="31" t="n"/>
      <c r="S1283" s="32">
        <f>IF($F1283="","",IF(IFERROR(VLOOKUP($F1283,'维度字典'!$M$2:$N$50,2,0),"求和")="手工录入","",IF(IFERROR(VLOOKUP($F1283,'维度字典'!$M$2:$N$50,2,0),"求和")="最新值",IFERROR(LOOKUP(9.99E+307,G1283:R1283),""),SUM(G1283:R1283))))</f>
        <v/>
      </c>
      <c r="T1283" s="33" t="n"/>
    </row>
    <row r="1284">
      <c r="A1284" s="26">
        <f>IF($B1284="","",ROW()-3)</f>
        <v/>
      </c>
      <c r="B1284" s="27" t="n"/>
      <c r="C1284" s="27" t="n"/>
      <c r="D1284" s="28" t="n"/>
      <c r="E1284" s="29" t="n"/>
      <c r="F1284" s="30" t="n"/>
      <c r="G1284" s="31" t="n"/>
      <c r="H1284" s="31" t="n"/>
      <c r="I1284" s="31" t="n"/>
      <c r="J1284" s="31" t="n"/>
      <c r="K1284" s="31" t="n"/>
      <c r="L1284" s="31" t="n"/>
      <c r="M1284" s="31" t="n"/>
      <c r="N1284" s="31" t="n"/>
      <c r="O1284" s="31" t="n"/>
      <c r="P1284" s="31" t="n"/>
      <c r="Q1284" s="31" t="n"/>
      <c r="R1284" s="31" t="n"/>
      <c r="S1284" s="32">
        <f>IF($F1284="","",IF(IFERROR(VLOOKUP($F1284,'维度字典'!$M$2:$N$50,2,0),"求和")="手工录入","",IF(IFERROR(VLOOKUP($F1284,'维度字典'!$M$2:$N$50,2,0),"求和")="最新值",IFERROR(LOOKUP(9.99E+307,G1284:R1284),""),SUM(G1284:R1284))))</f>
        <v/>
      </c>
      <c r="T1284" s="33" t="n"/>
    </row>
    <row r="1285">
      <c r="A1285" s="26">
        <f>IF($B1285="","",ROW()-3)</f>
        <v/>
      </c>
      <c r="B1285" s="27" t="n"/>
      <c r="C1285" s="27" t="n"/>
      <c r="D1285" s="28" t="n"/>
      <c r="E1285" s="29" t="n"/>
      <c r="F1285" s="30" t="n"/>
      <c r="G1285" s="31" t="n"/>
      <c r="H1285" s="31" t="n"/>
      <c r="I1285" s="31" t="n"/>
      <c r="J1285" s="31" t="n"/>
      <c r="K1285" s="31" t="n"/>
      <c r="L1285" s="31" t="n"/>
      <c r="M1285" s="31" t="n"/>
      <c r="N1285" s="31" t="n"/>
      <c r="O1285" s="31" t="n"/>
      <c r="P1285" s="31" t="n"/>
      <c r="Q1285" s="31" t="n"/>
      <c r="R1285" s="31" t="n"/>
      <c r="S1285" s="32">
        <f>IF($F1285="","",IF(IFERROR(VLOOKUP($F1285,'维度字典'!$M$2:$N$50,2,0),"求和")="手工录入","",IF(IFERROR(VLOOKUP($F1285,'维度字典'!$M$2:$N$50,2,0),"求和")="最新值",IFERROR(LOOKUP(9.99E+307,G1285:R1285),""),SUM(G1285:R1285))))</f>
        <v/>
      </c>
      <c r="T1285" s="33" t="n"/>
    </row>
    <row r="1286">
      <c r="A1286" s="26">
        <f>IF($B1286="","",ROW()-3)</f>
        <v/>
      </c>
      <c r="B1286" s="27" t="n"/>
      <c r="C1286" s="27" t="n"/>
      <c r="D1286" s="28" t="n"/>
      <c r="E1286" s="29" t="n"/>
      <c r="F1286" s="30" t="n"/>
      <c r="G1286" s="31" t="n"/>
      <c r="H1286" s="31" t="n"/>
      <c r="I1286" s="31" t="n"/>
      <c r="J1286" s="31" t="n"/>
      <c r="K1286" s="31" t="n"/>
      <c r="L1286" s="31" t="n"/>
      <c r="M1286" s="31" t="n"/>
      <c r="N1286" s="31" t="n"/>
      <c r="O1286" s="31" t="n"/>
      <c r="P1286" s="31" t="n"/>
      <c r="Q1286" s="31" t="n"/>
      <c r="R1286" s="31" t="n"/>
      <c r="S1286" s="32">
        <f>IF($F1286="","",IF(IFERROR(VLOOKUP($F1286,'维度字典'!$M$2:$N$50,2,0),"求和")="手工录入","",IF(IFERROR(VLOOKUP($F1286,'维度字典'!$M$2:$N$50,2,0),"求和")="最新值",IFERROR(LOOKUP(9.99E+307,G1286:R1286),""),SUM(G1286:R1286))))</f>
        <v/>
      </c>
      <c r="T1286" s="33" t="n"/>
    </row>
    <row r="1287">
      <c r="A1287" s="26">
        <f>IF($B1287="","",ROW()-3)</f>
        <v/>
      </c>
      <c r="B1287" s="27" t="n"/>
      <c r="C1287" s="27" t="n"/>
      <c r="D1287" s="28" t="n"/>
      <c r="E1287" s="29" t="n"/>
      <c r="F1287" s="30" t="n"/>
      <c r="G1287" s="31" t="n"/>
      <c r="H1287" s="31" t="n"/>
      <c r="I1287" s="31" t="n"/>
      <c r="J1287" s="31" t="n"/>
      <c r="K1287" s="31" t="n"/>
      <c r="L1287" s="31" t="n"/>
      <c r="M1287" s="31" t="n"/>
      <c r="N1287" s="31" t="n"/>
      <c r="O1287" s="31" t="n"/>
      <c r="P1287" s="31" t="n"/>
      <c r="Q1287" s="31" t="n"/>
      <c r="R1287" s="31" t="n"/>
      <c r="S1287" s="32">
        <f>IF($F1287="","",IF(IFERROR(VLOOKUP($F1287,'维度字典'!$M$2:$N$50,2,0),"求和")="手工录入","",IF(IFERROR(VLOOKUP($F1287,'维度字典'!$M$2:$N$50,2,0),"求和")="最新值",IFERROR(LOOKUP(9.99E+307,G1287:R1287),""),SUM(G1287:R1287))))</f>
        <v/>
      </c>
      <c r="T1287" s="33" t="n"/>
    </row>
    <row r="1288">
      <c r="A1288" s="26">
        <f>IF($B1288="","",ROW()-3)</f>
        <v/>
      </c>
      <c r="B1288" s="27" t="n"/>
      <c r="C1288" s="27" t="n"/>
      <c r="D1288" s="28" t="n"/>
      <c r="E1288" s="29" t="n"/>
      <c r="F1288" s="30" t="n"/>
      <c r="G1288" s="31" t="n"/>
      <c r="H1288" s="31" t="n"/>
      <c r="I1288" s="31" t="n"/>
      <c r="J1288" s="31" t="n"/>
      <c r="K1288" s="31" t="n"/>
      <c r="L1288" s="31" t="n"/>
      <c r="M1288" s="31" t="n"/>
      <c r="N1288" s="31" t="n"/>
      <c r="O1288" s="31" t="n"/>
      <c r="P1288" s="31" t="n"/>
      <c r="Q1288" s="31" t="n"/>
      <c r="R1288" s="31" t="n"/>
      <c r="S1288" s="32">
        <f>IF($F1288="","",IF(IFERROR(VLOOKUP($F1288,'维度字典'!$M$2:$N$50,2,0),"求和")="手工录入","",IF(IFERROR(VLOOKUP($F1288,'维度字典'!$M$2:$N$50,2,0),"求和")="最新值",IFERROR(LOOKUP(9.99E+307,G1288:R1288),""),SUM(G1288:R1288))))</f>
        <v/>
      </c>
      <c r="T1288" s="33" t="n"/>
    </row>
    <row r="1289">
      <c r="A1289" s="26">
        <f>IF($B1289="","",ROW()-3)</f>
        <v/>
      </c>
      <c r="B1289" s="27" t="n"/>
      <c r="C1289" s="27" t="n"/>
      <c r="D1289" s="28" t="n"/>
      <c r="E1289" s="29" t="n"/>
      <c r="F1289" s="30" t="n"/>
      <c r="G1289" s="31" t="n"/>
      <c r="H1289" s="31" t="n"/>
      <c r="I1289" s="31" t="n"/>
      <c r="J1289" s="31" t="n"/>
      <c r="K1289" s="31" t="n"/>
      <c r="L1289" s="31" t="n"/>
      <c r="M1289" s="31" t="n"/>
      <c r="N1289" s="31" t="n"/>
      <c r="O1289" s="31" t="n"/>
      <c r="P1289" s="31" t="n"/>
      <c r="Q1289" s="31" t="n"/>
      <c r="R1289" s="31" t="n"/>
      <c r="S1289" s="32">
        <f>IF($F1289="","",IF(IFERROR(VLOOKUP($F1289,'维度字典'!$M$2:$N$50,2,0),"求和")="手工录入","",IF(IFERROR(VLOOKUP($F1289,'维度字典'!$M$2:$N$50,2,0),"求和")="最新值",IFERROR(LOOKUP(9.99E+307,G1289:R1289),""),SUM(G1289:R1289))))</f>
        <v/>
      </c>
      <c r="T1289" s="33" t="n"/>
    </row>
    <row r="1290">
      <c r="A1290" s="26">
        <f>IF($B1290="","",ROW()-3)</f>
        <v/>
      </c>
      <c r="B1290" s="27" t="n"/>
      <c r="C1290" s="27" t="n"/>
      <c r="D1290" s="28" t="n"/>
      <c r="E1290" s="29" t="n"/>
      <c r="F1290" s="30" t="n"/>
      <c r="G1290" s="31" t="n"/>
      <c r="H1290" s="31" t="n"/>
      <c r="I1290" s="31" t="n"/>
      <c r="J1290" s="31" t="n"/>
      <c r="K1290" s="31" t="n"/>
      <c r="L1290" s="31" t="n"/>
      <c r="M1290" s="31" t="n"/>
      <c r="N1290" s="31" t="n"/>
      <c r="O1290" s="31" t="n"/>
      <c r="P1290" s="31" t="n"/>
      <c r="Q1290" s="31" t="n"/>
      <c r="R1290" s="31" t="n"/>
      <c r="S1290" s="32">
        <f>IF($F1290="","",IF(IFERROR(VLOOKUP($F1290,'维度字典'!$M$2:$N$50,2,0),"求和")="手工录入","",IF(IFERROR(VLOOKUP($F1290,'维度字典'!$M$2:$N$50,2,0),"求和")="最新值",IFERROR(LOOKUP(9.99E+307,G1290:R1290),""),SUM(G1290:R1290))))</f>
        <v/>
      </c>
      <c r="T1290" s="33" t="n"/>
    </row>
    <row r="1291">
      <c r="A1291" s="26">
        <f>IF($B1291="","",ROW()-3)</f>
        <v/>
      </c>
      <c r="B1291" s="27" t="n"/>
      <c r="C1291" s="27" t="n"/>
      <c r="D1291" s="28" t="n"/>
      <c r="E1291" s="29" t="n"/>
      <c r="F1291" s="30" t="n"/>
      <c r="G1291" s="31" t="n"/>
      <c r="H1291" s="31" t="n"/>
      <c r="I1291" s="31" t="n"/>
      <c r="J1291" s="31" t="n"/>
      <c r="K1291" s="31" t="n"/>
      <c r="L1291" s="31" t="n"/>
      <c r="M1291" s="31" t="n"/>
      <c r="N1291" s="31" t="n"/>
      <c r="O1291" s="31" t="n"/>
      <c r="P1291" s="31" t="n"/>
      <c r="Q1291" s="31" t="n"/>
      <c r="R1291" s="31" t="n"/>
      <c r="S1291" s="32">
        <f>IF($F1291="","",IF(IFERROR(VLOOKUP($F1291,'维度字典'!$M$2:$N$50,2,0),"求和")="手工录入","",IF(IFERROR(VLOOKUP($F1291,'维度字典'!$M$2:$N$50,2,0),"求和")="最新值",IFERROR(LOOKUP(9.99E+307,G1291:R1291),""),SUM(G1291:R1291))))</f>
        <v/>
      </c>
      <c r="T1291" s="33" t="n"/>
    </row>
    <row r="1292">
      <c r="A1292" s="26">
        <f>IF($B1292="","",ROW()-3)</f>
        <v/>
      </c>
      <c r="B1292" s="27" t="n"/>
      <c r="C1292" s="27" t="n"/>
      <c r="D1292" s="28" t="n"/>
      <c r="E1292" s="29" t="n"/>
      <c r="F1292" s="30" t="n"/>
      <c r="G1292" s="31" t="n"/>
      <c r="H1292" s="31" t="n"/>
      <c r="I1292" s="31" t="n"/>
      <c r="J1292" s="31" t="n"/>
      <c r="K1292" s="31" t="n"/>
      <c r="L1292" s="31" t="n"/>
      <c r="M1292" s="31" t="n"/>
      <c r="N1292" s="31" t="n"/>
      <c r="O1292" s="31" t="n"/>
      <c r="P1292" s="31" t="n"/>
      <c r="Q1292" s="31" t="n"/>
      <c r="R1292" s="31" t="n"/>
      <c r="S1292" s="32">
        <f>IF($F1292="","",IF(IFERROR(VLOOKUP($F1292,'维度字典'!$M$2:$N$50,2,0),"求和")="手工录入","",IF(IFERROR(VLOOKUP($F1292,'维度字典'!$M$2:$N$50,2,0),"求和")="最新值",IFERROR(LOOKUP(9.99E+307,G1292:R1292),""),SUM(G1292:R1292))))</f>
        <v/>
      </c>
      <c r="T1292" s="33" t="n"/>
    </row>
    <row r="1293">
      <c r="A1293" s="26">
        <f>IF($B1293="","",ROW()-3)</f>
        <v/>
      </c>
      <c r="B1293" s="27" t="n"/>
      <c r="C1293" s="27" t="n"/>
      <c r="D1293" s="28" t="n"/>
      <c r="E1293" s="29" t="n"/>
      <c r="F1293" s="30" t="n"/>
      <c r="G1293" s="31" t="n"/>
      <c r="H1293" s="31" t="n"/>
      <c r="I1293" s="31" t="n"/>
      <c r="J1293" s="31" t="n"/>
      <c r="K1293" s="31" t="n"/>
      <c r="L1293" s="31" t="n"/>
      <c r="M1293" s="31" t="n"/>
      <c r="N1293" s="31" t="n"/>
      <c r="O1293" s="31" t="n"/>
      <c r="P1293" s="31" t="n"/>
      <c r="Q1293" s="31" t="n"/>
      <c r="R1293" s="31" t="n"/>
      <c r="S1293" s="32">
        <f>IF($F1293="","",IF(IFERROR(VLOOKUP($F1293,'维度字典'!$M$2:$N$50,2,0),"求和")="手工录入","",IF(IFERROR(VLOOKUP($F1293,'维度字典'!$M$2:$N$50,2,0),"求和")="最新值",IFERROR(LOOKUP(9.99E+307,G1293:R1293),""),SUM(G1293:R1293))))</f>
        <v/>
      </c>
      <c r="T1293" s="33" t="n"/>
    </row>
    <row r="1294">
      <c r="A1294" s="26">
        <f>IF($B1294="","",ROW()-3)</f>
        <v/>
      </c>
      <c r="B1294" s="27" t="n"/>
      <c r="C1294" s="27" t="n"/>
      <c r="D1294" s="28" t="n"/>
      <c r="E1294" s="29" t="n"/>
      <c r="F1294" s="30" t="n"/>
      <c r="G1294" s="31" t="n"/>
      <c r="H1294" s="31" t="n"/>
      <c r="I1294" s="31" t="n"/>
      <c r="J1294" s="31" t="n"/>
      <c r="K1294" s="31" t="n"/>
      <c r="L1294" s="31" t="n"/>
      <c r="M1294" s="31" t="n"/>
      <c r="N1294" s="31" t="n"/>
      <c r="O1294" s="31" t="n"/>
      <c r="P1294" s="31" t="n"/>
      <c r="Q1294" s="31" t="n"/>
      <c r="R1294" s="31" t="n"/>
      <c r="S1294" s="32">
        <f>IF($F1294="","",IF(IFERROR(VLOOKUP($F1294,'维度字典'!$M$2:$N$50,2,0),"求和")="手工录入","",IF(IFERROR(VLOOKUP($F1294,'维度字典'!$M$2:$N$50,2,0),"求和")="最新值",IFERROR(LOOKUP(9.99E+307,G1294:R1294),""),SUM(G1294:R1294))))</f>
        <v/>
      </c>
      <c r="T1294" s="33" t="n"/>
    </row>
    <row r="1295">
      <c r="A1295" s="26">
        <f>IF($B1295="","",ROW()-3)</f>
        <v/>
      </c>
      <c r="B1295" s="27" t="n"/>
      <c r="C1295" s="27" t="n"/>
      <c r="D1295" s="28" t="n"/>
      <c r="E1295" s="29" t="n"/>
      <c r="F1295" s="30" t="n"/>
      <c r="G1295" s="31" t="n"/>
      <c r="H1295" s="31" t="n"/>
      <c r="I1295" s="31" t="n"/>
      <c r="J1295" s="31" t="n"/>
      <c r="K1295" s="31" t="n"/>
      <c r="L1295" s="31" t="n"/>
      <c r="M1295" s="31" t="n"/>
      <c r="N1295" s="31" t="n"/>
      <c r="O1295" s="31" t="n"/>
      <c r="P1295" s="31" t="n"/>
      <c r="Q1295" s="31" t="n"/>
      <c r="R1295" s="31" t="n"/>
      <c r="S1295" s="32">
        <f>IF($F1295="","",IF(IFERROR(VLOOKUP($F1295,'维度字典'!$M$2:$N$50,2,0),"求和")="手工录入","",IF(IFERROR(VLOOKUP($F1295,'维度字典'!$M$2:$N$50,2,0),"求和")="最新值",IFERROR(LOOKUP(9.99E+307,G1295:R1295),""),SUM(G1295:R1295))))</f>
        <v/>
      </c>
      <c r="T1295" s="33" t="n"/>
    </row>
    <row r="1296">
      <c r="A1296" s="26">
        <f>IF($B1296="","",ROW()-3)</f>
        <v/>
      </c>
      <c r="B1296" s="27" t="n"/>
      <c r="C1296" s="27" t="n"/>
      <c r="D1296" s="28" t="n"/>
      <c r="E1296" s="29" t="n"/>
      <c r="F1296" s="30" t="n"/>
      <c r="G1296" s="31" t="n"/>
      <c r="H1296" s="31" t="n"/>
      <c r="I1296" s="31" t="n"/>
      <c r="J1296" s="31" t="n"/>
      <c r="K1296" s="31" t="n"/>
      <c r="L1296" s="31" t="n"/>
      <c r="M1296" s="31" t="n"/>
      <c r="N1296" s="31" t="n"/>
      <c r="O1296" s="31" t="n"/>
      <c r="P1296" s="31" t="n"/>
      <c r="Q1296" s="31" t="n"/>
      <c r="R1296" s="31" t="n"/>
      <c r="S1296" s="32">
        <f>IF($F1296="","",IF(IFERROR(VLOOKUP($F1296,'维度字典'!$M$2:$N$50,2,0),"求和")="手工录入","",IF(IFERROR(VLOOKUP($F1296,'维度字典'!$M$2:$N$50,2,0),"求和")="最新值",IFERROR(LOOKUP(9.99E+307,G1296:R1296),""),SUM(G1296:R1296))))</f>
        <v/>
      </c>
      <c r="T1296" s="33" t="n"/>
    </row>
    <row r="1297">
      <c r="A1297" s="26">
        <f>IF($B1297="","",ROW()-3)</f>
        <v/>
      </c>
      <c r="B1297" s="27" t="n"/>
      <c r="C1297" s="27" t="n"/>
      <c r="D1297" s="28" t="n"/>
      <c r="E1297" s="29" t="n"/>
      <c r="F1297" s="30" t="n"/>
      <c r="G1297" s="31" t="n"/>
      <c r="H1297" s="31" t="n"/>
      <c r="I1297" s="31" t="n"/>
      <c r="J1297" s="31" t="n"/>
      <c r="K1297" s="31" t="n"/>
      <c r="L1297" s="31" t="n"/>
      <c r="M1297" s="31" t="n"/>
      <c r="N1297" s="31" t="n"/>
      <c r="O1297" s="31" t="n"/>
      <c r="P1297" s="31" t="n"/>
      <c r="Q1297" s="31" t="n"/>
      <c r="R1297" s="31" t="n"/>
      <c r="S1297" s="32">
        <f>IF($F1297="","",IF(IFERROR(VLOOKUP($F1297,'维度字典'!$M$2:$N$50,2,0),"求和")="手工录入","",IF(IFERROR(VLOOKUP($F1297,'维度字典'!$M$2:$N$50,2,0),"求和")="最新值",IFERROR(LOOKUP(9.99E+307,G1297:R1297),""),SUM(G1297:R1297))))</f>
        <v/>
      </c>
      <c r="T1297" s="33" t="n"/>
    </row>
    <row r="1298">
      <c r="A1298" s="26">
        <f>IF($B1298="","",ROW()-3)</f>
        <v/>
      </c>
      <c r="B1298" s="27" t="n"/>
      <c r="C1298" s="27" t="n"/>
      <c r="D1298" s="28" t="n"/>
      <c r="E1298" s="29" t="n"/>
      <c r="F1298" s="30" t="n"/>
      <c r="G1298" s="31" t="n"/>
      <c r="H1298" s="31" t="n"/>
      <c r="I1298" s="31" t="n"/>
      <c r="J1298" s="31" t="n"/>
      <c r="K1298" s="31" t="n"/>
      <c r="L1298" s="31" t="n"/>
      <c r="M1298" s="31" t="n"/>
      <c r="N1298" s="31" t="n"/>
      <c r="O1298" s="31" t="n"/>
      <c r="P1298" s="31" t="n"/>
      <c r="Q1298" s="31" t="n"/>
      <c r="R1298" s="31" t="n"/>
      <c r="S1298" s="32">
        <f>IF($F1298="","",IF(IFERROR(VLOOKUP($F1298,'维度字典'!$M$2:$N$50,2,0),"求和")="手工录入","",IF(IFERROR(VLOOKUP($F1298,'维度字典'!$M$2:$N$50,2,0),"求和")="最新值",IFERROR(LOOKUP(9.99E+307,G1298:R1298),""),SUM(G1298:R1298))))</f>
        <v/>
      </c>
      <c r="T1298" s="33" t="n"/>
    </row>
    <row r="1299">
      <c r="A1299" s="26">
        <f>IF($B1299="","",ROW()-3)</f>
        <v/>
      </c>
      <c r="B1299" s="27" t="n"/>
      <c r="C1299" s="27" t="n"/>
      <c r="D1299" s="28" t="n"/>
      <c r="E1299" s="29" t="n"/>
      <c r="F1299" s="30" t="n"/>
      <c r="G1299" s="31" t="n"/>
      <c r="H1299" s="31" t="n"/>
      <c r="I1299" s="31" t="n"/>
      <c r="J1299" s="31" t="n"/>
      <c r="K1299" s="31" t="n"/>
      <c r="L1299" s="31" t="n"/>
      <c r="M1299" s="31" t="n"/>
      <c r="N1299" s="31" t="n"/>
      <c r="O1299" s="31" t="n"/>
      <c r="P1299" s="31" t="n"/>
      <c r="Q1299" s="31" t="n"/>
      <c r="R1299" s="31" t="n"/>
      <c r="S1299" s="32">
        <f>IF($F1299="","",IF(IFERROR(VLOOKUP($F1299,'维度字典'!$M$2:$N$50,2,0),"求和")="手工录入","",IF(IFERROR(VLOOKUP($F1299,'维度字典'!$M$2:$N$50,2,0),"求和")="最新值",IFERROR(LOOKUP(9.99E+307,G1299:R1299),""),SUM(G1299:R1299))))</f>
        <v/>
      </c>
      <c r="T1299" s="33" t="n"/>
    </row>
    <row r="1300">
      <c r="A1300" s="26">
        <f>IF($B1300="","",ROW()-3)</f>
        <v/>
      </c>
      <c r="B1300" s="27" t="n"/>
      <c r="C1300" s="27" t="n"/>
      <c r="D1300" s="28" t="n"/>
      <c r="E1300" s="29" t="n"/>
      <c r="F1300" s="30" t="n"/>
      <c r="G1300" s="31" t="n"/>
      <c r="H1300" s="31" t="n"/>
      <c r="I1300" s="31" t="n"/>
      <c r="J1300" s="31" t="n"/>
      <c r="K1300" s="31" t="n"/>
      <c r="L1300" s="31" t="n"/>
      <c r="M1300" s="31" t="n"/>
      <c r="N1300" s="31" t="n"/>
      <c r="O1300" s="31" t="n"/>
      <c r="P1300" s="31" t="n"/>
      <c r="Q1300" s="31" t="n"/>
      <c r="R1300" s="31" t="n"/>
      <c r="S1300" s="32">
        <f>IF($F1300="","",IF(IFERROR(VLOOKUP($F1300,'维度字典'!$M$2:$N$50,2,0),"求和")="手工录入","",IF(IFERROR(VLOOKUP($F1300,'维度字典'!$M$2:$N$50,2,0),"求和")="最新值",IFERROR(LOOKUP(9.99E+307,G1300:R1300),""),SUM(G1300:R1300))))</f>
        <v/>
      </c>
      <c r="T1300" s="33" t="n"/>
    </row>
    <row r="1301">
      <c r="A1301" s="26">
        <f>IF($B1301="","",ROW()-3)</f>
        <v/>
      </c>
      <c r="B1301" s="27" t="n"/>
      <c r="C1301" s="27" t="n"/>
      <c r="D1301" s="28" t="n"/>
      <c r="E1301" s="29" t="n"/>
      <c r="F1301" s="30" t="n"/>
      <c r="G1301" s="31" t="n"/>
      <c r="H1301" s="31" t="n"/>
      <c r="I1301" s="31" t="n"/>
      <c r="J1301" s="31" t="n"/>
      <c r="K1301" s="31" t="n"/>
      <c r="L1301" s="31" t="n"/>
      <c r="M1301" s="31" t="n"/>
      <c r="N1301" s="31" t="n"/>
      <c r="O1301" s="31" t="n"/>
      <c r="P1301" s="31" t="n"/>
      <c r="Q1301" s="31" t="n"/>
      <c r="R1301" s="31" t="n"/>
      <c r="S1301" s="32">
        <f>IF($F1301="","",IF(IFERROR(VLOOKUP($F1301,'维度字典'!$M$2:$N$50,2,0),"求和")="手工录入","",IF(IFERROR(VLOOKUP($F1301,'维度字典'!$M$2:$N$50,2,0),"求和")="最新值",IFERROR(LOOKUP(9.99E+307,G1301:R1301),""),SUM(G1301:R1301))))</f>
        <v/>
      </c>
      <c r="T1301" s="33" t="n"/>
    </row>
    <row r="1302">
      <c r="A1302" s="26">
        <f>IF($B1302="","",ROW()-3)</f>
        <v/>
      </c>
      <c r="B1302" s="27" t="n"/>
      <c r="C1302" s="27" t="n"/>
      <c r="D1302" s="28" t="n"/>
      <c r="E1302" s="29" t="n"/>
      <c r="F1302" s="30" t="n"/>
      <c r="G1302" s="31" t="n"/>
      <c r="H1302" s="31" t="n"/>
      <c r="I1302" s="31" t="n"/>
      <c r="J1302" s="31" t="n"/>
      <c r="K1302" s="31" t="n"/>
      <c r="L1302" s="31" t="n"/>
      <c r="M1302" s="31" t="n"/>
      <c r="N1302" s="31" t="n"/>
      <c r="O1302" s="31" t="n"/>
      <c r="P1302" s="31" t="n"/>
      <c r="Q1302" s="31" t="n"/>
      <c r="R1302" s="31" t="n"/>
      <c r="S1302" s="32">
        <f>IF($F1302="","",IF(IFERROR(VLOOKUP($F1302,'维度字典'!$M$2:$N$50,2,0),"求和")="手工录入","",IF(IFERROR(VLOOKUP($F1302,'维度字典'!$M$2:$N$50,2,0),"求和")="最新值",IFERROR(LOOKUP(9.99E+307,G1302:R1302),""),SUM(G1302:R1302))))</f>
        <v/>
      </c>
      <c r="T1302" s="33" t="n"/>
    </row>
    <row r="1303">
      <c r="A1303" s="26">
        <f>IF($B1303="","",ROW()-3)</f>
        <v/>
      </c>
      <c r="B1303" s="27" t="n"/>
      <c r="C1303" s="27" t="n"/>
      <c r="D1303" s="28" t="n"/>
      <c r="E1303" s="29" t="n"/>
      <c r="F1303" s="30" t="n"/>
      <c r="G1303" s="31" t="n"/>
      <c r="H1303" s="31" t="n"/>
      <c r="I1303" s="31" t="n"/>
      <c r="J1303" s="31" t="n"/>
      <c r="K1303" s="31" t="n"/>
      <c r="L1303" s="31" t="n"/>
      <c r="M1303" s="31" t="n"/>
      <c r="N1303" s="31" t="n"/>
      <c r="O1303" s="31" t="n"/>
      <c r="P1303" s="31" t="n"/>
      <c r="Q1303" s="31" t="n"/>
      <c r="R1303" s="31" t="n"/>
      <c r="S1303" s="32">
        <f>IF($F1303="","",IF(IFERROR(VLOOKUP($F1303,'维度字典'!$M$2:$N$50,2,0),"求和")="手工录入","",IF(IFERROR(VLOOKUP($F1303,'维度字典'!$M$2:$N$50,2,0),"求和")="最新值",IFERROR(LOOKUP(9.99E+307,G1303:R1303),""),SUM(G1303:R1303))))</f>
        <v/>
      </c>
      <c r="T1303" s="33" t="n"/>
    </row>
    <row r="1304">
      <c r="A1304" s="26">
        <f>IF($B1304="","",ROW()-3)</f>
        <v/>
      </c>
      <c r="B1304" s="27" t="n"/>
      <c r="C1304" s="27" t="n"/>
      <c r="D1304" s="28" t="n"/>
      <c r="E1304" s="29" t="n"/>
      <c r="F1304" s="30" t="n"/>
      <c r="G1304" s="31" t="n"/>
      <c r="H1304" s="31" t="n"/>
      <c r="I1304" s="31" t="n"/>
      <c r="J1304" s="31" t="n"/>
      <c r="K1304" s="31" t="n"/>
      <c r="L1304" s="31" t="n"/>
      <c r="M1304" s="31" t="n"/>
      <c r="N1304" s="31" t="n"/>
      <c r="O1304" s="31" t="n"/>
      <c r="P1304" s="31" t="n"/>
      <c r="Q1304" s="31" t="n"/>
      <c r="R1304" s="31" t="n"/>
      <c r="S1304" s="32">
        <f>IF($F1304="","",IF(IFERROR(VLOOKUP($F1304,'维度字典'!$M$2:$N$50,2,0),"求和")="手工录入","",IF(IFERROR(VLOOKUP($F1304,'维度字典'!$M$2:$N$50,2,0),"求和")="最新值",IFERROR(LOOKUP(9.99E+307,G1304:R1304),""),SUM(G1304:R1304))))</f>
        <v/>
      </c>
      <c r="T1304" s="33" t="n"/>
    </row>
    <row r="1305">
      <c r="A1305" s="26">
        <f>IF($B1305="","",ROW()-3)</f>
        <v/>
      </c>
      <c r="B1305" s="27" t="n"/>
      <c r="C1305" s="27" t="n"/>
      <c r="D1305" s="28" t="n"/>
      <c r="E1305" s="29" t="n"/>
      <c r="F1305" s="30" t="n"/>
      <c r="G1305" s="31" t="n"/>
      <c r="H1305" s="31" t="n"/>
      <c r="I1305" s="31" t="n"/>
      <c r="J1305" s="31" t="n"/>
      <c r="K1305" s="31" t="n"/>
      <c r="L1305" s="31" t="n"/>
      <c r="M1305" s="31" t="n"/>
      <c r="N1305" s="31" t="n"/>
      <c r="O1305" s="31" t="n"/>
      <c r="P1305" s="31" t="n"/>
      <c r="Q1305" s="31" t="n"/>
      <c r="R1305" s="31" t="n"/>
      <c r="S1305" s="32">
        <f>IF($F1305="","",IF(IFERROR(VLOOKUP($F1305,'维度字典'!$M$2:$N$50,2,0),"求和")="手工录入","",IF(IFERROR(VLOOKUP($F1305,'维度字典'!$M$2:$N$50,2,0),"求和")="最新值",IFERROR(LOOKUP(9.99E+307,G1305:R1305),""),SUM(G1305:R1305))))</f>
        <v/>
      </c>
      <c r="T1305" s="33" t="n"/>
    </row>
    <row r="1306">
      <c r="A1306" s="26">
        <f>IF($B1306="","",ROW()-3)</f>
        <v/>
      </c>
      <c r="B1306" s="27" t="n"/>
      <c r="C1306" s="27" t="n"/>
      <c r="D1306" s="28" t="n"/>
      <c r="E1306" s="29" t="n"/>
      <c r="F1306" s="30" t="n"/>
      <c r="G1306" s="31" t="n"/>
      <c r="H1306" s="31" t="n"/>
      <c r="I1306" s="31" t="n"/>
      <c r="J1306" s="31" t="n"/>
      <c r="K1306" s="31" t="n"/>
      <c r="L1306" s="31" t="n"/>
      <c r="M1306" s="31" t="n"/>
      <c r="N1306" s="31" t="n"/>
      <c r="O1306" s="31" t="n"/>
      <c r="P1306" s="31" t="n"/>
      <c r="Q1306" s="31" t="n"/>
      <c r="R1306" s="31" t="n"/>
      <c r="S1306" s="32">
        <f>IF($F1306="","",IF(IFERROR(VLOOKUP($F1306,'维度字典'!$M$2:$N$50,2,0),"求和")="手工录入","",IF(IFERROR(VLOOKUP($F1306,'维度字典'!$M$2:$N$50,2,0),"求和")="最新值",IFERROR(LOOKUP(9.99E+307,G1306:R1306),""),SUM(G1306:R1306))))</f>
        <v/>
      </c>
      <c r="T1306" s="33" t="n"/>
    </row>
    <row r="1307">
      <c r="A1307" s="26">
        <f>IF($B1307="","",ROW()-3)</f>
        <v/>
      </c>
      <c r="B1307" s="27" t="n"/>
      <c r="C1307" s="27" t="n"/>
      <c r="D1307" s="28" t="n"/>
      <c r="E1307" s="29" t="n"/>
      <c r="F1307" s="30" t="n"/>
      <c r="G1307" s="31" t="n"/>
      <c r="H1307" s="31" t="n"/>
      <c r="I1307" s="31" t="n"/>
      <c r="J1307" s="31" t="n"/>
      <c r="K1307" s="31" t="n"/>
      <c r="L1307" s="31" t="n"/>
      <c r="M1307" s="31" t="n"/>
      <c r="N1307" s="31" t="n"/>
      <c r="O1307" s="31" t="n"/>
      <c r="P1307" s="31" t="n"/>
      <c r="Q1307" s="31" t="n"/>
      <c r="R1307" s="31" t="n"/>
      <c r="S1307" s="32">
        <f>IF($F1307="","",IF(IFERROR(VLOOKUP($F1307,'维度字典'!$M$2:$N$50,2,0),"求和")="手工录入","",IF(IFERROR(VLOOKUP($F1307,'维度字典'!$M$2:$N$50,2,0),"求和")="最新值",IFERROR(LOOKUP(9.99E+307,G1307:R1307),""),SUM(G1307:R1307))))</f>
        <v/>
      </c>
      <c r="T1307" s="33" t="n"/>
    </row>
    <row r="1308">
      <c r="A1308" s="26">
        <f>IF($B1308="","",ROW()-3)</f>
        <v/>
      </c>
      <c r="B1308" s="27" t="n"/>
      <c r="C1308" s="27" t="n"/>
      <c r="D1308" s="28" t="n"/>
      <c r="E1308" s="29" t="n"/>
      <c r="F1308" s="30" t="n"/>
      <c r="G1308" s="31" t="n"/>
      <c r="H1308" s="31" t="n"/>
      <c r="I1308" s="31" t="n"/>
      <c r="J1308" s="31" t="n"/>
      <c r="K1308" s="31" t="n"/>
      <c r="L1308" s="31" t="n"/>
      <c r="M1308" s="31" t="n"/>
      <c r="N1308" s="31" t="n"/>
      <c r="O1308" s="31" t="n"/>
      <c r="P1308" s="31" t="n"/>
      <c r="Q1308" s="31" t="n"/>
      <c r="R1308" s="31" t="n"/>
      <c r="S1308" s="32">
        <f>IF($F1308="","",IF(IFERROR(VLOOKUP($F1308,'维度字典'!$M$2:$N$50,2,0),"求和")="手工录入","",IF(IFERROR(VLOOKUP($F1308,'维度字典'!$M$2:$N$50,2,0),"求和")="最新值",IFERROR(LOOKUP(9.99E+307,G1308:R1308),""),SUM(G1308:R1308))))</f>
        <v/>
      </c>
      <c r="T1308" s="33" t="n"/>
    </row>
    <row r="1309">
      <c r="A1309" s="26">
        <f>IF($B1309="","",ROW()-3)</f>
        <v/>
      </c>
      <c r="B1309" s="27" t="n"/>
      <c r="C1309" s="27" t="n"/>
      <c r="D1309" s="28" t="n"/>
      <c r="E1309" s="29" t="n"/>
      <c r="F1309" s="30" t="n"/>
      <c r="G1309" s="31" t="n"/>
      <c r="H1309" s="31" t="n"/>
      <c r="I1309" s="31" t="n"/>
      <c r="J1309" s="31" t="n"/>
      <c r="K1309" s="31" t="n"/>
      <c r="L1309" s="31" t="n"/>
      <c r="M1309" s="31" t="n"/>
      <c r="N1309" s="31" t="n"/>
      <c r="O1309" s="31" t="n"/>
      <c r="P1309" s="31" t="n"/>
      <c r="Q1309" s="31" t="n"/>
      <c r="R1309" s="31" t="n"/>
      <c r="S1309" s="32">
        <f>IF($F1309="","",IF(IFERROR(VLOOKUP($F1309,'维度字典'!$M$2:$N$50,2,0),"求和")="手工录入","",IF(IFERROR(VLOOKUP($F1309,'维度字典'!$M$2:$N$50,2,0),"求和")="最新值",IFERROR(LOOKUP(9.99E+307,G1309:R1309),""),SUM(G1309:R1309))))</f>
        <v/>
      </c>
      <c r="T1309" s="33" t="n"/>
    </row>
    <row r="1310">
      <c r="A1310" s="26">
        <f>IF($B1310="","",ROW()-3)</f>
        <v/>
      </c>
      <c r="B1310" s="27" t="n"/>
      <c r="C1310" s="27" t="n"/>
      <c r="D1310" s="28" t="n"/>
      <c r="E1310" s="29" t="n"/>
      <c r="F1310" s="30" t="n"/>
      <c r="G1310" s="31" t="n"/>
      <c r="H1310" s="31" t="n"/>
      <c r="I1310" s="31" t="n"/>
      <c r="J1310" s="31" t="n"/>
      <c r="K1310" s="31" t="n"/>
      <c r="L1310" s="31" t="n"/>
      <c r="M1310" s="31" t="n"/>
      <c r="N1310" s="31" t="n"/>
      <c r="O1310" s="31" t="n"/>
      <c r="P1310" s="31" t="n"/>
      <c r="Q1310" s="31" t="n"/>
      <c r="R1310" s="31" t="n"/>
      <c r="S1310" s="32">
        <f>IF($F1310="","",IF(IFERROR(VLOOKUP($F1310,'维度字典'!$M$2:$N$50,2,0),"求和")="手工录入","",IF(IFERROR(VLOOKUP($F1310,'维度字典'!$M$2:$N$50,2,0),"求和")="最新值",IFERROR(LOOKUP(9.99E+307,G1310:R1310),""),SUM(G1310:R1310))))</f>
        <v/>
      </c>
      <c r="T1310" s="33" t="n"/>
    </row>
    <row r="1311">
      <c r="A1311" s="26">
        <f>IF($B1311="","",ROW()-3)</f>
        <v/>
      </c>
      <c r="B1311" s="27" t="n"/>
      <c r="C1311" s="27" t="n"/>
      <c r="D1311" s="28" t="n"/>
      <c r="E1311" s="29" t="n"/>
      <c r="F1311" s="30" t="n"/>
      <c r="G1311" s="31" t="n"/>
      <c r="H1311" s="31" t="n"/>
      <c r="I1311" s="31" t="n"/>
      <c r="J1311" s="31" t="n"/>
      <c r="K1311" s="31" t="n"/>
      <c r="L1311" s="31" t="n"/>
      <c r="M1311" s="31" t="n"/>
      <c r="N1311" s="31" t="n"/>
      <c r="O1311" s="31" t="n"/>
      <c r="P1311" s="31" t="n"/>
      <c r="Q1311" s="31" t="n"/>
      <c r="R1311" s="31" t="n"/>
      <c r="S1311" s="32">
        <f>IF($F1311="","",IF(IFERROR(VLOOKUP($F1311,'维度字典'!$M$2:$N$50,2,0),"求和")="手工录入","",IF(IFERROR(VLOOKUP($F1311,'维度字典'!$M$2:$N$50,2,0),"求和")="最新值",IFERROR(LOOKUP(9.99E+307,G1311:R1311),""),SUM(G1311:R1311))))</f>
        <v/>
      </c>
      <c r="T1311" s="33" t="n"/>
    </row>
    <row r="1312">
      <c r="A1312" s="26">
        <f>IF($B1312="","",ROW()-3)</f>
        <v/>
      </c>
      <c r="B1312" s="27" t="n"/>
      <c r="C1312" s="27" t="n"/>
      <c r="D1312" s="28" t="n"/>
      <c r="E1312" s="29" t="n"/>
      <c r="F1312" s="30" t="n"/>
      <c r="G1312" s="31" t="n"/>
      <c r="H1312" s="31" t="n"/>
      <c r="I1312" s="31" t="n"/>
      <c r="J1312" s="31" t="n"/>
      <c r="K1312" s="31" t="n"/>
      <c r="L1312" s="31" t="n"/>
      <c r="M1312" s="31" t="n"/>
      <c r="N1312" s="31" t="n"/>
      <c r="O1312" s="31" t="n"/>
      <c r="P1312" s="31" t="n"/>
      <c r="Q1312" s="31" t="n"/>
      <c r="R1312" s="31" t="n"/>
      <c r="S1312" s="32">
        <f>IF($F1312="","",IF(IFERROR(VLOOKUP($F1312,'维度字典'!$M$2:$N$50,2,0),"求和")="手工录入","",IF(IFERROR(VLOOKUP($F1312,'维度字典'!$M$2:$N$50,2,0),"求和")="最新值",IFERROR(LOOKUP(9.99E+307,G1312:R1312),""),SUM(G1312:R1312))))</f>
        <v/>
      </c>
      <c r="T1312" s="33" t="n"/>
    </row>
    <row r="1313">
      <c r="A1313" s="26">
        <f>IF($B1313="","",ROW()-3)</f>
        <v/>
      </c>
      <c r="B1313" s="27" t="n"/>
      <c r="C1313" s="27" t="n"/>
      <c r="D1313" s="28" t="n"/>
      <c r="E1313" s="29" t="n"/>
      <c r="F1313" s="30" t="n"/>
      <c r="G1313" s="31" t="n"/>
      <c r="H1313" s="31" t="n"/>
      <c r="I1313" s="31" t="n"/>
      <c r="J1313" s="31" t="n"/>
      <c r="K1313" s="31" t="n"/>
      <c r="L1313" s="31" t="n"/>
      <c r="M1313" s="31" t="n"/>
      <c r="N1313" s="31" t="n"/>
      <c r="O1313" s="31" t="n"/>
      <c r="P1313" s="31" t="n"/>
      <c r="Q1313" s="31" t="n"/>
      <c r="R1313" s="31" t="n"/>
      <c r="S1313" s="32">
        <f>IF($F1313="","",IF(IFERROR(VLOOKUP($F1313,'维度字典'!$M$2:$N$50,2,0),"求和")="手工录入","",IF(IFERROR(VLOOKUP($F1313,'维度字典'!$M$2:$N$50,2,0),"求和")="最新值",IFERROR(LOOKUP(9.99E+307,G1313:R1313),""),SUM(G1313:R1313))))</f>
        <v/>
      </c>
      <c r="T1313" s="33" t="n"/>
    </row>
    <row r="1314">
      <c r="A1314" s="26">
        <f>IF($B1314="","",ROW()-3)</f>
        <v/>
      </c>
      <c r="B1314" s="27" t="n"/>
      <c r="C1314" s="27" t="n"/>
      <c r="D1314" s="28" t="n"/>
      <c r="E1314" s="29" t="n"/>
      <c r="F1314" s="30" t="n"/>
      <c r="G1314" s="31" t="n"/>
      <c r="H1314" s="31" t="n"/>
      <c r="I1314" s="31" t="n"/>
      <c r="J1314" s="31" t="n"/>
      <c r="K1314" s="31" t="n"/>
      <c r="L1314" s="31" t="n"/>
      <c r="M1314" s="31" t="n"/>
      <c r="N1314" s="31" t="n"/>
      <c r="O1314" s="31" t="n"/>
      <c r="P1314" s="31" t="n"/>
      <c r="Q1314" s="31" t="n"/>
      <c r="R1314" s="31" t="n"/>
      <c r="S1314" s="32">
        <f>IF($F1314="","",IF(IFERROR(VLOOKUP($F1314,'维度字典'!$M$2:$N$50,2,0),"求和")="手工录入","",IF(IFERROR(VLOOKUP($F1314,'维度字典'!$M$2:$N$50,2,0),"求和")="最新值",IFERROR(LOOKUP(9.99E+307,G1314:R1314),""),SUM(G1314:R1314))))</f>
        <v/>
      </c>
      <c r="T1314" s="33" t="n"/>
    </row>
    <row r="1315">
      <c r="A1315" s="26">
        <f>IF($B1315="","",ROW()-3)</f>
        <v/>
      </c>
      <c r="B1315" s="27" t="n"/>
      <c r="C1315" s="27" t="n"/>
      <c r="D1315" s="28" t="n"/>
      <c r="E1315" s="29" t="n"/>
      <c r="F1315" s="30" t="n"/>
      <c r="G1315" s="31" t="n"/>
      <c r="H1315" s="31" t="n"/>
      <c r="I1315" s="31" t="n"/>
      <c r="J1315" s="31" t="n"/>
      <c r="K1315" s="31" t="n"/>
      <c r="L1315" s="31" t="n"/>
      <c r="M1315" s="31" t="n"/>
      <c r="N1315" s="31" t="n"/>
      <c r="O1315" s="31" t="n"/>
      <c r="P1315" s="31" t="n"/>
      <c r="Q1315" s="31" t="n"/>
      <c r="R1315" s="31" t="n"/>
      <c r="S1315" s="32">
        <f>IF($F1315="","",IF(IFERROR(VLOOKUP($F1315,'维度字典'!$M$2:$N$50,2,0),"求和")="手工录入","",IF(IFERROR(VLOOKUP($F1315,'维度字典'!$M$2:$N$50,2,0),"求和")="最新值",IFERROR(LOOKUP(9.99E+307,G1315:R1315),""),SUM(G1315:R1315))))</f>
        <v/>
      </c>
      <c r="T1315" s="33" t="n"/>
    </row>
    <row r="1316">
      <c r="A1316" s="26">
        <f>IF($B1316="","",ROW()-3)</f>
        <v/>
      </c>
      <c r="B1316" s="27" t="n"/>
      <c r="C1316" s="27" t="n"/>
      <c r="D1316" s="28" t="n"/>
      <c r="E1316" s="29" t="n"/>
      <c r="F1316" s="30" t="n"/>
      <c r="G1316" s="31" t="n"/>
      <c r="H1316" s="31" t="n"/>
      <c r="I1316" s="31" t="n"/>
      <c r="J1316" s="31" t="n"/>
      <c r="K1316" s="31" t="n"/>
      <c r="L1316" s="31" t="n"/>
      <c r="M1316" s="31" t="n"/>
      <c r="N1316" s="31" t="n"/>
      <c r="O1316" s="31" t="n"/>
      <c r="P1316" s="31" t="n"/>
      <c r="Q1316" s="31" t="n"/>
      <c r="R1316" s="31" t="n"/>
      <c r="S1316" s="32">
        <f>IF($F1316="","",IF(IFERROR(VLOOKUP($F1316,'维度字典'!$M$2:$N$50,2,0),"求和")="手工录入","",IF(IFERROR(VLOOKUP($F1316,'维度字典'!$M$2:$N$50,2,0),"求和")="最新值",IFERROR(LOOKUP(9.99E+307,G1316:R1316),""),SUM(G1316:R1316))))</f>
        <v/>
      </c>
      <c r="T1316" s="33" t="n"/>
    </row>
    <row r="1317">
      <c r="A1317" s="26">
        <f>IF($B1317="","",ROW()-3)</f>
        <v/>
      </c>
      <c r="B1317" s="27" t="n"/>
      <c r="C1317" s="27" t="n"/>
      <c r="D1317" s="28" t="n"/>
      <c r="E1317" s="29" t="n"/>
      <c r="F1317" s="30" t="n"/>
      <c r="G1317" s="31" t="n"/>
      <c r="H1317" s="31" t="n"/>
      <c r="I1317" s="31" t="n"/>
      <c r="J1317" s="31" t="n"/>
      <c r="K1317" s="31" t="n"/>
      <c r="L1317" s="31" t="n"/>
      <c r="M1317" s="31" t="n"/>
      <c r="N1317" s="31" t="n"/>
      <c r="O1317" s="31" t="n"/>
      <c r="P1317" s="31" t="n"/>
      <c r="Q1317" s="31" t="n"/>
      <c r="R1317" s="31" t="n"/>
      <c r="S1317" s="32">
        <f>IF($F1317="","",IF(IFERROR(VLOOKUP($F1317,'维度字典'!$M$2:$N$50,2,0),"求和")="手工录入","",IF(IFERROR(VLOOKUP($F1317,'维度字典'!$M$2:$N$50,2,0),"求和")="最新值",IFERROR(LOOKUP(9.99E+307,G1317:R1317),""),SUM(G1317:R1317))))</f>
        <v/>
      </c>
      <c r="T1317" s="33" t="n"/>
    </row>
    <row r="1318">
      <c r="A1318" s="26">
        <f>IF($B1318="","",ROW()-3)</f>
        <v/>
      </c>
      <c r="B1318" s="27" t="n"/>
      <c r="C1318" s="27" t="n"/>
      <c r="D1318" s="28" t="n"/>
      <c r="E1318" s="29" t="n"/>
      <c r="F1318" s="30" t="n"/>
      <c r="G1318" s="31" t="n"/>
      <c r="H1318" s="31" t="n"/>
      <c r="I1318" s="31" t="n"/>
      <c r="J1318" s="31" t="n"/>
      <c r="K1318" s="31" t="n"/>
      <c r="L1318" s="31" t="n"/>
      <c r="M1318" s="31" t="n"/>
      <c r="N1318" s="31" t="n"/>
      <c r="O1318" s="31" t="n"/>
      <c r="P1318" s="31" t="n"/>
      <c r="Q1318" s="31" t="n"/>
      <c r="R1318" s="31" t="n"/>
      <c r="S1318" s="32">
        <f>IF($F1318="","",IF(IFERROR(VLOOKUP($F1318,'维度字典'!$M$2:$N$50,2,0),"求和")="手工录入","",IF(IFERROR(VLOOKUP($F1318,'维度字典'!$M$2:$N$50,2,0),"求和")="最新值",IFERROR(LOOKUP(9.99E+307,G1318:R1318),""),SUM(G1318:R1318))))</f>
        <v/>
      </c>
      <c r="T1318" s="33" t="n"/>
    </row>
    <row r="1319">
      <c r="A1319" s="26">
        <f>IF($B1319="","",ROW()-3)</f>
        <v/>
      </c>
      <c r="B1319" s="27" t="n"/>
      <c r="C1319" s="27" t="n"/>
      <c r="D1319" s="28" t="n"/>
      <c r="E1319" s="29" t="n"/>
      <c r="F1319" s="30" t="n"/>
      <c r="G1319" s="31" t="n"/>
      <c r="H1319" s="31" t="n"/>
      <c r="I1319" s="31" t="n"/>
      <c r="J1319" s="31" t="n"/>
      <c r="K1319" s="31" t="n"/>
      <c r="L1319" s="31" t="n"/>
      <c r="M1319" s="31" t="n"/>
      <c r="N1319" s="31" t="n"/>
      <c r="O1319" s="31" t="n"/>
      <c r="P1319" s="31" t="n"/>
      <c r="Q1319" s="31" t="n"/>
      <c r="R1319" s="31" t="n"/>
      <c r="S1319" s="32">
        <f>IF($F1319="","",IF(IFERROR(VLOOKUP($F1319,'维度字典'!$M$2:$N$50,2,0),"求和")="手工录入","",IF(IFERROR(VLOOKUP($F1319,'维度字典'!$M$2:$N$50,2,0),"求和")="最新值",IFERROR(LOOKUP(9.99E+307,G1319:R1319),""),SUM(G1319:R1319))))</f>
        <v/>
      </c>
      <c r="T1319" s="33" t="n"/>
    </row>
    <row r="1320">
      <c r="A1320" s="26">
        <f>IF($B1320="","",ROW()-3)</f>
        <v/>
      </c>
      <c r="B1320" s="27" t="n"/>
      <c r="C1320" s="27" t="n"/>
      <c r="D1320" s="28" t="n"/>
      <c r="E1320" s="29" t="n"/>
      <c r="F1320" s="30" t="n"/>
      <c r="G1320" s="31" t="n"/>
      <c r="H1320" s="31" t="n"/>
      <c r="I1320" s="31" t="n"/>
      <c r="J1320" s="31" t="n"/>
      <c r="K1320" s="31" t="n"/>
      <c r="L1320" s="31" t="n"/>
      <c r="M1320" s="31" t="n"/>
      <c r="N1320" s="31" t="n"/>
      <c r="O1320" s="31" t="n"/>
      <c r="P1320" s="31" t="n"/>
      <c r="Q1320" s="31" t="n"/>
      <c r="R1320" s="31" t="n"/>
      <c r="S1320" s="32">
        <f>IF($F1320="","",IF(IFERROR(VLOOKUP($F1320,'维度字典'!$M$2:$N$50,2,0),"求和")="手工录入","",IF(IFERROR(VLOOKUP($F1320,'维度字典'!$M$2:$N$50,2,0),"求和")="最新值",IFERROR(LOOKUP(9.99E+307,G1320:R1320),""),SUM(G1320:R1320))))</f>
        <v/>
      </c>
      <c r="T1320" s="33" t="n"/>
    </row>
    <row r="1321">
      <c r="A1321" s="26">
        <f>IF($B1321="","",ROW()-3)</f>
        <v/>
      </c>
      <c r="B1321" s="27" t="n"/>
      <c r="C1321" s="27" t="n"/>
      <c r="D1321" s="28" t="n"/>
      <c r="E1321" s="29" t="n"/>
      <c r="F1321" s="30" t="n"/>
      <c r="G1321" s="31" t="n"/>
      <c r="H1321" s="31" t="n"/>
      <c r="I1321" s="31" t="n"/>
      <c r="J1321" s="31" t="n"/>
      <c r="K1321" s="31" t="n"/>
      <c r="L1321" s="31" t="n"/>
      <c r="M1321" s="31" t="n"/>
      <c r="N1321" s="31" t="n"/>
      <c r="O1321" s="31" t="n"/>
      <c r="P1321" s="31" t="n"/>
      <c r="Q1321" s="31" t="n"/>
      <c r="R1321" s="31" t="n"/>
      <c r="S1321" s="32">
        <f>IF($F1321="","",IF(IFERROR(VLOOKUP($F1321,'维度字典'!$M$2:$N$50,2,0),"求和")="手工录入","",IF(IFERROR(VLOOKUP($F1321,'维度字典'!$M$2:$N$50,2,0),"求和")="最新值",IFERROR(LOOKUP(9.99E+307,G1321:R1321),""),SUM(G1321:R1321))))</f>
        <v/>
      </c>
      <c r="T1321" s="33" t="n"/>
    </row>
    <row r="1322">
      <c r="A1322" s="26">
        <f>IF($B1322="","",ROW()-3)</f>
        <v/>
      </c>
      <c r="B1322" s="27" t="n"/>
      <c r="C1322" s="27" t="n"/>
      <c r="D1322" s="28" t="n"/>
      <c r="E1322" s="29" t="n"/>
      <c r="F1322" s="30" t="n"/>
      <c r="G1322" s="31" t="n"/>
      <c r="H1322" s="31" t="n"/>
      <c r="I1322" s="31" t="n"/>
      <c r="J1322" s="31" t="n"/>
      <c r="K1322" s="31" t="n"/>
      <c r="L1322" s="31" t="n"/>
      <c r="M1322" s="31" t="n"/>
      <c r="N1322" s="31" t="n"/>
      <c r="O1322" s="31" t="n"/>
      <c r="P1322" s="31" t="n"/>
      <c r="Q1322" s="31" t="n"/>
      <c r="R1322" s="31" t="n"/>
      <c r="S1322" s="32">
        <f>IF($F1322="","",IF(IFERROR(VLOOKUP($F1322,'维度字典'!$M$2:$N$50,2,0),"求和")="手工录入","",IF(IFERROR(VLOOKUP($F1322,'维度字典'!$M$2:$N$50,2,0),"求和")="最新值",IFERROR(LOOKUP(9.99E+307,G1322:R1322),""),SUM(G1322:R1322))))</f>
        <v/>
      </c>
      <c r="T1322" s="33" t="n"/>
    </row>
    <row r="1323">
      <c r="A1323" s="26">
        <f>IF($B1323="","",ROW()-3)</f>
        <v/>
      </c>
      <c r="B1323" s="27" t="n"/>
      <c r="C1323" s="27" t="n"/>
      <c r="D1323" s="28" t="n"/>
      <c r="E1323" s="29" t="n"/>
      <c r="F1323" s="30" t="n"/>
      <c r="G1323" s="31" t="n"/>
      <c r="H1323" s="31" t="n"/>
      <c r="I1323" s="31" t="n"/>
      <c r="J1323" s="31" t="n"/>
      <c r="K1323" s="31" t="n"/>
      <c r="L1323" s="31" t="n"/>
      <c r="M1323" s="31" t="n"/>
      <c r="N1323" s="31" t="n"/>
      <c r="O1323" s="31" t="n"/>
      <c r="P1323" s="31" t="n"/>
      <c r="Q1323" s="31" t="n"/>
      <c r="R1323" s="31" t="n"/>
      <c r="S1323" s="32">
        <f>IF($F1323="","",IF(IFERROR(VLOOKUP($F1323,'维度字典'!$M$2:$N$50,2,0),"求和")="手工录入","",IF(IFERROR(VLOOKUP($F1323,'维度字典'!$M$2:$N$50,2,0),"求和")="最新值",IFERROR(LOOKUP(9.99E+307,G1323:R1323),""),SUM(G1323:R1323))))</f>
        <v/>
      </c>
      <c r="T1323" s="33" t="n"/>
    </row>
    <row r="1324">
      <c r="A1324" s="26">
        <f>IF($B1324="","",ROW()-3)</f>
        <v/>
      </c>
      <c r="B1324" s="27" t="n"/>
      <c r="C1324" s="27" t="n"/>
      <c r="D1324" s="28" t="n"/>
      <c r="E1324" s="29" t="n"/>
      <c r="F1324" s="30" t="n"/>
      <c r="G1324" s="31" t="n"/>
      <c r="H1324" s="31" t="n"/>
      <c r="I1324" s="31" t="n"/>
      <c r="J1324" s="31" t="n"/>
      <c r="K1324" s="31" t="n"/>
      <c r="L1324" s="31" t="n"/>
      <c r="M1324" s="31" t="n"/>
      <c r="N1324" s="31" t="n"/>
      <c r="O1324" s="31" t="n"/>
      <c r="P1324" s="31" t="n"/>
      <c r="Q1324" s="31" t="n"/>
      <c r="R1324" s="31" t="n"/>
      <c r="S1324" s="32">
        <f>IF($F1324="","",IF(IFERROR(VLOOKUP($F1324,'维度字典'!$M$2:$N$50,2,0),"求和")="手工录入","",IF(IFERROR(VLOOKUP($F1324,'维度字典'!$M$2:$N$50,2,0),"求和")="最新值",IFERROR(LOOKUP(9.99E+307,G1324:R1324),""),SUM(G1324:R1324))))</f>
        <v/>
      </c>
      <c r="T1324" s="33" t="n"/>
    </row>
    <row r="1325">
      <c r="A1325" s="26">
        <f>IF($B1325="","",ROW()-3)</f>
        <v/>
      </c>
      <c r="B1325" s="27" t="n"/>
      <c r="C1325" s="27" t="n"/>
      <c r="D1325" s="28" t="n"/>
      <c r="E1325" s="29" t="n"/>
      <c r="F1325" s="30" t="n"/>
      <c r="G1325" s="31" t="n"/>
      <c r="H1325" s="31" t="n"/>
      <c r="I1325" s="31" t="n"/>
      <c r="J1325" s="31" t="n"/>
      <c r="K1325" s="31" t="n"/>
      <c r="L1325" s="31" t="n"/>
      <c r="M1325" s="31" t="n"/>
      <c r="N1325" s="31" t="n"/>
      <c r="O1325" s="31" t="n"/>
      <c r="P1325" s="31" t="n"/>
      <c r="Q1325" s="31" t="n"/>
      <c r="R1325" s="31" t="n"/>
      <c r="S1325" s="32">
        <f>IF($F1325="","",IF(IFERROR(VLOOKUP($F1325,'维度字典'!$M$2:$N$50,2,0),"求和")="手工录入","",IF(IFERROR(VLOOKUP($F1325,'维度字典'!$M$2:$N$50,2,0),"求和")="最新值",IFERROR(LOOKUP(9.99E+307,G1325:R1325),""),SUM(G1325:R1325))))</f>
        <v/>
      </c>
      <c r="T1325" s="33" t="n"/>
    </row>
    <row r="1326">
      <c r="A1326" s="26">
        <f>IF($B1326="","",ROW()-3)</f>
        <v/>
      </c>
      <c r="B1326" s="27" t="n"/>
      <c r="C1326" s="27" t="n"/>
      <c r="D1326" s="28" t="n"/>
      <c r="E1326" s="29" t="n"/>
      <c r="F1326" s="30" t="n"/>
      <c r="G1326" s="31" t="n"/>
      <c r="H1326" s="31" t="n"/>
      <c r="I1326" s="31" t="n"/>
      <c r="J1326" s="31" t="n"/>
      <c r="K1326" s="31" t="n"/>
      <c r="L1326" s="31" t="n"/>
      <c r="M1326" s="31" t="n"/>
      <c r="N1326" s="31" t="n"/>
      <c r="O1326" s="31" t="n"/>
      <c r="P1326" s="31" t="n"/>
      <c r="Q1326" s="31" t="n"/>
      <c r="R1326" s="31" t="n"/>
      <c r="S1326" s="32">
        <f>IF($F1326="","",IF(IFERROR(VLOOKUP($F1326,'维度字典'!$M$2:$N$50,2,0),"求和")="手工录入","",IF(IFERROR(VLOOKUP($F1326,'维度字典'!$M$2:$N$50,2,0),"求和")="最新值",IFERROR(LOOKUP(9.99E+307,G1326:R1326),""),SUM(G1326:R1326))))</f>
        <v/>
      </c>
      <c r="T1326" s="33" t="n"/>
    </row>
    <row r="1327">
      <c r="A1327" s="26">
        <f>IF($B1327="","",ROW()-3)</f>
        <v/>
      </c>
      <c r="B1327" s="27" t="n"/>
      <c r="C1327" s="27" t="n"/>
      <c r="D1327" s="28" t="n"/>
      <c r="E1327" s="29" t="n"/>
      <c r="F1327" s="30" t="n"/>
      <c r="G1327" s="31" t="n"/>
      <c r="H1327" s="31" t="n"/>
      <c r="I1327" s="31" t="n"/>
      <c r="J1327" s="31" t="n"/>
      <c r="K1327" s="31" t="n"/>
      <c r="L1327" s="31" t="n"/>
      <c r="M1327" s="31" t="n"/>
      <c r="N1327" s="31" t="n"/>
      <c r="O1327" s="31" t="n"/>
      <c r="P1327" s="31" t="n"/>
      <c r="Q1327" s="31" t="n"/>
      <c r="R1327" s="31" t="n"/>
      <c r="S1327" s="32">
        <f>IF($F1327="","",IF(IFERROR(VLOOKUP($F1327,'维度字典'!$M$2:$N$50,2,0),"求和")="手工录入","",IF(IFERROR(VLOOKUP($F1327,'维度字典'!$M$2:$N$50,2,0),"求和")="最新值",IFERROR(LOOKUP(9.99E+307,G1327:R1327),""),SUM(G1327:R1327))))</f>
        <v/>
      </c>
      <c r="T1327" s="33" t="n"/>
    </row>
    <row r="1328">
      <c r="A1328" s="26">
        <f>IF($B1328="","",ROW()-3)</f>
        <v/>
      </c>
      <c r="B1328" s="27" t="n"/>
      <c r="C1328" s="27" t="n"/>
      <c r="D1328" s="28" t="n"/>
      <c r="E1328" s="29" t="n"/>
      <c r="F1328" s="30" t="n"/>
      <c r="G1328" s="31" t="n"/>
      <c r="H1328" s="31" t="n"/>
      <c r="I1328" s="31" t="n"/>
      <c r="J1328" s="31" t="n"/>
      <c r="K1328" s="31" t="n"/>
      <c r="L1328" s="31" t="n"/>
      <c r="M1328" s="31" t="n"/>
      <c r="N1328" s="31" t="n"/>
      <c r="O1328" s="31" t="n"/>
      <c r="P1328" s="31" t="n"/>
      <c r="Q1328" s="31" t="n"/>
      <c r="R1328" s="31" t="n"/>
      <c r="S1328" s="32">
        <f>IF($F1328="","",IF(IFERROR(VLOOKUP($F1328,'维度字典'!$M$2:$N$50,2,0),"求和")="手工录入","",IF(IFERROR(VLOOKUP($F1328,'维度字典'!$M$2:$N$50,2,0),"求和")="最新值",IFERROR(LOOKUP(9.99E+307,G1328:R1328),""),SUM(G1328:R1328))))</f>
        <v/>
      </c>
      <c r="T1328" s="33" t="n"/>
    </row>
    <row r="1329">
      <c r="A1329" s="26">
        <f>IF($B1329="","",ROW()-3)</f>
        <v/>
      </c>
      <c r="B1329" s="27" t="n"/>
      <c r="C1329" s="27" t="n"/>
      <c r="D1329" s="28" t="n"/>
      <c r="E1329" s="29" t="n"/>
      <c r="F1329" s="30" t="n"/>
      <c r="G1329" s="31" t="n"/>
      <c r="H1329" s="31" t="n"/>
      <c r="I1329" s="31" t="n"/>
      <c r="J1329" s="31" t="n"/>
      <c r="K1329" s="31" t="n"/>
      <c r="L1329" s="31" t="n"/>
      <c r="M1329" s="31" t="n"/>
      <c r="N1329" s="31" t="n"/>
      <c r="O1329" s="31" t="n"/>
      <c r="P1329" s="31" t="n"/>
      <c r="Q1329" s="31" t="n"/>
      <c r="R1329" s="31" t="n"/>
      <c r="S1329" s="32">
        <f>IF($F1329="","",IF(IFERROR(VLOOKUP($F1329,'维度字典'!$M$2:$N$50,2,0),"求和")="手工录入","",IF(IFERROR(VLOOKUP($F1329,'维度字典'!$M$2:$N$50,2,0),"求和")="最新值",IFERROR(LOOKUP(9.99E+307,G1329:R1329),""),SUM(G1329:R1329))))</f>
        <v/>
      </c>
      <c r="T1329" s="33" t="n"/>
    </row>
    <row r="1330">
      <c r="A1330" s="26">
        <f>IF($B1330="","",ROW()-3)</f>
        <v/>
      </c>
      <c r="B1330" s="27" t="n"/>
      <c r="C1330" s="27" t="n"/>
      <c r="D1330" s="28" t="n"/>
      <c r="E1330" s="29" t="n"/>
      <c r="F1330" s="30" t="n"/>
      <c r="G1330" s="31" t="n"/>
      <c r="H1330" s="31" t="n"/>
      <c r="I1330" s="31" t="n"/>
      <c r="J1330" s="31" t="n"/>
      <c r="K1330" s="31" t="n"/>
      <c r="L1330" s="31" t="n"/>
      <c r="M1330" s="31" t="n"/>
      <c r="N1330" s="31" t="n"/>
      <c r="O1330" s="31" t="n"/>
      <c r="P1330" s="31" t="n"/>
      <c r="Q1330" s="31" t="n"/>
      <c r="R1330" s="31" t="n"/>
      <c r="S1330" s="32">
        <f>IF($F1330="","",IF(IFERROR(VLOOKUP($F1330,'维度字典'!$M$2:$N$50,2,0),"求和")="手工录入","",IF(IFERROR(VLOOKUP($F1330,'维度字典'!$M$2:$N$50,2,0),"求和")="最新值",IFERROR(LOOKUP(9.99E+307,G1330:R1330),""),SUM(G1330:R1330))))</f>
        <v/>
      </c>
      <c r="T1330" s="33" t="n"/>
    </row>
    <row r="1331">
      <c r="A1331" s="26">
        <f>IF($B1331="","",ROW()-3)</f>
        <v/>
      </c>
      <c r="B1331" s="27" t="n"/>
      <c r="C1331" s="27" t="n"/>
      <c r="D1331" s="28" t="n"/>
      <c r="E1331" s="29" t="n"/>
      <c r="F1331" s="30" t="n"/>
      <c r="G1331" s="31" t="n"/>
      <c r="H1331" s="31" t="n"/>
      <c r="I1331" s="31" t="n"/>
      <c r="J1331" s="31" t="n"/>
      <c r="K1331" s="31" t="n"/>
      <c r="L1331" s="31" t="n"/>
      <c r="M1331" s="31" t="n"/>
      <c r="N1331" s="31" t="n"/>
      <c r="O1331" s="31" t="n"/>
      <c r="P1331" s="31" t="n"/>
      <c r="Q1331" s="31" t="n"/>
      <c r="R1331" s="31" t="n"/>
      <c r="S1331" s="32">
        <f>IF($F1331="","",IF(IFERROR(VLOOKUP($F1331,'维度字典'!$M$2:$N$50,2,0),"求和")="手工录入","",IF(IFERROR(VLOOKUP($F1331,'维度字典'!$M$2:$N$50,2,0),"求和")="最新值",IFERROR(LOOKUP(9.99E+307,G1331:R1331),""),SUM(G1331:R1331))))</f>
        <v/>
      </c>
      <c r="T1331" s="33" t="n"/>
    </row>
    <row r="1332">
      <c r="A1332" s="26">
        <f>IF($B1332="","",ROW()-3)</f>
        <v/>
      </c>
      <c r="B1332" s="27" t="n"/>
      <c r="C1332" s="27" t="n"/>
      <c r="D1332" s="28" t="n"/>
      <c r="E1332" s="29" t="n"/>
      <c r="F1332" s="30" t="n"/>
      <c r="G1332" s="31" t="n"/>
      <c r="H1332" s="31" t="n"/>
      <c r="I1332" s="31" t="n"/>
      <c r="J1332" s="31" t="n"/>
      <c r="K1332" s="31" t="n"/>
      <c r="L1332" s="31" t="n"/>
      <c r="M1332" s="31" t="n"/>
      <c r="N1332" s="31" t="n"/>
      <c r="O1332" s="31" t="n"/>
      <c r="P1332" s="31" t="n"/>
      <c r="Q1332" s="31" t="n"/>
      <c r="R1332" s="31" t="n"/>
      <c r="S1332" s="32">
        <f>IF($F1332="","",IF(IFERROR(VLOOKUP($F1332,'维度字典'!$M$2:$N$50,2,0),"求和")="手工录入","",IF(IFERROR(VLOOKUP($F1332,'维度字典'!$M$2:$N$50,2,0),"求和")="最新值",IFERROR(LOOKUP(9.99E+307,G1332:R1332),""),SUM(G1332:R1332))))</f>
        <v/>
      </c>
      <c r="T1332" s="33" t="n"/>
    </row>
    <row r="1333">
      <c r="A1333" s="26">
        <f>IF($B1333="","",ROW()-3)</f>
        <v/>
      </c>
      <c r="B1333" s="27" t="n"/>
      <c r="C1333" s="27" t="n"/>
      <c r="D1333" s="28" t="n"/>
      <c r="E1333" s="29" t="n"/>
      <c r="F1333" s="30" t="n"/>
      <c r="G1333" s="31" t="n"/>
      <c r="H1333" s="31" t="n"/>
      <c r="I1333" s="31" t="n"/>
      <c r="J1333" s="31" t="n"/>
      <c r="K1333" s="31" t="n"/>
      <c r="L1333" s="31" t="n"/>
      <c r="M1333" s="31" t="n"/>
      <c r="N1333" s="31" t="n"/>
      <c r="O1333" s="31" t="n"/>
      <c r="P1333" s="31" t="n"/>
      <c r="Q1333" s="31" t="n"/>
      <c r="R1333" s="31" t="n"/>
      <c r="S1333" s="32">
        <f>IF($F1333="","",IF(IFERROR(VLOOKUP($F1333,'维度字典'!$M$2:$N$50,2,0),"求和")="手工录入","",IF(IFERROR(VLOOKUP($F1333,'维度字典'!$M$2:$N$50,2,0),"求和")="最新值",IFERROR(LOOKUP(9.99E+307,G1333:R1333),""),SUM(G1333:R1333))))</f>
        <v/>
      </c>
      <c r="T1333" s="33" t="n"/>
    </row>
    <row r="1334">
      <c r="A1334" s="26">
        <f>IF($B1334="","",ROW()-3)</f>
        <v/>
      </c>
      <c r="B1334" s="27" t="n"/>
      <c r="C1334" s="27" t="n"/>
      <c r="D1334" s="28" t="n"/>
      <c r="E1334" s="29" t="n"/>
      <c r="F1334" s="30" t="n"/>
      <c r="G1334" s="31" t="n"/>
      <c r="H1334" s="31" t="n"/>
      <c r="I1334" s="31" t="n"/>
      <c r="J1334" s="31" t="n"/>
      <c r="K1334" s="31" t="n"/>
      <c r="L1334" s="31" t="n"/>
      <c r="M1334" s="31" t="n"/>
      <c r="N1334" s="31" t="n"/>
      <c r="O1334" s="31" t="n"/>
      <c r="P1334" s="31" t="n"/>
      <c r="Q1334" s="31" t="n"/>
      <c r="R1334" s="31" t="n"/>
      <c r="S1334" s="32">
        <f>IF($F1334="","",IF(IFERROR(VLOOKUP($F1334,'维度字典'!$M$2:$N$50,2,0),"求和")="手工录入","",IF(IFERROR(VLOOKUP($F1334,'维度字典'!$M$2:$N$50,2,0),"求和")="最新值",IFERROR(LOOKUP(9.99E+307,G1334:R1334),""),SUM(G1334:R1334))))</f>
        <v/>
      </c>
      <c r="T1334" s="33" t="n"/>
    </row>
    <row r="1335">
      <c r="A1335" s="26">
        <f>IF($B1335="","",ROW()-3)</f>
        <v/>
      </c>
      <c r="B1335" s="27" t="n"/>
      <c r="C1335" s="27" t="n"/>
      <c r="D1335" s="28" t="n"/>
      <c r="E1335" s="29" t="n"/>
      <c r="F1335" s="30" t="n"/>
      <c r="G1335" s="31" t="n"/>
      <c r="H1335" s="31" t="n"/>
      <c r="I1335" s="31" t="n"/>
      <c r="J1335" s="31" t="n"/>
      <c r="K1335" s="31" t="n"/>
      <c r="L1335" s="31" t="n"/>
      <c r="M1335" s="31" t="n"/>
      <c r="N1335" s="31" t="n"/>
      <c r="O1335" s="31" t="n"/>
      <c r="P1335" s="31" t="n"/>
      <c r="Q1335" s="31" t="n"/>
      <c r="R1335" s="31" t="n"/>
      <c r="S1335" s="32">
        <f>IF($F1335="","",IF(IFERROR(VLOOKUP($F1335,'维度字典'!$M$2:$N$50,2,0),"求和")="手工录入","",IF(IFERROR(VLOOKUP($F1335,'维度字典'!$M$2:$N$50,2,0),"求和")="最新值",IFERROR(LOOKUP(9.99E+307,G1335:R1335),""),SUM(G1335:R1335))))</f>
        <v/>
      </c>
      <c r="T1335" s="33" t="n"/>
    </row>
    <row r="1336">
      <c r="A1336" s="26">
        <f>IF($B1336="","",ROW()-3)</f>
        <v/>
      </c>
      <c r="B1336" s="27" t="n"/>
      <c r="C1336" s="27" t="n"/>
      <c r="D1336" s="28" t="n"/>
      <c r="E1336" s="29" t="n"/>
      <c r="F1336" s="30" t="n"/>
      <c r="G1336" s="31" t="n"/>
      <c r="H1336" s="31" t="n"/>
      <c r="I1336" s="31" t="n"/>
      <c r="J1336" s="31" t="n"/>
      <c r="K1336" s="31" t="n"/>
      <c r="L1336" s="31" t="n"/>
      <c r="M1336" s="31" t="n"/>
      <c r="N1336" s="31" t="n"/>
      <c r="O1336" s="31" t="n"/>
      <c r="P1336" s="31" t="n"/>
      <c r="Q1336" s="31" t="n"/>
      <c r="R1336" s="31" t="n"/>
      <c r="S1336" s="32">
        <f>IF($F1336="","",IF(IFERROR(VLOOKUP($F1336,'维度字典'!$M$2:$N$50,2,0),"求和")="手工录入","",IF(IFERROR(VLOOKUP($F1336,'维度字典'!$M$2:$N$50,2,0),"求和")="最新值",IFERROR(LOOKUP(9.99E+307,G1336:R1336),""),SUM(G1336:R1336))))</f>
        <v/>
      </c>
      <c r="T1336" s="33" t="n"/>
    </row>
    <row r="1337">
      <c r="A1337" s="26">
        <f>IF($B1337="","",ROW()-3)</f>
        <v/>
      </c>
      <c r="B1337" s="27" t="n"/>
      <c r="C1337" s="27" t="n"/>
      <c r="D1337" s="28" t="n"/>
      <c r="E1337" s="29" t="n"/>
      <c r="F1337" s="30" t="n"/>
      <c r="G1337" s="31" t="n"/>
      <c r="H1337" s="31" t="n"/>
      <c r="I1337" s="31" t="n"/>
      <c r="J1337" s="31" t="n"/>
      <c r="K1337" s="31" t="n"/>
      <c r="L1337" s="31" t="n"/>
      <c r="M1337" s="31" t="n"/>
      <c r="N1337" s="31" t="n"/>
      <c r="O1337" s="31" t="n"/>
      <c r="P1337" s="31" t="n"/>
      <c r="Q1337" s="31" t="n"/>
      <c r="R1337" s="31" t="n"/>
      <c r="S1337" s="32">
        <f>IF($F1337="","",IF(IFERROR(VLOOKUP($F1337,'维度字典'!$M$2:$N$50,2,0),"求和")="手工录入","",IF(IFERROR(VLOOKUP($F1337,'维度字典'!$M$2:$N$50,2,0),"求和")="最新值",IFERROR(LOOKUP(9.99E+307,G1337:R1337),""),SUM(G1337:R1337))))</f>
        <v/>
      </c>
      <c r="T1337" s="33" t="n"/>
    </row>
    <row r="1338">
      <c r="A1338" s="26">
        <f>IF($B1338="","",ROW()-3)</f>
        <v/>
      </c>
      <c r="B1338" s="27" t="n"/>
      <c r="C1338" s="27" t="n"/>
      <c r="D1338" s="28" t="n"/>
      <c r="E1338" s="29" t="n"/>
      <c r="F1338" s="30" t="n"/>
      <c r="G1338" s="31" t="n"/>
      <c r="H1338" s="31" t="n"/>
      <c r="I1338" s="31" t="n"/>
      <c r="J1338" s="31" t="n"/>
      <c r="K1338" s="31" t="n"/>
      <c r="L1338" s="31" t="n"/>
      <c r="M1338" s="31" t="n"/>
      <c r="N1338" s="31" t="n"/>
      <c r="O1338" s="31" t="n"/>
      <c r="P1338" s="31" t="n"/>
      <c r="Q1338" s="31" t="n"/>
      <c r="R1338" s="31" t="n"/>
      <c r="S1338" s="32">
        <f>IF($F1338="","",IF(IFERROR(VLOOKUP($F1338,'维度字典'!$M$2:$N$50,2,0),"求和")="手工录入","",IF(IFERROR(VLOOKUP($F1338,'维度字典'!$M$2:$N$50,2,0),"求和")="最新值",IFERROR(LOOKUP(9.99E+307,G1338:R1338),""),SUM(G1338:R1338))))</f>
        <v/>
      </c>
      <c r="T1338" s="33" t="n"/>
    </row>
    <row r="1339">
      <c r="A1339" s="26">
        <f>IF($B1339="","",ROW()-3)</f>
        <v/>
      </c>
      <c r="B1339" s="27" t="n"/>
      <c r="C1339" s="27" t="n"/>
      <c r="D1339" s="28" t="n"/>
      <c r="E1339" s="29" t="n"/>
      <c r="F1339" s="30" t="n"/>
      <c r="G1339" s="31" t="n"/>
      <c r="H1339" s="31" t="n"/>
      <c r="I1339" s="31" t="n"/>
      <c r="J1339" s="31" t="n"/>
      <c r="K1339" s="31" t="n"/>
      <c r="L1339" s="31" t="n"/>
      <c r="M1339" s="31" t="n"/>
      <c r="N1339" s="31" t="n"/>
      <c r="O1339" s="31" t="n"/>
      <c r="P1339" s="31" t="n"/>
      <c r="Q1339" s="31" t="n"/>
      <c r="R1339" s="31" t="n"/>
      <c r="S1339" s="32">
        <f>IF($F1339="","",IF(IFERROR(VLOOKUP($F1339,'维度字典'!$M$2:$N$50,2,0),"求和")="手工录入","",IF(IFERROR(VLOOKUP($F1339,'维度字典'!$M$2:$N$50,2,0),"求和")="最新值",IFERROR(LOOKUP(9.99E+307,G1339:R1339),""),SUM(G1339:R1339))))</f>
        <v/>
      </c>
      <c r="T1339" s="33" t="n"/>
    </row>
    <row r="1340">
      <c r="A1340" s="26">
        <f>IF($B1340="","",ROW()-3)</f>
        <v/>
      </c>
      <c r="B1340" s="27" t="n"/>
      <c r="C1340" s="27" t="n"/>
      <c r="D1340" s="28" t="n"/>
      <c r="E1340" s="29" t="n"/>
      <c r="F1340" s="30" t="n"/>
      <c r="G1340" s="31" t="n"/>
      <c r="H1340" s="31" t="n"/>
      <c r="I1340" s="31" t="n"/>
      <c r="J1340" s="31" t="n"/>
      <c r="K1340" s="31" t="n"/>
      <c r="L1340" s="31" t="n"/>
      <c r="M1340" s="31" t="n"/>
      <c r="N1340" s="31" t="n"/>
      <c r="O1340" s="31" t="n"/>
      <c r="P1340" s="31" t="n"/>
      <c r="Q1340" s="31" t="n"/>
      <c r="R1340" s="31" t="n"/>
      <c r="S1340" s="32">
        <f>IF($F1340="","",IF(IFERROR(VLOOKUP($F1340,'维度字典'!$M$2:$N$50,2,0),"求和")="手工录入","",IF(IFERROR(VLOOKUP($F1340,'维度字典'!$M$2:$N$50,2,0),"求和")="最新值",IFERROR(LOOKUP(9.99E+307,G1340:R1340),""),SUM(G1340:R1340))))</f>
        <v/>
      </c>
      <c r="T1340" s="33" t="n"/>
    </row>
    <row r="1341">
      <c r="A1341" s="26">
        <f>IF($B1341="","",ROW()-3)</f>
        <v/>
      </c>
      <c r="B1341" s="27" t="n"/>
      <c r="C1341" s="27" t="n"/>
      <c r="D1341" s="28" t="n"/>
      <c r="E1341" s="29" t="n"/>
      <c r="F1341" s="30" t="n"/>
      <c r="G1341" s="31" t="n"/>
      <c r="H1341" s="31" t="n"/>
      <c r="I1341" s="31" t="n"/>
      <c r="J1341" s="31" t="n"/>
      <c r="K1341" s="31" t="n"/>
      <c r="L1341" s="31" t="n"/>
      <c r="M1341" s="31" t="n"/>
      <c r="N1341" s="31" t="n"/>
      <c r="O1341" s="31" t="n"/>
      <c r="P1341" s="31" t="n"/>
      <c r="Q1341" s="31" t="n"/>
      <c r="R1341" s="31" t="n"/>
      <c r="S1341" s="32">
        <f>IF($F1341="","",IF(IFERROR(VLOOKUP($F1341,'维度字典'!$M$2:$N$50,2,0),"求和")="手工录入","",IF(IFERROR(VLOOKUP($F1341,'维度字典'!$M$2:$N$50,2,0),"求和")="最新值",IFERROR(LOOKUP(9.99E+307,G1341:R1341),""),SUM(G1341:R1341))))</f>
        <v/>
      </c>
      <c r="T1341" s="33" t="n"/>
    </row>
    <row r="1342">
      <c r="A1342" s="26">
        <f>IF($B1342="","",ROW()-3)</f>
        <v/>
      </c>
      <c r="B1342" s="27" t="n"/>
      <c r="C1342" s="27" t="n"/>
      <c r="D1342" s="28" t="n"/>
      <c r="E1342" s="29" t="n"/>
      <c r="F1342" s="30" t="n"/>
      <c r="G1342" s="31" t="n"/>
      <c r="H1342" s="31" t="n"/>
      <c r="I1342" s="31" t="n"/>
      <c r="J1342" s="31" t="n"/>
      <c r="K1342" s="31" t="n"/>
      <c r="L1342" s="31" t="n"/>
      <c r="M1342" s="31" t="n"/>
      <c r="N1342" s="31" t="n"/>
      <c r="O1342" s="31" t="n"/>
      <c r="P1342" s="31" t="n"/>
      <c r="Q1342" s="31" t="n"/>
      <c r="R1342" s="31" t="n"/>
      <c r="S1342" s="32">
        <f>IF($F1342="","",IF(IFERROR(VLOOKUP($F1342,'维度字典'!$M$2:$N$50,2,0),"求和")="手工录入","",IF(IFERROR(VLOOKUP($F1342,'维度字典'!$M$2:$N$50,2,0),"求和")="最新值",IFERROR(LOOKUP(9.99E+307,G1342:R1342),""),SUM(G1342:R1342))))</f>
        <v/>
      </c>
      <c r="T1342" s="33" t="n"/>
    </row>
    <row r="1343">
      <c r="A1343" s="26">
        <f>IF($B1343="","",ROW()-3)</f>
        <v/>
      </c>
      <c r="B1343" s="27" t="n"/>
      <c r="C1343" s="27" t="n"/>
      <c r="D1343" s="28" t="n"/>
      <c r="E1343" s="29" t="n"/>
      <c r="F1343" s="30" t="n"/>
      <c r="G1343" s="31" t="n"/>
      <c r="H1343" s="31" t="n"/>
      <c r="I1343" s="31" t="n"/>
      <c r="J1343" s="31" t="n"/>
      <c r="K1343" s="31" t="n"/>
      <c r="L1343" s="31" t="n"/>
      <c r="M1343" s="31" t="n"/>
      <c r="N1343" s="31" t="n"/>
      <c r="O1343" s="31" t="n"/>
      <c r="P1343" s="31" t="n"/>
      <c r="Q1343" s="31" t="n"/>
      <c r="R1343" s="31" t="n"/>
      <c r="S1343" s="32">
        <f>IF($F1343="","",IF(IFERROR(VLOOKUP($F1343,'维度字典'!$M$2:$N$50,2,0),"求和")="手工录入","",IF(IFERROR(VLOOKUP($F1343,'维度字典'!$M$2:$N$50,2,0),"求和")="最新值",IFERROR(LOOKUP(9.99E+307,G1343:R1343),""),SUM(G1343:R1343))))</f>
        <v/>
      </c>
      <c r="T1343" s="33" t="n"/>
    </row>
    <row r="1344">
      <c r="A1344" s="26">
        <f>IF($B1344="","",ROW()-3)</f>
        <v/>
      </c>
      <c r="B1344" s="27" t="n"/>
      <c r="C1344" s="27" t="n"/>
      <c r="D1344" s="28" t="n"/>
      <c r="E1344" s="29" t="n"/>
      <c r="F1344" s="30" t="n"/>
      <c r="G1344" s="31" t="n"/>
      <c r="H1344" s="31" t="n"/>
      <c r="I1344" s="31" t="n"/>
      <c r="J1344" s="31" t="n"/>
      <c r="K1344" s="31" t="n"/>
      <c r="L1344" s="31" t="n"/>
      <c r="M1344" s="31" t="n"/>
      <c r="N1344" s="31" t="n"/>
      <c r="O1344" s="31" t="n"/>
      <c r="P1344" s="31" t="n"/>
      <c r="Q1344" s="31" t="n"/>
      <c r="R1344" s="31" t="n"/>
      <c r="S1344" s="32">
        <f>IF($F1344="","",IF(IFERROR(VLOOKUP($F1344,'维度字典'!$M$2:$N$50,2,0),"求和")="手工录入","",IF(IFERROR(VLOOKUP($F1344,'维度字典'!$M$2:$N$50,2,0),"求和")="最新值",IFERROR(LOOKUP(9.99E+307,G1344:R1344),""),SUM(G1344:R1344))))</f>
        <v/>
      </c>
      <c r="T1344" s="33" t="n"/>
    </row>
    <row r="1345">
      <c r="A1345" s="26">
        <f>IF($B1345="","",ROW()-3)</f>
        <v/>
      </c>
      <c r="B1345" s="27" t="n"/>
      <c r="C1345" s="27" t="n"/>
      <c r="D1345" s="28" t="n"/>
      <c r="E1345" s="29" t="n"/>
      <c r="F1345" s="30" t="n"/>
      <c r="G1345" s="31" t="n"/>
      <c r="H1345" s="31" t="n"/>
      <c r="I1345" s="31" t="n"/>
      <c r="J1345" s="31" t="n"/>
      <c r="K1345" s="31" t="n"/>
      <c r="L1345" s="31" t="n"/>
      <c r="M1345" s="31" t="n"/>
      <c r="N1345" s="31" t="n"/>
      <c r="O1345" s="31" t="n"/>
      <c r="P1345" s="31" t="n"/>
      <c r="Q1345" s="31" t="n"/>
      <c r="R1345" s="31" t="n"/>
      <c r="S1345" s="32">
        <f>IF($F1345="","",IF(IFERROR(VLOOKUP($F1345,'维度字典'!$M$2:$N$50,2,0),"求和")="手工录入","",IF(IFERROR(VLOOKUP($F1345,'维度字典'!$M$2:$N$50,2,0),"求和")="最新值",IFERROR(LOOKUP(9.99E+307,G1345:R1345),""),SUM(G1345:R1345))))</f>
        <v/>
      </c>
      <c r="T1345" s="33" t="n"/>
    </row>
    <row r="1346">
      <c r="A1346" s="26">
        <f>IF($B1346="","",ROW()-3)</f>
        <v/>
      </c>
      <c r="B1346" s="27" t="n"/>
      <c r="C1346" s="27" t="n"/>
      <c r="D1346" s="28" t="n"/>
      <c r="E1346" s="29" t="n"/>
      <c r="F1346" s="30" t="n"/>
      <c r="G1346" s="31" t="n"/>
      <c r="H1346" s="31" t="n"/>
      <c r="I1346" s="31" t="n"/>
      <c r="J1346" s="31" t="n"/>
      <c r="K1346" s="31" t="n"/>
      <c r="L1346" s="31" t="n"/>
      <c r="M1346" s="31" t="n"/>
      <c r="N1346" s="31" t="n"/>
      <c r="O1346" s="31" t="n"/>
      <c r="P1346" s="31" t="n"/>
      <c r="Q1346" s="31" t="n"/>
      <c r="R1346" s="31" t="n"/>
      <c r="S1346" s="32">
        <f>IF($F1346="","",IF(IFERROR(VLOOKUP($F1346,'维度字典'!$M$2:$N$50,2,0),"求和")="手工录入","",IF(IFERROR(VLOOKUP($F1346,'维度字典'!$M$2:$N$50,2,0),"求和")="最新值",IFERROR(LOOKUP(9.99E+307,G1346:R1346),""),SUM(G1346:R1346))))</f>
        <v/>
      </c>
      <c r="T1346" s="33" t="n"/>
    </row>
    <row r="1347">
      <c r="A1347" s="26">
        <f>IF($B1347="","",ROW()-3)</f>
        <v/>
      </c>
      <c r="B1347" s="27" t="n"/>
      <c r="C1347" s="27" t="n"/>
      <c r="D1347" s="28" t="n"/>
      <c r="E1347" s="29" t="n"/>
      <c r="F1347" s="30" t="n"/>
      <c r="G1347" s="31" t="n"/>
      <c r="H1347" s="31" t="n"/>
      <c r="I1347" s="31" t="n"/>
      <c r="J1347" s="31" t="n"/>
      <c r="K1347" s="31" t="n"/>
      <c r="L1347" s="31" t="n"/>
      <c r="M1347" s="31" t="n"/>
      <c r="N1347" s="31" t="n"/>
      <c r="O1347" s="31" t="n"/>
      <c r="P1347" s="31" t="n"/>
      <c r="Q1347" s="31" t="n"/>
      <c r="R1347" s="31" t="n"/>
      <c r="S1347" s="32">
        <f>IF($F1347="","",IF(IFERROR(VLOOKUP($F1347,'维度字典'!$M$2:$N$50,2,0),"求和")="手工录入","",IF(IFERROR(VLOOKUP($F1347,'维度字典'!$M$2:$N$50,2,0),"求和")="最新值",IFERROR(LOOKUP(9.99E+307,G1347:R1347),""),SUM(G1347:R1347))))</f>
        <v/>
      </c>
      <c r="T1347" s="33" t="n"/>
    </row>
    <row r="1348">
      <c r="A1348" s="26">
        <f>IF($B1348="","",ROW()-3)</f>
        <v/>
      </c>
      <c r="B1348" s="27" t="n"/>
      <c r="C1348" s="27" t="n"/>
      <c r="D1348" s="28" t="n"/>
      <c r="E1348" s="29" t="n"/>
      <c r="F1348" s="30" t="n"/>
      <c r="G1348" s="31" t="n"/>
      <c r="H1348" s="31" t="n"/>
      <c r="I1348" s="31" t="n"/>
      <c r="J1348" s="31" t="n"/>
      <c r="K1348" s="31" t="n"/>
      <c r="L1348" s="31" t="n"/>
      <c r="M1348" s="31" t="n"/>
      <c r="N1348" s="31" t="n"/>
      <c r="O1348" s="31" t="n"/>
      <c r="P1348" s="31" t="n"/>
      <c r="Q1348" s="31" t="n"/>
      <c r="R1348" s="31" t="n"/>
      <c r="S1348" s="32">
        <f>IF($F1348="","",IF(IFERROR(VLOOKUP($F1348,'维度字典'!$M$2:$N$50,2,0),"求和")="手工录入","",IF(IFERROR(VLOOKUP($F1348,'维度字典'!$M$2:$N$50,2,0),"求和")="最新值",IFERROR(LOOKUP(9.99E+307,G1348:R1348),""),SUM(G1348:R1348))))</f>
        <v/>
      </c>
      <c r="T1348" s="33" t="n"/>
    </row>
    <row r="1349">
      <c r="A1349" s="26">
        <f>IF($B1349="","",ROW()-3)</f>
        <v/>
      </c>
      <c r="B1349" s="27" t="n"/>
      <c r="C1349" s="27" t="n"/>
      <c r="D1349" s="28" t="n"/>
      <c r="E1349" s="29" t="n"/>
      <c r="F1349" s="30" t="n"/>
      <c r="G1349" s="31" t="n"/>
      <c r="H1349" s="31" t="n"/>
      <c r="I1349" s="31" t="n"/>
      <c r="J1349" s="31" t="n"/>
      <c r="K1349" s="31" t="n"/>
      <c r="L1349" s="31" t="n"/>
      <c r="M1349" s="31" t="n"/>
      <c r="N1349" s="31" t="n"/>
      <c r="O1349" s="31" t="n"/>
      <c r="P1349" s="31" t="n"/>
      <c r="Q1349" s="31" t="n"/>
      <c r="R1349" s="31" t="n"/>
      <c r="S1349" s="32">
        <f>IF($F1349="","",IF(IFERROR(VLOOKUP($F1349,'维度字典'!$M$2:$N$50,2,0),"求和")="手工录入","",IF(IFERROR(VLOOKUP($F1349,'维度字典'!$M$2:$N$50,2,0),"求和")="最新值",IFERROR(LOOKUP(9.99E+307,G1349:R1349),""),SUM(G1349:R1349))))</f>
        <v/>
      </c>
      <c r="T1349" s="33" t="n"/>
    </row>
    <row r="1350">
      <c r="A1350" s="26">
        <f>IF($B1350="","",ROW()-3)</f>
        <v/>
      </c>
      <c r="B1350" s="27" t="n"/>
      <c r="C1350" s="27" t="n"/>
      <c r="D1350" s="28" t="n"/>
      <c r="E1350" s="29" t="n"/>
      <c r="F1350" s="30" t="n"/>
      <c r="G1350" s="31" t="n"/>
      <c r="H1350" s="31" t="n"/>
      <c r="I1350" s="31" t="n"/>
      <c r="J1350" s="31" t="n"/>
      <c r="K1350" s="31" t="n"/>
      <c r="L1350" s="31" t="n"/>
      <c r="M1350" s="31" t="n"/>
      <c r="N1350" s="31" t="n"/>
      <c r="O1350" s="31" t="n"/>
      <c r="P1350" s="31" t="n"/>
      <c r="Q1350" s="31" t="n"/>
      <c r="R1350" s="31" t="n"/>
      <c r="S1350" s="32">
        <f>IF($F1350="","",IF(IFERROR(VLOOKUP($F1350,'维度字典'!$M$2:$N$50,2,0),"求和")="手工录入","",IF(IFERROR(VLOOKUP($F1350,'维度字典'!$M$2:$N$50,2,0),"求和")="最新值",IFERROR(LOOKUP(9.99E+307,G1350:R1350),""),SUM(G1350:R1350))))</f>
        <v/>
      </c>
      <c r="T1350" s="33" t="n"/>
    </row>
    <row r="1351">
      <c r="A1351" s="26">
        <f>IF($B1351="","",ROW()-3)</f>
        <v/>
      </c>
      <c r="B1351" s="27" t="n"/>
      <c r="C1351" s="27" t="n"/>
      <c r="D1351" s="28" t="n"/>
      <c r="E1351" s="29" t="n"/>
      <c r="F1351" s="30" t="n"/>
      <c r="G1351" s="31" t="n"/>
      <c r="H1351" s="31" t="n"/>
      <c r="I1351" s="31" t="n"/>
      <c r="J1351" s="31" t="n"/>
      <c r="K1351" s="31" t="n"/>
      <c r="L1351" s="31" t="n"/>
      <c r="M1351" s="31" t="n"/>
      <c r="N1351" s="31" t="n"/>
      <c r="O1351" s="31" t="n"/>
      <c r="P1351" s="31" t="n"/>
      <c r="Q1351" s="31" t="n"/>
      <c r="R1351" s="31" t="n"/>
      <c r="S1351" s="32">
        <f>IF($F1351="","",IF(IFERROR(VLOOKUP($F1351,'维度字典'!$M$2:$N$50,2,0),"求和")="手工录入","",IF(IFERROR(VLOOKUP($F1351,'维度字典'!$M$2:$N$50,2,0),"求和")="最新值",IFERROR(LOOKUP(9.99E+307,G1351:R1351),""),SUM(G1351:R1351))))</f>
        <v/>
      </c>
      <c r="T1351" s="33" t="n"/>
    </row>
    <row r="1352">
      <c r="A1352" s="26">
        <f>IF($B1352="","",ROW()-3)</f>
        <v/>
      </c>
      <c r="B1352" s="27" t="n"/>
      <c r="C1352" s="27" t="n"/>
      <c r="D1352" s="28" t="n"/>
      <c r="E1352" s="29" t="n"/>
      <c r="F1352" s="30" t="n"/>
      <c r="G1352" s="31" t="n"/>
      <c r="H1352" s="31" t="n"/>
      <c r="I1352" s="31" t="n"/>
      <c r="J1352" s="31" t="n"/>
      <c r="K1352" s="31" t="n"/>
      <c r="L1352" s="31" t="n"/>
      <c r="M1352" s="31" t="n"/>
      <c r="N1352" s="31" t="n"/>
      <c r="O1352" s="31" t="n"/>
      <c r="P1352" s="31" t="n"/>
      <c r="Q1352" s="31" t="n"/>
      <c r="R1352" s="31" t="n"/>
      <c r="S1352" s="32">
        <f>IF($F1352="","",IF(IFERROR(VLOOKUP($F1352,'维度字典'!$M$2:$N$50,2,0),"求和")="手工录入","",IF(IFERROR(VLOOKUP($F1352,'维度字典'!$M$2:$N$50,2,0),"求和")="最新值",IFERROR(LOOKUP(9.99E+307,G1352:R1352),""),SUM(G1352:R1352))))</f>
        <v/>
      </c>
      <c r="T1352" s="33" t="n"/>
    </row>
    <row r="1353">
      <c r="A1353" s="26">
        <f>IF($B1353="","",ROW()-3)</f>
        <v/>
      </c>
      <c r="B1353" s="27" t="n"/>
      <c r="C1353" s="27" t="n"/>
      <c r="D1353" s="28" t="n"/>
      <c r="E1353" s="29" t="n"/>
      <c r="F1353" s="30" t="n"/>
      <c r="G1353" s="31" t="n"/>
      <c r="H1353" s="31" t="n"/>
      <c r="I1353" s="31" t="n"/>
      <c r="J1353" s="31" t="n"/>
      <c r="K1353" s="31" t="n"/>
      <c r="L1353" s="31" t="n"/>
      <c r="M1353" s="31" t="n"/>
      <c r="N1353" s="31" t="n"/>
      <c r="O1353" s="31" t="n"/>
      <c r="P1353" s="31" t="n"/>
      <c r="Q1353" s="31" t="n"/>
      <c r="R1353" s="31" t="n"/>
      <c r="S1353" s="32">
        <f>IF($F1353="","",IF(IFERROR(VLOOKUP($F1353,'维度字典'!$M$2:$N$50,2,0),"求和")="手工录入","",IF(IFERROR(VLOOKUP($F1353,'维度字典'!$M$2:$N$50,2,0),"求和")="最新值",IFERROR(LOOKUP(9.99E+307,G1353:R1353),""),SUM(G1353:R1353))))</f>
        <v/>
      </c>
      <c r="T1353" s="33" t="n"/>
    </row>
    <row r="1354">
      <c r="A1354" s="26">
        <f>IF($B1354="","",ROW()-3)</f>
        <v/>
      </c>
      <c r="B1354" s="27" t="n"/>
      <c r="C1354" s="27" t="n"/>
      <c r="D1354" s="28" t="n"/>
      <c r="E1354" s="29" t="n"/>
      <c r="F1354" s="30" t="n"/>
      <c r="G1354" s="31" t="n"/>
      <c r="H1354" s="31" t="n"/>
      <c r="I1354" s="31" t="n"/>
      <c r="J1354" s="31" t="n"/>
      <c r="K1354" s="31" t="n"/>
      <c r="L1354" s="31" t="n"/>
      <c r="M1354" s="31" t="n"/>
      <c r="N1354" s="31" t="n"/>
      <c r="O1354" s="31" t="n"/>
      <c r="P1354" s="31" t="n"/>
      <c r="Q1354" s="31" t="n"/>
      <c r="R1354" s="31" t="n"/>
      <c r="S1354" s="32">
        <f>IF($F1354="","",IF(IFERROR(VLOOKUP($F1354,'维度字典'!$M$2:$N$50,2,0),"求和")="手工录入","",IF(IFERROR(VLOOKUP($F1354,'维度字典'!$M$2:$N$50,2,0),"求和")="最新值",IFERROR(LOOKUP(9.99E+307,G1354:R1354),""),SUM(G1354:R1354))))</f>
        <v/>
      </c>
      <c r="T1354" s="33" t="n"/>
    </row>
    <row r="1355">
      <c r="A1355" s="26">
        <f>IF($B1355="","",ROW()-3)</f>
        <v/>
      </c>
      <c r="B1355" s="27" t="n"/>
      <c r="C1355" s="27" t="n"/>
      <c r="D1355" s="28" t="n"/>
      <c r="E1355" s="29" t="n"/>
      <c r="F1355" s="30" t="n"/>
      <c r="G1355" s="31" t="n"/>
      <c r="H1355" s="31" t="n"/>
      <c r="I1355" s="31" t="n"/>
      <c r="J1355" s="31" t="n"/>
      <c r="K1355" s="31" t="n"/>
      <c r="L1355" s="31" t="n"/>
      <c r="M1355" s="31" t="n"/>
      <c r="N1355" s="31" t="n"/>
      <c r="O1355" s="31" t="n"/>
      <c r="P1355" s="31" t="n"/>
      <c r="Q1355" s="31" t="n"/>
      <c r="R1355" s="31" t="n"/>
      <c r="S1355" s="32">
        <f>IF($F1355="","",IF(IFERROR(VLOOKUP($F1355,'维度字典'!$M$2:$N$50,2,0),"求和")="手工录入","",IF(IFERROR(VLOOKUP($F1355,'维度字典'!$M$2:$N$50,2,0),"求和")="最新值",IFERROR(LOOKUP(9.99E+307,G1355:R1355),""),SUM(G1355:R1355))))</f>
        <v/>
      </c>
      <c r="T1355" s="33" t="n"/>
    </row>
    <row r="1356">
      <c r="A1356" s="26">
        <f>IF($B1356="","",ROW()-3)</f>
        <v/>
      </c>
      <c r="B1356" s="27" t="n"/>
      <c r="C1356" s="27" t="n"/>
      <c r="D1356" s="28" t="n"/>
      <c r="E1356" s="29" t="n"/>
      <c r="F1356" s="30" t="n"/>
      <c r="G1356" s="31" t="n"/>
      <c r="H1356" s="31" t="n"/>
      <c r="I1356" s="31" t="n"/>
      <c r="J1356" s="31" t="n"/>
      <c r="K1356" s="31" t="n"/>
      <c r="L1356" s="31" t="n"/>
      <c r="M1356" s="31" t="n"/>
      <c r="N1356" s="31" t="n"/>
      <c r="O1356" s="31" t="n"/>
      <c r="P1356" s="31" t="n"/>
      <c r="Q1356" s="31" t="n"/>
      <c r="R1356" s="31" t="n"/>
      <c r="S1356" s="32">
        <f>IF($F1356="","",IF(IFERROR(VLOOKUP($F1356,'维度字典'!$M$2:$N$50,2,0),"求和")="手工录入","",IF(IFERROR(VLOOKUP($F1356,'维度字典'!$M$2:$N$50,2,0),"求和")="最新值",IFERROR(LOOKUP(9.99E+307,G1356:R1356),""),SUM(G1356:R1356))))</f>
        <v/>
      </c>
      <c r="T1356" s="33" t="n"/>
    </row>
    <row r="1357">
      <c r="A1357" s="26">
        <f>IF($B1357="","",ROW()-3)</f>
        <v/>
      </c>
      <c r="B1357" s="27" t="n"/>
      <c r="C1357" s="27" t="n"/>
      <c r="D1357" s="28" t="n"/>
      <c r="E1357" s="29" t="n"/>
      <c r="F1357" s="30" t="n"/>
      <c r="G1357" s="31" t="n"/>
      <c r="H1357" s="31" t="n"/>
      <c r="I1357" s="31" t="n"/>
      <c r="J1357" s="31" t="n"/>
      <c r="K1357" s="31" t="n"/>
      <c r="L1357" s="31" t="n"/>
      <c r="M1357" s="31" t="n"/>
      <c r="N1357" s="31" t="n"/>
      <c r="O1357" s="31" t="n"/>
      <c r="P1357" s="31" t="n"/>
      <c r="Q1357" s="31" t="n"/>
      <c r="R1357" s="31" t="n"/>
      <c r="S1357" s="32">
        <f>IF($F1357="","",IF(IFERROR(VLOOKUP($F1357,'维度字典'!$M$2:$N$50,2,0),"求和")="手工录入","",IF(IFERROR(VLOOKUP($F1357,'维度字典'!$M$2:$N$50,2,0),"求和")="最新值",IFERROR(LOOKUP(9.99E+307,G1357:R1357),""),SUM(G1357:R1357))))</f>
        <v/>
      </c>
      <c r="T1357" s="33" t="n"/>
    </row>
    <row r="1358">
      <c r="A1358" s="26">
        <f>IF($B1358="","",ROW()-3)</f>
        <v/>
      </c>
      <c r="B1358" s="27" t="n"/>
      <c r="C1358" s="27" t="n"/>
      <c r="D1358" s="28" t="n"/>
      <c r="E1358" s="29" t="n"/>
      <c r="F1358" s="30" t="n"/>
      <c r="G1358" s="31" t="n"/>
      <c r="H1358" s="31" t="n"/>
      <c r="I1358" s="31" t="n"/>
      <c r="J1358" s="31" t="n"/>
      <c r="K1358" s="31" t="n"/>
      <c r="L1358" s="31" t="n"/>
      <c r="M1358" s="31" t="n"/>
      <c r="N1358" s="31" t="n"/>
      <c r="O1358" s="31" t="n"/>
      <c r="P1358" s="31" t="n"/>
      <c r="Q1358" s="31" t="n"/>
      <c r="R1358" s="31" t="n"/>
      <c r="S1358" s="32">
        <f>IF($F1358="","",IF(IFERROR(VLOOKUP($F1358,'维度字典'!$M$2:$N$50,2,0),"求和")="手工录入","",IF(IFERROR(VLOOKUP($F1358,'维度字典'!$M$2:$N$50,2,0),"求和")="最新值",IFERROR(LOOKUP(9.99E+307,G1358:R1358),""),SUM(G1358:R1358))))</f>
        <v/>
      </c>
      <c r="T1358" s="33" t="n"/>
    </row>
    <row r="1359">
      <c r="A1359" s="26">
        <f>IF($B1359="","",ROW()-3)</f>
        <v/>
      </c>
      <c r="B1359" s="27" t="n"/>
      <c r="C1359" s="27" t="n"/>
      <c r="D1359" s="28" t="n"/>
      <c r="E1359" s="29" t="n"/>
      <c r="F1359" s="30" t="n"/>
      <c r="G1359" s="31" t="n"/>
      <c r="H1359" s="31" t="n"/>
      <c r="I1359" s="31" t="n"/>
      <c r="J1359" s="31" t="n"/>
      <c r="K1359" s="31" t="n"/>
      <c r="L1359" s="31" t="n"/>
      <c r="M1359" s="31" t="n"/>
      <c r="N1359" s="31" t="n"/>
      <c r="O1359" s="31" t="n"/>
      <c r="P1359" s="31" t="n"/>
      <c r="Q1359" s="31" t="n"/>
      <c r="R1359" s="31" t="n"/>
      <c r="S1359" s="32">
        <f>IF($F1359="","",IF(IFERROR(VLOOKUP($F1359,'维度字典'!$M$2:$N$50,2,0),"求和")="手工录入","",IF(IFERROR(VLOOKUP($F1359,'维度字典'!$M$2:$N$50,2,0),"求和")="最新值",IFERROR(LOOKUP(9.99E+307,G1359:R1359),""),SUM(G1359:R1359))))</f>
        <v/>
      </c>
      <c r="T1359" s="33" t="n"/>
    </row>
    <row r="1360">
      <c r="A1360" s="26">
        <f>IF($B1360="","",ROW()-3)</f>
        <v/>
      </c>
      <c r="B1360" s="27" t="n"/>
      <c r="C1360" s="27" t="n"/>
      <c r="D1360" s="28" t="n"/>
      <c r="E1360" s="29" t="n"/>
      <c r="F1360" s="30" t="n"/>
      <c r="G1360" s="31" t="n"/>
      <c r="H1360" s="31" t="n"/>
      <c r="I1360" s="31" t="n"/>
      <c r="J1360" s="31" t="n"/>
      <c r="K1360" s="31" t="n"/>
      <c r="L1360" s="31" t="n"/>
      <c r="M1360" s="31" t="n"/>
      <c r="N1360" s="31" t="n"/>
      <c r="O1360" s="31" t="n"/>
      <c r="P1360" s="31" t="n"/>
      <c r="Q1360" s="31" t="n"/>
      <c r="R1360" s="31" t="n"/>
      <c r="S1360" s="32">
        <f>IF($F1360="","",IF(IFERROR(VLOOKUP($F1360,'维度字典'!$M$2:$N$50,2,0),"求和")="手工录入","",IF(IFERROR(VLOOKUP($F1360,'维度字典'!$M$2:$N$50,2,0),"求和")="最新值",IFERROR(LOOKUP(9.99E+307,G1360:R1360),""),SUM(G1360:R1360))))</f>
        <v/>
      </c>
      <c r="T1360" s="33" t="n"/>
    </row>
    <row r="1361">
      <c r="A1361" s="26">
        <f>IF($B1361="","",ROW()-3)</f>
        <v/>
      </c>
      <c r="B1361" s="27" t="n"/>
      <c r="C1361" s="27" t="n"/>
      <c r="D1361" s="28" t="n"/>
      <c r="E1361" s="29" t="n"/>
      <c r="F1361" s="30" t="n"/>
      <c r="G1361" s="31" t="n"/>
      <c r="H1361" s="31" t="n"/>
      <c r="I1361" s="31" t="n"/>
      <c r="J1361" s="31" t="n"/>
      <c r="K1361" s="31" t="n"/>
      <c r="L1361" s="31" t="n"/>
      <c r="M1361" s="31" t="n"/>
      <c r="N1361" s="31" t="n"/>
      <c r="O1361" s="31" t="n"/>
      <c r="P1361" s="31" t="n"/>
      <c r="Q1361" s="31" t="n"/>
      <c r="R1361" s="31" t="n"/>
      <c r="S1361" s="32">
        <f>IF($F1361="","",IF(IFERROR(VLOOKUP($F1361,'维度字典'!$M$2:$N$50,2,0),"求和")="手工录入","",IF(IFERROR(VLOOKUP($F1361,'维度字典'!$M$2:$N$50,2,0),"求和")="最新值",IFERROR(LOOKUP(9.99E+307,G1361:R1361),""),SUM(G1361:R1361))))</f>
        <v/>
      </c>
      <c r="T1361" s="33" t="n"/>
    </row>
    <row r="1362">
      <c r="A1362" s="26">
        <f>IF($B1362="","",ROW()-3)</f>
        <v/>
      </c>
      <c r="B1362" s="27" t="n"/>
      <c r="C1362" s="27" t="n"/>
      <c r="D1362" s="28" t="n"/>
      <c r="E1362" s="29" t="n"/>
      <c r="F1362" s="30" t="n"/>
      <c r="G1362" s="31" t="n"/>
      <c r="H1362" s="31" t="n"/>
      <c r="I1362" s="31" t="n"/>
      <c r="J1362" s="31" t="n"/>
      <c r="K1362" s="31" t="n"/>
      <c r="L1362" s="31" t="n"/>
      <c r="M1362" s="31" t="n"/>
      <c r="N1362" s="31" t="n"/>
      <c r="O1362" s="31" t="n"/>
      <c r="P1362" s="31" t="n"/>
      <c r="Q1362" s="31" t="n"/>
      <c r="R1362" s="31" t="n"/>
      <c r="S1362" s="32">
        <f>IF($F1362="","",IF(IFERROR(VLOOKUP($F1362,'维度字典'!$M$2:$N$50,2,0),"求和")="手工录入","",IF(IFERROR(VLOOKUP($F1362,'维度字典'!$M$2:$N$50,2,0),"求和")="最新值",IFERROR(LOOKUP(9.99E+307,G1362:R1362),""),SUM(G1362:R1362))))</f>
        <v/>
      </c>
      <c r="T1362" s="33" t="n"/>
    </row>
    <row r="1363">
      <c r="A1363" s="26">
        <f>IF($B1363="","",ROW()-3)</f>
        <v/>
      </c>
      <c r="B1363" s="27" t="n"/>
      <c r="C1363" s="27" t="n"/>
      <c r="D1363" s="28" t="n"/>
      <c r="E1363" s="29" t="n"/>
      <c r="F1363" s="30" t="n"/>
      <c r="G1363" s="31" t="n"/>
      <c r="H1363" s="31" t="n"/>
      <c r="I1363" s="31" t="n"/>
      <c r="J1363" s="31" t="n"/>
      <c r="K1363" s="31" t="n"/>
      <c r="L1363" s="31" t="n"/>
      <c r="M1363" s="31" t="n"/>
      <c r="N1363" s="31" t="n"/>
      <c r="O1363" s="31" t="n"/>
      <c r="P1363" s="31" t="n"/>
      <c r="Q1363" s="31" t="n"/>
      <c r="R1363" s="31" t="n"/>
      <c r="S1363" s="32">
        <f>IF($F1363="","",IF(IFERROR(VLOOKUP($F1363,'维度字典'!$M$2:$N$50,2,0),"求和")="手工录入","",IF(IFERROR(VLOOKUP($F1363,'维度字典'!$M$2:$N$50,2,0),"求和")="最新值",IFERROR(LOOKUP(9.99E+307,G1363:R1363),""),SUM(G1363:R1363))))</f>
        <v/>
      </c>
      <c r="T1363" s="33" t="n"/>
    </row>
    <row r="1364">
      <c r="A1364" s="26">
        <f>IF($B1364="","",ROW()-3)</f>
        <v/>
      </c>
      <c r="B1364" s="27" t="n"/>
      <c r="C1364" s="27" t="n"/>
      <c r="D1364" s="28" t="n"/>
      <c r="E1364" s="29" t="n"/>
      <c r="F1364" s="30" t="n"/>
      <c r="G1364" s="31" t="n"/>
      <c r="H1364" s="31" t="n"/>
      <c r="I1364" s="31" t="n"/>
      <c r="J1364" s="31" t="n"/>
      <c r="K1364" s="31" t="n"/>
      <c r="L1364" s="31" t="n"/>
      <c r="M1364" s="31" t="n"/>
      <c r="N1364" s="31" t="n"/>
      <c r="O1364" s="31" t="n"/>
      <c r="P1364" s="31" t="n"/>
      <c r="Q1364" s="31" t="n"/>
      <c r="R1364" s="31" t="n"/>
      <c r="S1364" s="32">
        <f>IF($F1364="","",IF(IFERROR(VLOOKUP($F1364,'维度字典'!$M$2:$N$50,2,0),"求和")="手工录入","",IF(IFERROR(VLOOKUP($F1364,'维度字典'!$M$2:$N$50,2,0),"求和")="最新值",IFERROR(LOOKUP(9.99E+307,G1364:R1364),""),SUM(G1364:R1364))))</f>
        <v/>
      </c>
      <c r="T1364" s="33" t="n"/>
    </row>
    <row r="1365">
      <c r="A1365" s="26">
        <f>IF($B1365="","",ROW()-3)</f>
        <v/>
      </c>
      <c r="B1365" s="27" t="n"/>
      <c r="C1365" s="27" t="n"/>
      <c r="D1365" s="28" t="n"/>
      <c r="E1365" s="29" t="n"/>
      <c r="F1365" s="30" t="n"/>
      <c r="G1365" s="31" t="n"/>
      <c r="H1365" s="31" t="n"/>
      <c r="I1365" s="31" t="n"/>
      <c r="J1365" s="31" t="n"/>
      <c r="K1365" s="31" t="n"/>
      <c r="L1365" s="31" t="n"/>
      <c r="M1365" s="31" t="n"/>
      <c r="N1365" s="31" t="n"/>
      <c r="O1365" s="31" t="n"/>
      <c r="P1365" s="31" t="n"/>
      <c r="Q1365" s="31" t="n"/>
      <c r="R1365" s="31" t="n"/>
      <c r="S1365" s="32">
        <f>IF($F1365="","",IF(IFERROR(VLOOKUP($F1365,'维度字典'!$M$2:$N$50,2,0),"求和")="手工录入","",IF(IFERROR(VLOOKUP($F1365,'维度字典'!$M$2:$N$50,2,0),"求和")="最新值",IFERROR(LOOKUP(9.99E+307,G1365:R1365),""),SUM(G1365:R1365))))</f>
        <v/>
      </c>
      <c r="T1365" s="33" t="n"/>
    </row>
    <row r="1366">
      <c r="A1366" s="26">
        <f>IF($B1366="","",ROW()-3)</f>
        <v/>
      </c>
      <c r="B1366" s="27" t="n"/>
      <c r="C1366" s="27" t="n"/>
      <c r="D1366" s="28" t="n"/>
      <c r="E1366" s="29" t="n"/>
      <c r="F1366" s="30" t="n"/>
      <c r="G1366" s="31" t="n"/>
      <c r="H1366" s="31" t="n"/>
      <c r="I1366" s="31" t="n"/>
      <c r="J1366" s="31" t="n"/>
      <c r="K1366" s="31" t="n"/>
      <c r="L1366" s="31" t="n"/>
      <c r="M1366" s="31" t="n"/>
      <c r="N1366" s="31" t="n"/>
      <c r="O1366" s="31" t="n"/>
      <c r="P1366" s="31" t="n"/>
      <c r="Q1366" s="31" t="n"/>
      <c r="R1366" s="31" t="n"/>
      <c r="S1366" s="32">
        <f>IF($F1366="","",IF(IFERROR(VLOOKUP($F1366,'维度字典'!$M$2:$N$50,2,0),"求和")="手工录入","",IF(IFERROR(VLOOKUP($F1366,'维度字典'!$M$2:$N$50,2,0),"求和")="最新值",IFERROR(LOOKUP(9.99E+307,G1366:R1366),""),SUM(G1366:R1366))))</f>
        <v/>
      </c>
      <c r="T1366" s="33" t="n"/>
    </row>
    <row r="1367">
      <c r="A1367" s="26">
        <f>IF($B1367="","",ROW()-3)</f>
        <v/>
      </c>
      <c r="B1367" s="27" t="n"/>
      <c r="C1367" s="27" t="n"/>
      <c r="D1367" s="28" t="n"/>
      <c r="E1367" s="29" t="n"/>
      <c r="F1367" s="30" t="n"/>
      <c r="G1367" s="31" t="n"/>
      <c r="H1367" s="31" t="n"/>
      <c r="I1367" s="31" t="n"/>
      <c r="J1367" s="31" t="n"/>
      <c r="K1367" s="31" t="n"/>
      <c r="L1367" s="31" t="n"/>
      <c r="M1367" s="31" t="n"/>
      <c r="N1367" s="31" t="n"/>
      <c r="O1367" s="31" t="n"/>
      <c r="P1367" s="31" t="n"/>
      <c r="Q1367" s="31" t="n"/>
      <c r="R1367" s="31" t="n"/>
      <c r="S1367" s="32">
        <f>IF($F1367="","",IF(IFERROR(VLOOKUP($F1367,'维度字典'!$M$2:$N$50,2,0),"求和")="手工录入","",IF(IFERROR(VLOOKUP($F1367,'维度字典'!$M$2:$N$50,2,0),"求和")="最新值",IFERROR(LOOKUP(9.99E+307,G1367:R1367),""),SUM(G1367:R1367))))</f>
        <v/>
      </c>
      <c r="T1367" s="33" t="n"/>
    </row>
    <row r="1368">
      <c r="A1368" s="26">
        <f>IF($B1368="","",ROW()-3)</f>
        <v/>
      </c>
      <c r="B1368" s="27" t="n"/>
      <c r="C1368" s="27" t="n"/>
      <c r="D1368" s="28" t="n"/>
      <c r="E1368" s="29" t="n"/>
      <c r="F1368" s="30" t="n"/>
      <c r="G1368" s="31" t="n"/>
      <c r="H1368" s="31" t="n"/>
      <c r="I1368" s="31" t="n"/>
      <c r="J1368" s="31" t="n"/>
      <c r="K1368" s="31" t="n"/>
      <c r="L1368" s="31" t="n"/>
      <c r="M1368" s="31" t="n"/>
      <c r="N1368" s="31" t="n"/>
      <c r="O1368" s="31" t="n"/>
      <c r="P1368" s="31" t="n"/>
      <c r="Q1368" s="31" t="n"/>
      <c r="R1368" s="31" t="n"/>
      <c r="S1368" s="32">
        <f>IF($F1368="","",IF(IFERROR(VLOOKUP($F1368,'维度字典'!$M$2:$N$50,2,0),"求和")="手工录入","",IF(IFERROR(VLOOKUP($F1368,'维度字典'!$M$2:$N$50,2,0),"求和")="最新值",IFERROR(LOOKUP(9.99E+307,G1368:R1368),""),SUM(G1368:R1368))))</f>
        <v/>
      </c>
      <c r="T1368" s="33" t="n"/>
    </row>
    <row r="1369">
      <c r="A1369" s="26">
        <f>IF($B1369="","",ROW()-3)</f>
        <v/>
      </c>
      <c r="B1369" s="27" t="n"/>
      <c r="C1369" s="27" t="n"/>
      <c r="D1369" s="28" t="n"/>
      <c r="E1369" s="29" t="n"/>
      <c r="F1369" s="30" t="n"/>
      <c r="G1369" s="31" t="n"/>
      <c r="H1369" s="31" t="n"/>
      <c r="I1369" s="31" t="n"/>
      <c r="J1369" s="31" t="n"/>
      <c r="K1369" s="31" t="n"/>
      <c r="L1369" s="31" t="n"/>
      <c r="M1369" s="31" t="n"/>
      <c r="N1369" s="31" t="n"/>
      <c r="O1369" s="31" t="n"/>
      <c r="P1369" s="31" t="n"/>
      <c r="Q1369" s="31" t="n"/>
      <c r="R1369" s="31" t="n"/>
      <c r="S1369" s="32">
        <f>IF($F1369="","",IF(IFERROR(VLOOKUP($F1369,'维度字典'!$M$2:$N$50,2,0),"求和")="手工录入","",IF(IFERROR(VLOOKUP($F1369,'维度字典'!$M$2:$N$50,2,0),"求和")="最新值",IFERROR(LOOKUP(9.99E+307,G1369:R1369),""),SUM(G1369:R1369))))</f>
        <v/>
      </c>
      <c r="T1369" s="33" t="n"/>
    </row>
    <row r="1370">
      <c r="A1370" s="26">
        <f>IF($B1370="","",ROW()-3)</f>
        <v/>
      </c>
      <c r="B1370" s="27" t="n"/>
      <c r="C1370" s="27" t="n"/>
      <c r="D1370" s="28" t="n"/>
      <c r="E1370" s="29" t="n"/>
      <c r="F1370" s="30" t="n"/>
      <c r="G1370" s="31" t="n"/>
      <c r="H1370" s="31" t="n"/>
      <c r="I1370" s="31" t="n"/>
      <c r="J1370" s="31" t="n"/>
      <c r="K1370" s="31" t="n"/>
      <c r="L1370" s="31" t="n"/>
      <c r="M1370" s="31" t="n"/>
      <c r="N1370" s="31" t="n"/>
      <c r="O1370" s="31" t="n"/>
      <c r="P1370" s="31" t="n"/>
      <c r="Q1370" s="31" t="n"/>
      <c r="R1370" s="31" t="n"/>
      <c r="S1370" s="32">
        <f>IF($F1370="","",IF(IFERROR(VLOOKUP($F1370,'维度字典'!$M$2:$N$50,2,0),"求和")="手工录入","",IF(IFERROR(VLOOKUP($F1370,'维度字典'!$M$2:$N$50,2,0),"求和")="最新值",IFERROR(LOOKUP(9.99E+307,G1370:R1370),""),SUM(G1370:R1370))))</f>
        <v/>
      </c>
      <c r="T1370" s="33" t="n"/>
    </row>
    <row r="1371">
      <c r="A1371" s="26">
        <f>IF($B1371="","",ROW()-3)</f>
        <v/>
      </c>
      <c r="B1371" s="27" t="n"/>
      <c r="C1371" s="27" t="n"/>
      <c r="D1371" s="28" t="n"/>
      <c r="E1371" s="29" t="n"/>
      <c r="F1371" s="30" t="n"/>
      <c r="G1371" s="31" t="n"/>
      <c r="H1371" s="31" t="n"/>
      <c r="I1371" s="31" t="n"/>
      <c r="J1371" s="31" t="n"/>
      <c r="K1371" s="31" t="n"/>
      <c r="L1371" s="31" t="n"/>
      <c r="M1371" s="31" t="n"/>
      <c r="N1371" s="31" t="n"/>
      <c r="O1371" s="31" t="n"/>
      <c r="P1371" s="31" t="n"/>
      <c r="Q1371" s="31" t="n"/>
      <c r="R1371" s="31" t="n"/>
      <c r="S1371" s="32">
        <f>IF($F1371="","",IF(IFERROR(VLOOKUP($F1371,'维度字典'!$M$2:$N$50,2,0),"求和")="手工录入","",IF(IFERROR(VLOOKUP($F1371,'维度字典'!$M$2:$N$50,2,0),"求和")="最新值",IFERROR(LOOKUP(9.99E+307,G1371:R1371),""),SUM(G1371:R1371))))</f>
        <v/>
      </c>
      <c r="T1371" s="33" t="n"/>
    </row>
    <row r="1372">
      <c r="A1372" s="26">
        <f>IF($B1372="","",ROW()-3)</f>
        <v/>
      </c>
      <c r="B1372" s="27" t="n"/>
      <c r="C1372" s="27" t="n"/>
      <c r="D1372" s="28" t="n"/>
      <c r="E1372" s="29" t="n"/>
      <c r="F1372" s="30" t="n"/>
      <c r="G1372" s="31" t="n"/>
      <c r="H1372" s="31" t="n"/>
      <c r="I1372" s="31" t="n"/>
      <c r="J1372" s="31" t="n"/>
      <c r="K1372" s="31" t="n"/>
      <c r="L1372" s="31" t="n"/>
      <c r="M1372" s="31" t="n"/>
      <c r="N1372" s="31" t="n"/>
      <c r="O1372" s="31" t="n"/>
      <c r="P1372" s="31" t="n"/>
      <c r="Q1372" s="31" t="n"/>
      <c r="R1372" s="31" t="n"/>
      <c r="S1372" s="32">
        <f>IF($F1372="","",IF(IFERROR(VLOOKUP($F1372,'维度字典'!$M$2:$N$50,2,0),"求和")="手工录入","",IF(IFERROR(VLOOKUP($F1372,'维度字典'!$M$2:$N$50,2,0),"求和")="最新值",IFERROR(LOOKUP(9.99E+307,G1372:R1372),""),SUM(G1372:R1372))))</f>
        <v/>
      </c>
      <c r="T1372" s="33" t="n"/>
    </row>
    <row r="1373">
      <c r="A1373" s="26">
        <f>IF($B1373="","",ROW()-3)</f>
        <v/>
      </c>
      <c r="B1373" s="27" t="n"/>
      <c r="C1373" s="27" t="n"/>
      <c r="D1373" s="28" t="n"/>
      <c r="E1373" s="29" t="n"/>
      <c r="F1373" s="30" t="n"/>
      <c r="G1373" s="31" t="n"/>
      <c r="H1373" s="31" t="n"/>
      <c r="I1373" s="31" t="n"/>
      <c r="J1373" s="31" t="n"/>
      <c r="K1373" s="31" t="n"/>
      <c r="L1373" s="31" t="n"/>
      <c r="M1373" s="31" t="n"/>
      <c r="N1373" s="31" t="n"/>
      <c r="O1373" s="31" t="n"/>
      <c r="P1373" s="31" t="n"/>
      <c r="Q1373" s="31" t="n"/>
      <c r="R1373" s="31" t="n"/>
      <c r="S1373" s="32">
        <f>IF($F1373="","",IF(IFERROR(VLOOKUP($F1373,'维度字典'!$M$2:$N$50,2,0),"求和")="手工录入","",IF(IFERROR(VLOOKUP($F1373,'维度字典'!$M$2:$N$50,2,0),"求和")="最新值",IFERROR(LOOKUP(9.99E+307,G1373:R1373),""),SUM(G1373:R1373))))</f>
        <v/>
      </c>
      <c r="T1373" s="33" t="n"/>
    </row>
    <row r="1374">
      <c r="A1374" s="26">
        <f>IF($B1374="","",ROW()-3)</f>
        <v/>
      </c>
      <c r="B1374" s="27" t="n"/>
      <c r="C1374" s="27" t="n"/>
      <c r="D1374" s="28" t="n"/>
      <c r="E1374" s="29" t="n"/>
      <c r="F1374" s="30" t="n"/>
      <c r="G1374" s="31" t="n"/>
      <c r="H1374" s="31" t="n"/>
      <c r="I1374" s="31" t="n"/>
      <c r="J1374" s="31" t="n"/>
      <c r="K1374" s="31" t="n"/>
      <c r="L1374" s="31" t="n"/>
      <c r="M1374" s="31" t="n"/>
      <c r="N1374" s="31" t="n"/>
      <c r="O1374" s="31" t="n"/>
      <c r="P1374" s="31" t="n"/>
      <c r="Q1374" s="31" t="n"/>
      <c r="R1374" s="31" t="n"/>
      <c r="S1374" s="32">
        <f>IF($F1374="","",IF(IFERROR(VLOOKUP($F1374,'维度字典'!$M$2:$N$50,2,0),"求和")="手工录入","",IF(IFERROR(VLOOKUP($F1374,'维度字典'!$M$2:$N$50,2,0),"求和")="最新值",IFERROR(LOOKUP(9.99E+307,G1374:R1374),""),SUM(G1374:R1374))))</f>
        <v/>
      </c>
      <c r="T1374" s="33" t="n"/>
    </row>
    <row r="1375">
      <c r="A1375" s="26">
        <f>IF($B1375="","",ROW()-3)</f>
        <v/>
      </c>
      <c r="B1375" s="27" t="n"/>
      <c r="C1375" s="27" t="n"/>
      <c r="D1375" s="28" t="n"/>
      <c r="E1375" s="29" t="n"/>
      <c r="F1375" s="30" t="n"/>
      <c r="G1375" s="31" t="n"/>
      <c r="H1375" s="31" t="n"/>
      <c r="I1375" s="31" t="n"/>
      <c r="J1375" s="31" t="n"/>
      <c r="K1375" s="31" t="n"/>
      <c r="L1375" s="31" t="n"/>
      <c r="M1375" s="31" t="n"/>
      <c r="N1375" s="31" t="n"/>
      <c r="O1375" s="31" t="n"/>
      <c r="P1375" s="31" t="n"/>
      <c r="Q1375" s="31" t="n"/>
      <c r="R1375" s="31" t="n"/>
      <c r="S1375" s="32">
        <f>IF($F1375="","",IF(IFERROR(VLOOKUP($F1375,'维度字典'!$M$2:$N$50,2,0),"求和")="手工录入","",IF(IFERROR(VLOOKUP($F1375,'维度字典'!$M$2:$N$50,2,0),"求和")="最新值",IFERROR(LOOKUP(9.99E+307,G1375:R1375),""),SUM(G1375:R1375))))</f>
        <v/>
      </c>
      <c r="T1375" s="33" t="n"/>
    </row>
    <row r="1376">
      <c r="A1376" s="26">
        <f>IF($B1376="","",ROW()-3)</f>
        <v/>
      </c>
      <c r="B1376" s="27" t="n"/>
      <c r="C1376" s="27" t="n"/>
      <c r="D1376" s="28" t="n"/>
      <c r="E1376" s="29" t="n"/>
      <c r="F1376" s="30" t="n"/>
      <c r="G1376" s="31" t="n"/>
      <c r="H1376" s="31" t="n"/>
      <c r="I1376" s="31" t="n"/>
      <c r="J1376" s="31" t="n"/>
      <c r="K1376" s="31" t="n"/>
      <c r="L1376" s="31" t="n"/>
      <c r="M1376" s="31" t="n"/>
      <c r="N1376" s="31" t="n"/>
      <c r="O1376" s="31" t="n"/>
      <c r="P1376" s="31" t="n"/>
      <c r="Q1376" s="31" t="n"/>
      <c r="R1376" s="31" t="n"/>
      <c r="S1376" s="32">
        <f>IF($F1376="","",IF(IFERROR(VLOOKUP($F1376,'维度字典'!$M$2:$N$50,2,0),"求和")="手工录入","",IF(IFERROR(VLOOKUP($F1376,'维度字典'!$M$2:$N$50,2,0),"求和")="最新值",IFERROR(LOOKUP(9.99E+307,G1376:R1376),""),SUM(G1376:R1376))))</f>
        <v/>
      </c>
      <c r="T1376" s="33" t="n"/>
    </row>
    <row r="1377">
      <c r="A1377" s="26">
        <f>IF($B1377="","",ROW()-3)</f>
        <v/>
      </c>
      <c r="B1377" s="27" t="n"/>
      <c r="C1377" s="27" t="n"/>
      <c r="D1377" s="28" t="n"/>
      <c r="E1377" s="29" t="n"/>
      <c r="F1377" s="30" t="n"/>
      <c r="G1377" s="31" t="n"/>
      <c r="H1377" s="31" t="n"/>
      <c r="I1377" s="31" t="n"/>
      <c r="J1377" s="31" t="n"/>
      <c r="K1377" s="31" t="n"/>
      <c r="L1377" s="31" t="n"/>
      <c r="M1377" s="31" t="n"/>
      <c r="N1377" s="31" t="n"/>
      <c r="O1377" s="31" t="n"/>
      <c r="P1377" s="31" t="n"/>
      <c r="Q1377" s="31" t="n"/>
      <c r="R1377" s="31" t="n"/>
      <c r="S1377" s="32">
        <f>IF($F1377="","",IF(IFERROR(VLOOKUP($F1377,'维度字典'!$M$2:$N$50,2,0),"求和")="手工录入","",IF(IFERROR(VLOOKUP($F1377,'维度字典'!$M$2:$N$50,2,0),"求和")="最新值",IFERROR(LOOKUP(9.99E+307,G1377:R1377),""),SUM(G1377:R1377))))</f>
        <v/>
      </c>
      <c r="T1377" s="33" t="n"/>
    </row>
    <row r="1378">
      <c r="A1378" s="26">
        <f>IF($B1378="","",ROW()-3)</f>
        <v/>
      </c>
      <c r="B1378" s="27" t="n"/>
      <c r="C1378" s="27" t="n"/>
      <c r="D1378" s="28" t="n"/>
      <c r="E1378" s="29" t="n"/>
      <c r="F1378" s="30" t="n"/>
      <c r="G1378" s="31" t="n"/>
      <c r="H1378" s="31" t="n"/>
      <c r="I1378" s="31" t="n"/>
      <c r="J1378" s="31" t="n"/>
      <c r="K1378" s="31" t="n"/>
      <c r="L1378" s="31" t="n"/>
      <c r="M1378" s="31" t="n"/>
      <c r="N1378" s="31" t="n"/>
      <c r="O1378" s="31" t="n"/>
      <c r="P1378" s="31" t="n"/>
      <c r="Q1378" s="31" t="n"/>
      <c r="R1378" s="31" t="n"/>
      <c r="S1378" s="32">
        <f>IF($F1378="","",IF(IFERROR(VLOOKUP($F1378,'维度字典'!$M$2:$N$50,2,0),"求和")="手工录入","",IF(IFERROR(VLOOKUP($F1378,'维度字典'!$M$2:$N$50,2,0),"求和")="最新值",IFERROR(LOOKUP(9.99E+307,G1378:R1378),""),SUM(G1378:R1378))))</f>
        <v/>
      </c>
      <c r="T1378" s="33" t="n"/>
    </row>
    <row r="1379">
      <c r="A1379" s="26">
        <f>IF($B1379="","",ROW()-3)</f>
        <v/>
      </c>
      <c r="B1379" s="27" t="n"/>
      <c r="C1379" s="27" t="n"/>
      <c r="D1379" s="28" t="n"/>
      <c r="E1379" s="29" t="n"/>
      <c r="F1379" s="30" t="n"/>
      <c r="G1379" s="31" t="n"/>
      <c r="H1379" s="31" t="n"/>
      <c r="I1379" s="31" t="n"/>
      <c r="J1379" s="31" t="n"/>
      <c r="K1379" s="31" t="n"/>
      <c r="L1379" s="31" t="n"/>
      <c r="M1379" s="31" t="n"/>
      <c r="N1379" s="31" t="n"/>
      <c r="O1379" s="31" t="n"/>
      <c r="P1379" s="31" t="n"/>
      <c r="Q1379" s="31" t="n"/>
      <c r="R1379" s="31" t="n"/>
      <c r="S1379" s="32">
        <f>IF($F1379="","",IF(IFERROR(VLOOKUP($F1379,'维度字典'!$M$2:$N$50,2,0),"求和")="手工录入","",IF(IFERROR(VLOOKUP($F1379,'维度字典'!$M$2:$N$50,2,0),"求和")="最新值",IFERROR(LOOKUP(9.99E+307,G1379:R1379),""),SUM(G1379:R1379))))</f>
        <v/>
      </c>
      <c r="T1379" s="33" t="n"/>
    </row>
    <row r="1380">
      <c r="A1380" s="26">
        <f>IF($B1380="","",ROW()-3)</f>
        <v/>
      </c>
      <c r="B1380" s="27" t="n"/>
      <c r="C1380" s="27" t="n"/>
      <c r="D1380" s="28" t="n"/>
      <c r="E1380" s="29" t="n"/>
      <c r="F1380" s="30" t="n"/>
      <c r="G1380" s="31" t="n"/>
      <c r="H1380" s="31" t="n"/>
      <c r="I1380" s="31" t="n"/>
      <c r="J1380" s="31" t="n"/>
      <c r="K1380" s="31" t="n"/>
      <c r="L1380" s="31" t="n"/>
      <c r="M1380" s="31" t="n"/>
      <c r="N1380" s="31" t="n"/>
      <c r="O1380" s="31" t="n"/>
      <c r="P1380" s="31" t="n"/>
      <c r="Q1380" s="31" t="n"/>
      <c r="R1380" s="31" t="n"/>
      <c r="S1380" s="32">
        <f>IF($F1380="","",IF(IFERROR(VLOOKUP($F1380,'维度字典'!$M$2:$N$50,2,0),"求和")="手工录入","",IF(IFERROR(VLOOKUP($F1380,'维度字典'!$M$2:$N$50,2,0),"求和")="最新值",IFERROR(LOOKUP(9.99E+307,G1380:R1380),""),SUM(G1380:R1380))))</f>
        <v/>
      </c>
      <c r="T1380" s="33" t="n"/>
    </row>
    <row r="1381">
      <c r="A1381" s="26">
        <f>IF($B1381="","",ROW()-3)</f>
        <v/>
      </c>
      <c r="B1381" s="27" t="n"/>
      <c r="C1381" s="27" t="n"/>
      <c r="D1381" s="28" t="n"/>
      <c r="E1381" s="29" t="n"/>
      <c r="F1381" s="30" t="n"/>
      <c r="G1381" s="31" t="n"/>
      <c r="H1381" s="31" t="n"/>
      <c r="I1381" s="31" t="n"/>
      <c r="J1381" s="31" t="n"/>
      <c r="K1381" s="31" t="n"/>
      <c r="L1381" s="31" t="n"/>
      <c r="M1381" s="31" t="n"/>
      <c r="N1381" s="31" t="n"/>
      <c r="O1381" s="31" t="n"/>
      <c r="P1381" s="31" t="n"/>
      <c r="Q1381" s="31" t="n"/>
      <c r="R1381" s="31" t="n"/>
      <c r="S1381" s="32">
        <f>IF($F1381="","",IF(IFERROR(VLOOKUP($F1381,'维度字典'!$M$2:$N$50,2,0),"求和")="手工录入","",IF(IFERROR(VLOOKUP($F1381,'维度字典'!$M$2:$N$50,2,0),"求和")="最新值",IFERROR(LOOKUP(9.99E+307,G1381:R1381),""),SUM(G1381:R1381))))</f>
        <v/>
      </c>
      <c r="T1381" s="33" t="n"/>
    </row>
    <row r="1382">
      <c r="A1382" s="26">
        <f>IF($B1382="","",ROW()-3)</f>
        <v/>
      </c>
      <c r="B1382" s="27" t="n"/>
      <c r="C1382" s="27" t="n"/>
      <c r="D1382" s="28" t="n"/>
      <c r="E1382" s="29" t="n"/>
      <c r="F1382" s="30" t="n"/>
      <c r="G1382" s="31" t="n"/>
      <c r="H1382" s="31" t="n"/>
      <c r="I1382" s="31" t="n"/>
      <c r="J1382" s="31" t="n"/>
      <c r="K1382" s="31" t="n"/>
      <c r="L1382" s="31" t="n"/>
      <c r="M1382" s="31" t="n"/>
      <c r="N1382" s="31" t="n"/>
      <c r="O1382" s="31" t="n"/>
      <c r="P1382" s="31" t="n"/>
      <c r="Q1382" s="31" t="n"/>
      <c r="R1382" s="31" t="n"/>
      <c r="S1382" s="32">
        <f>IF($F1382="","",IF(IFERROR(VLOOKUP($F1382,'维度字典'!$M$2:$N$50,2,0),"求和")="手工录入","",IF(IFERROR(VLOOKUP($F1382,'维度字典'!$M$2:$N$50,2,0),"求和")="最新值",IFERROR(LOOKUP(9.99E+307,G1382:R1382),""),SUM(G1382:R1382))))</f>
        <v/>
      </c>
      <c r="T1382" s="33" t="n"/>
    </row>
    <row r="1383">
      <c r="A1383" s="26">
        <f>IF($B1383="","",ROW()-3)</f>
        <v/>
      </c>
      <c r="B1383" s="27" t="n"/>
      <c r="C1383" s="27" t="n"/>
      <c r="D1383" s="28" t="n"/>
      <c r="E1383" s="29" t="n"/>
      <c r="F1383" s="30" t="n"/>
      <c r="G1383" s="31" t="n"/>
      <c r="H1383" s="31" t="n"/>
      <c r="I1383" s="31" t="n"/>
      <c r="J1383" s="31" t="n"/>
      <c r="K1383" s="31" t="n"/>
      <c r="L1383" s="31" t="n"/>
      <c r="M1383" s="31" t="n"/>
      <c r="N1383" s="31" t="n"/>
      <c r="O1383" s="31" t="n"/>
      <c r="P1383" s="31" t="n"/>
      <c r="Q1383" s="31" t="n"/>
      <c r="R1383" s="31" t="n"/>
      <c r="S1383" s="32">
        <f>IF($F1383="","",IF(IFERROR(VLOOKUP($F1383,'维度字典'!$M$2:$N$50,2,0),"求和")="手工录入","",IF(IFERROR(VLOOKUP($F1383,'维度字典'!$M$2:$N$50,2,0),"求和")="最新值",IFERROR(LOOKUP(9.99E+307,G1383:R1383),""),SUM(G1383:R1383))))</f>
        <v/>
      </c>
      <c r="T1383" s="33" t="n"/>
    </row>
    <row r="1384">
      <c r="A1384" s="26">
        <f>IF($B1384="","",ROW()-3)</f>
        <v/>
      </c>
      <c r="B1384" s="27" t="n"/>
      <c r="C1384" s="27" t="n"/>
      <c r="D1384" s="28" t="n"/>
      <c r="E1384" s="29" t="n"/>
      <c r="F1384" s="30" t="n"/>
      <c r="G1384" s="31" t="n"/>
      <c r="H1384" s="31" t="n"/>
      <c r="I1384" s="31" t="n"/>
      <c r="J1384" s="31" t="n"/>
      <c r="K1384" s="31" t="n"/>
      <c r="L1384" s="31" t="n"/>
      <c r="M1384" s="31" t="n"/>
      <c r="N1384" s="31" t="n"/>
      <c r="O1384" s="31" t="n"/>
      <c r="P1384" s="31" t="n"/>
      <c r="Q1384" s="31" t="n"/>
      <c r="R1384" s="31" t="n"/>
      <c r="S1384" s="32">
        <f>IF($F1384="","",IF(IFERROR(VLOOKUP($F1384,'维度字典'!$M$2:$N$50,2,0),"求和")="手工录入","",IF(IFERROR(VLOOKUP($F1384,'维度字典'!$M$2:$N$50,2,0),"求和")="最新值",IFERROR(LOOKUP(9.99E+307,G1384:R1384),""),SUM(G1384:R1384))))</f>
        <v/>
      </c>
      <c r="T1384" s="33" t="n"/>
    </row>
    <row r="1385">
      <c r="A1385" s="26">
        <f>IF($B1385="","",ROW()-3)</f>
        <v/>
      </c>
      <c r="B1385" s="27" t="n"/>
      <c r="C1385" s="27" t="n"/>
      <c r="D1385" s="28" t="n"/>
      <c r="E1385" s="29" t="n"/>
      <c r="F1385" s="30" t="n"/>
      <c r="G1385" s="31" t="n"/>
      <c r="H1385" s="31" t="n"/>
      <c r="I1385" s="31" t="n"/>
      <c r="J1385" s="31" t="n"/>
      <c r="K1385" s="31" t="n"/>
      <c r="L1385" s="31" t="n"/>
      <c r="M1385" s="31" t="n"/>
      <c r="N1385" s="31" t="n"/>
      <c r="O1385" s="31" t="n"/>
      <c r="P1385" s="31" t="n"/>
      <c r="Q1385" s="31" t="n"/>
      <c r="R1385" s="31" t="n"/>
      <c r="S1385" s="32">
        <f>IF($F1385="","",IF(IFERROR(VLOOKUP($F1385,'维度字典'!$M$2:$N$50,2,0),"求和")="手工录入","",IF(IFERROR(VLOOKUP($F1385,'维度字典'!$M$2:$N$50,2,0),"求和")="最新值",IFERROR(LOOKUP(9.99E+307,G1385:R1385),""),SUM(G1385:R1385))))</f>
        <v/>
      </c>
      <c r="T1385" s="33" t="n"/>
    </row>
    <row r="1386">
      <c r="A1386" s="26">
        <f>IF($B1386="","",ROW()-3)</f>
        <v/>
      </c>
      <c r="B1386" s="27" t="n"/>
      <c r="C1386" s="27" t="n"/>
      <c r="D1386" s="28" t="n"/>
      <c r="E1386" s="29" t="n"/>
      <c r="F1386" s="30" t="n"/>
      <c r="G1386" s="31" t="n"/>
      <c r="H1386" s="31" t="n"/>
      <c r="I1386" s="31" t="n"/>
      <c r="J1386" s="31" t="n"/>
      <c r="K1386" s="31" t="n"/>
      <c r="L1386" s="31" t="n"/>
      <c r="M1386" s="31" t="n"/>
      <c r="N1386" s="31" t="n"/>
      <c r="O1386" s="31" t="n"/>
      <c r="P1386" s="31" t="n"/>
      <c r="Q1386" s="31" t="n"/>
      <c r="R1386" s="31" t="n"/>
      <c r="S1386" s="32">
        <f>IF($F1386="","",IF(IFERROR(VLOOKUP($F1386,'维度字典'!$M$2:$N$50,2,0),"求和")="手工录入","",IF(IFERROR(VLOOKUP($F1386,'维度字典'!$M$2:$N$50,2,0),"求和")="最新值",IFERROR(LOOKUP(9.99E+307,G1386:R1386),""),SUM(G1386:R1386))))</f>
        <v/>
      </c>
      <c r="T1386" s="33" t="n"/>
    </row>
    <row r="1387">
      <c r="A1387" s="26">
        <f>IF($B1387="","",ROW()-3)</f>
        <v/>
      </c>
      <c r="B1387" s="27" t="n"/>
      <c r="C1387" s="27" t="n"/>
      <c r="D1387" s="28" t="n"/>
      <c r="E1387" s="29" t="n"/>
      <c r="F1387" s="30" t="n"/>
      <c r="G1387" s="31" t="n"/>
      <c r="H1387" s="31" t="n"/>
      <c r="I1387" s="31" t="n"/>
      <c r="J1387" s="31" t="n"/>
      <c r="K1387" s="31" t="n"/>
      <c r="L1387" s="31" t="n"/>
      <c r="M1387" s="31" t="n"/>
      <c r="N1387" s="31" t="n"/>
      <c r="O1387" s="31" t="n"/>
      <c r="P1387" s="31" t="n"/>
      <c r="Q1387" s="31" t="n"/>
      <c r="R1387" s="31" t="n"/>
      <c r="S1387" s="32">
        <f>IF($F1387="","",IF(IFERROR(VLOOKUP($F1387,'维度字典'!$M$2:$N$50,2,0),"求和")="手工录入","",IF(IFERROR(VLOOKUP($F1387,'维度字典'!$M$2:$N$50,2,0),"求和")="最新值",IFERROR(LOOKUP(9.99E+307,G1387:R1387),""),SUM(G1387:R1387))))</f>
        <v/>
      </c>
      <c r="T1387" s="33" t="n"/>
    </row>
    <row r="1388">
      <c r="A1388" s="26">
        <f>IF($B1388="","",ROW()-3)</f>
        <v/>
      </c>
      <c r="B1388" s="27" t="n"/>
      <c r="C1388" s="27" t="n"/>
      <c r="D1388" s="28" t="n"/>
      <c r="E1388" s="29" t="n"/>
      <c r="F1388" s="30" t="n"/>
      <c r="G1388" s="31" t="n"/>
      <c r="H1388" s="31" t="n"/>
      <c r="I1388" s="31" t="n"/>
      <c r="J1388" s="31" t="n"/>
      <c r="K1388" s="31" t="n"/>
      <c r="L1388" s="31" t="n"/>
      <c r="M1388" s="31" t="n"/>
      <c r="N1388" s="31" t="n"/>
      <c r="O1388" s="31" t="n"/>
      <c r="P1388" s="31" t="n"/>
      <c r="Q1388" s="31" t="n"/>
      <c r="R1388" s="31" t="n"/>
      <c r="S1388" s="32">
        <f>IF($F1388="","",IF(IFERROR(VLOOKUP($F1388,'维度字典'!$M$2:$N$50,2,0),"求和")="手工录入","",IF(IFERROR(VLOOKUP($F1388,'维度字典'!$M$2:$N$50,2,0),"求和")="最新值",IFERROR(LOOKUP(9.99E+307,G1388:R1388),""),SUM(G1388:R1388))))</f>
        <v/>
      </c>
      <c r="T1388" s="33" t="n"/>
    </row>
    <row r="1389">
      <c r="A1389" s="26">
        <f>IF($B1389="","",ROW()-3)</f>
        <v/>
      </c>
      <c r="B1389" s="27" t="n"/>
      <c r="C1389" s="27" t="n"/>
      <c r="D1389" s="28" t="n"/>
      <c r="E1389" s="29" t="n"/>
      <c r="F1389" s="30" t="n"/>
      <c r="G1389" s="31" t="n"/>
      <c r="H1389" s="31" t="n"/>
      <c r="I1389" s="31" t="n"/>
      <c r="J1389" s="31" t="n"/>
      <c r="K1389" s="31" t="n"/>
      <c r="L1389" s="31" t="n"/>
      <c r="M1389" s="31" t="n"/>
      <c r="N1389" s="31" t="n"/>
      <c r="O1389" s="31" t="n"/>
      <c r="P1389" s="31" t="n"/>
      <c r="Q1389" s="31" t="n"/>
      <c r="R1389" s="31" t="n"/>
      <c r="S1389" s="32">
        <f>IF($F1389="","",IF(IFERROR(VLOOKUP($F1389,'维度字典'!$M$2:$N$50,2,0),"求和")="手工录入","",IF(IFERROR(VLOOKUP($F1389,'维度字典'!$M$2:$N$50,2,0),"求和")="最新值",IFERROR(LOOKUP(9.99E+307,G1389:R1389),""),SUM(G1389:R1389))))</f>
        <v/>
      </c>
      <c r="T1389" s="33" t="n"/>
    </row>
    <row r="1390">
      <c r="A1390" s="26">
        <f>IF($B1390="","",ROW()-3)</f>
        <v/>
      </c>
      <c r="B1390" s="27" t="n"/>
      <c r="C1390" s="27" t="n"/>
      <c r="D1390" s="28" t="n"/>
      <c r="E1390" s="29" t="n"/>
      <c r="F1390" s="30" t="n"/>
      <c r="G1390" s="31" t="n"/>
      <c r="H1390" s="31" t="n"/>
      <c r="I1390" s="31" t="n"/>
      <c r="J1390" s="31" t="n"/>
      <c r="K1390" s="31" t="n"/>
      <c r="L1390" s="31" t="n"/>
      <c r="M1390" s="31" t="n"/>
      <c r="N1390" s="31" t="n"/>
      <c r="O1390" s="31" t="n"/>
      <c r="P1390" s="31" t="n"/>
      <c r="Q1390" s="31" t="n"/>
      <c r="R1390" s="31" t="n"/>
      <c r="S1390" s="32">
        <f>IF($F1390="","",IF(IFERROR(VLOOKUP($F1390,'维度字典'!$M$2:$N$50,2,0),"求和")="手工录入","",IF(IFERROR(VLOOKUP($F1390,'维度字典'!$M$2:$N$50,2,0),"求和")="最新值",IFERROR(LOOKUP(9.99E+307,G1390:R1390),""),SUM(G1390:R1390))))</f>
        <v/>
      </c>
      <c r="T1390" s="33" t="n"/>
    </row>
    <row r="1391">
      <c r="A1391" s="26">
        <f>IF($B1391="","",ROW()-3)</f>
        <v/>
      </c>
      <c r="B1391" s="27" t="n"/>
      <c r="C1391" s="27" t="n"/>
      <c r="D1391" s="28" t="n"/>
      <c r="E1391" s="29" t="n"/>
      <c r="F1391" s="30" t="n"/>
      <c r="G1391" s="31" t="n"/>
      <c r="H1391" s="31" t="n"/>
      <c r="I1391" s="31" t="n"/>
      <c r="J1391" s="31" t="n"/>
      <c r="K1391" s="31" t="n"/>
      <c r="L1391" s="31" t="n"/>
      <c r="M1391" s="31" t="n"/>
      <c r="N1391" s="31" t="n"/>
      <c r="O1391" s="31" t="n"/>
      <c r="P1391" s="31" t="n"/>
      <c r="Q1391" s="31" t="n"/>
      <c r="R1391" s="31" t="n"/>
      <c r="S1391" s="32">
        <f>IF($F1391="","",IF(IFERROR(VLOOKUP($F1391,'维度字典'!$M$2:$N$50,2,0),"求和")="手工录入","",IF(IFERROR(VLOOKUP($F1391,'维度字典'!$M$2:$N$50,2,0),"求和")="最新值",IFERROR(LOOKUP(9.99E+307,G1391:R1391),""),SUM(G1391:R1391))))</f>
        <v/>
      </c>
      <c r="T1391" s="33" t="n"/>
    </row>
    <row r="1392">
      <c r="A1392" s="26">
        <f>IF($B1392="","",ROW()-3)</f>
        <v/>
      </c>
      <c r="B1392" s="27" t="n"/>
      <c r="C1392" s="27" t="n"/>
      <c r="D1392" s="28" t="n"/>
      <c r="E1392" s="29" t="n"/>
      <c r="F1392" s="30" t="n"/>
      <c r="G1392" s="31" t="n"/>
      <c r="H1392" s="31" t="n"/>
      <c r="I1392" s="31" t="n"/>
      <c r="J1392" s="31" t="n"/>
      <c r="K1392" s="31" t="n"/>
      <c r="L1392" s="31" t="n"/>
      <c r="M1392" s="31" t="n"/>
      <c r="N1392" s="31" t="n"/>
      <c r="O1392" s="31" t="n"/>
      <c r="P1392" s="31" t="n"/>
      <c r="Q1392" s="31" t="n"/>
      <c r="R1392" s="31" t="n"/>
      <c r="S1392" s="32">
        <f>IF($F1392="","",IF(IFERROR(VLOOKUP($F1392,'维度字典'!$M$2:$N$50,2,0),"求和")="手工录入","",IF(IFERROR(VLOOKUP($F1392,'维度字典'!$M$2:$N$50,2,0),"求和")="最新值",IFERROR(LOOKUP(9.99E+307,G1392:R1392),""),SUM(G1392:R1392))))</f>
        <v/>
      </c>
      <c r="T1392" s="33" t="n"/>
    </row>
    <row r="1393">
      <c r="A1393" s="26">
        <f>IF($B1393="","",ROW()-3)</f>
        <v/>
      </c>
      <c r="B1393" s="27" t="n"/>
      <c r="C1393" s="27" t="n"/>
      <c r="D1393" s="28" t="n"/>
      <c r="E1393" s="29" t="n"/>
      <c r="F1393" s="30" t="n"/>
      <c r="G1393" s="31" t="n"/>
      <c r="H1393" s="31" t="n"/>
      <c r="I1393" s="31" t="n"/>
      <c r="J1393" s="31" t="n"/>
      <c r="K1393" s="31" t="n"/>
      <c r="L1393" s="31" t="n"/>
      <c r="M1393" s="31" t="n"/>
      <c r="N1393" s="31" t="n"/>
      <c r="O1393" s="31" t="n"/>
      <c r="P1393" s="31" t="n"/>
      <c r="Q1393" s="31" t="n"/>
      <c r="R1393" s="31" t="n"/>
      <c r="S1393" s="32">
        <f>IF($F1393="","",IF(IFERROR(VLOOKUP($F1393,'维度字典'!$M$2:$N$50,2,0),"求和")="手工录入","",IF(IFERROR(VLOOKUP($F1393,'维度字典'!$M$2:$N$50,2,0),"求和")="最新值",IFERROR(LOOKUP(9.99E+307,G1393:R1393),""),SUM(G1393:R1393))))</f>
        <v/>
      </c>
      <c r="T1393" s="33" t="n"/>
    </row>
    <row r="1394">
      <c r="A1394" s="26">
        <f>IF($B1394="","",ROW()-3)</f>
        <v/>
      </c>
      <c r="B1394" s="27" t="n"/>
      <c r="C1394" s="27" t="n"/>
      <c r="D1394" s="28" t="n"/>
      <c r="E1394" s="29" t="n"/>
      <c r="F1394" s="30" t="n"/>
      <c r="G1394" s="31" t="n"/>
      <c r="H1394" s="31" t="n"/>
      <c r="I1394" s="31" t="n"/>
      <c r="J1394" s="31" t="n"/>
      <c r="K1394" s="31" t="n"/>
      <c r="L1394" s="31" t="n"/>
      <c r="M1394" s="31" t="n"/>
      <c r="N1394" s="31" t="n"/>
      <c r="O1394" s="31" t="n"/>
      <c r="P1394" s="31" t="n"/>
      <c r="Q1394" s="31" t="n"/>
      <c r="R1394" s="31" t="n"/>
      <c r="S1394" s="32">
        <f>IF($F1394="","",IF(IFERROR(VLOOKUP($F1394,'维度字典'!$M$2:$N$50,2,0),"求和")="手工录入","",IF(IFERROR(VLOOKUP($F1394,'维度字典'!$M$2:$N$50,2,0),"求和")="最新值",IFERROR(LOOKUP(9.99E+307,G1394:R1394),""),SUM(G1394:R1394))))</f>
        <v/>
      </c>
      <c r="T1394" s="33" t="n"/>
    </row>
    <row r="1395">
      <c r="A1395" s="26">
        <f>IF($B1395="","",ROW()-3)</f>
        <v/>
      </c>
      <c r="B1395" s="27" t="n"/>
      <c r="C1395" s="27" t="n"/>
      <c r="D1395" s="28" t="n"/>
      <c r="E1395" s="29" t="n"/>
      <c r="F1395" s="30" t="n"/>
      <c r="G1395" s="31" t="n"/>
      <c r="H1395" s="31" t="n"/>
      <c r="I1395" s="31" t="n"/>
      <c r="J1395" s="31" t="n"/>
      <c r="K1395" s="31" t="n"/>
      <c r="L1395" s="31" t="n"/>
      <c r="M1395" s="31" t="n"/>
      <c r="N1395" s="31" t="n"/>
      <c r="O1395" s="31" t="n"/>
      <c r="P1395" s="31" t="n"/>
      <c r="Q1395" s="31" t="n"/>
      <c r="R1395" s="31" t="n"/>
      <c r="S1395" s="32">
        <f>IF($F1395="","",IF(IFERROR(VLOOKUP($F1395,'维度字典'!$M$2:$N$50,2,0),"求和")="手工录入","",IF(IFERROR(VLOOKUP($F1395,'维度字典'!$M$2:$N$50,2,0),"求和")="最新值",IFERROR(LOOKUP(9.99E+307,G1395:R1395),""),SUM(G1395:R1395))))</f>
        <v/>
      </c>
      <c r="T1395" s="33" t="n"/>
    </row>
    <row r="1396">
      <c r="A1396" s="26">
        <f>IF($B1396="","",ROW()-3)</f>
        <v/>
      </c>
      <c r="B1396" s="27" t="n"/>
      <c r="C1396" s="27" t="n"/>
      <c r="D1396" s="28" t="n"/>
      <c r="E1396" s="29" t="n"/>
      <c r="F1396" s="30" t="n"/>
      <c r="G1396" s="31" t="n"/>
      <c r="H1396" s="31" t="n"/>
      <c r="I1396" s="31" t="n"/>
      <c r="J1396" s="31" t="n"/>
      <c r="K1396" s="31" t="n"/>
      <c r="L1396" s="31" t="n"/>
      <c r="M1396" s="31" t="n"/>
      <c r="N1396" s="31" t="n"/>
      <c r="O1396" s="31" t="n"/>
      <c r="P1396" s="31" t="n"/>
      <c r="Q1396" s="31" t="n"/>
      <c r="R1396" s="31" t="n"/>
      <c r="S1396" s="32">
        <f>IF($F1396="","",IF(IFERROR(VLOOKUP($F1396,'维度字典'!$M$2:$N$50,2,0),"求和")="手工录入","",IF(IFERROR(VLOOKUP($F1396,'维度字典'!$M$2:$N$50,2,0),"求和")="最新值",IFERROR(LOOKUP(9.99E+307,G1396:R1396),""),SUM(G1396:R1396))))</f>
        <v/>
      </c>
      <c r="T1396" s="33" t="n"/>
    </row>
    <row r="1397">
      <c r="A1397" s="26">
        <f>IF($B1397="","",ROW()-3)</f>
        <v/>
      </c>
      <c r="B1397" s="27" t="n"/>
      <c r="C1397" s="27" t="n"/>
      <c r="D1397" s="28" t="n"/>
      <c r="E1397" s="29" t="n"/>
      <c r="F1397" s="30" t="n"/>
      <c r="G1397" s="31" t="n"/>
      <c r="H1397" s="31" t="n"/>
      <c r="I1397" s="31" t="n"/>
      <c r="J1397" s="31" t="n"/>
      <c r="K1397" s="31" t="n"/>
      <c r="L1397" s="31" t="n"/>
      <c r="M1397" s="31" t="n"/>
      <c r="N1397" s="31" t="n"/>
      <c r="O1397" s="31" t="n"/>
      <c r="P1397" s="31" t="n"/>
      <c r="Q1397" s="31" t="n"/>
      <c r="R1397" s="31" t="n"/>
      <c r="S1397" s="32">
        <f>IF($F1397="","",IF(IFERROR(VLOOKUP($F1397,'维度字典'!$M$2:$N$50,2,0),"求和")="手工录入","",IF(IFERROR(VLOOKUP($F1397,'维度字典'!$M$2:$N$50,2,0),"求和")="最新值",IFERROR(LOOKUP(9.99E+307,G1397:R1397),""),SUM(G1397:R1397))))</f>
        <v/>
      </c>
      <c r="T1397" s="33" t="n"/>
    </row>
    <row r="1398">
      <c r="A1398" s="26">
        <f>IF($B1398="","",ROW()-3)</f>
        <v/>
      </c>
      <c r="B1398" s="27" t="n"/>
      <c r="C1398" s="27" t="n"/>
      <c r="D1398" s="28" t="n"/>
      <c r="E1398" s="29" t="n"/>
      <c r="F1398" s="30" t="n"/>
      <c r="G1398" s="31" t="n"/>
      <c r="H1398" s="31" t="n"/>
      <c r="I1398" s="31" t="n"/>
      <c r="J1398" s="31" t="n"/>
      <c r="K1398" s="31" t="n"/>
      <c r="L1398" s="31" t="n"/>
      <c r="M1398" s="31" t="n"/>
      <c r="N1398" s="31" t="n"/>
      <c r="O1398" s="31" t="n"/>
      <c r="P1398" s="31" t="n"/>
      <c r="Q1398" s="31" t="n"/>
      <c r="R1398" s="31" t="n"/>
      <c r="S1398" s="32">
        <f>IF($F1398="","",IF(IFERROR(VLOOKUP($F1398,'维度字典'!$M$2:$N$50,2,0),"求和")="手工录入","",IF(IFERROR(VLOOKUP($F1398,'维度字典'!$M$2:$N$50,2,0),"求和")="最新值",IFERROR(LOOKUP(9.99E+307,G1398:R1398),""),SUM(G1398:R1398))))</f>
        <v/>
      </c>
      <c r="T1398" s="33" t="n"/>
    </row>
    <row r="1399">
      <c r="A1399" s="26">
        <f>IF($B1399="","",ROW()-3)</f>
        <v/>
      </c>
      <c r="B1399" s="27" t="n"/>
      <c r="C1399" s="27" t="n"/>
      <c r="D1399" s="28" t="n"/>
      <c r="E1399" s="29" t="n"/>
      <c r="F1399" s="30" t="n"/>
      <c r="G1399" s="31" t="n"/>
      <c r="H1399" s="31" t="n"/>
      <c r="I1399" s="31" t="n"/>
      <c r="J1399" s="31" t="n"/>
      <c r="K1399" s="31" t="n"/>
      <c r="L1399" s="31" t="n"/>
      <c r="M1399" s="31" t="n"/>
      <c r="N1399" s="31" t="n"/>
      <c r="O1399" s="31" t="n"/>
      <c r="P1399" s="31" t="n"/>
      <c r="Q1399" s="31" t="n"/>
      <c r="R1399" s="31" t="n"/>
      <c r="S1399" s="32">
        <f>IF($F1399="","",IF(IFERROR(VLOOKUP($F1399,'维度字典'!$M$2:$N$50,2,0),"求和")="手工录入","",IF(IFERROR(VLOOKUP($F1399,'维度字典'!$M$2:$N$50,2,0),"求和")="最新值",IFERROR(LOOKUP(9.99E+307,G1399:R1399),""),SUM(G1399:R1399))))</f>
        <v/>
      </c>
      <c r="T1399" s="33" t="n"/>
    </row>
    <row r="1400">
      <c r="A1400" s="26">
        <f>IF($B1400="","",ROW()-3)</f>
        <v/>
      </c>
      <c r="B1400" s="27" t="n"/>
      <c r="C1400" s="27" t="n"/>
      <c r="D1400" s="28" t="n"/>
      <c r="E1400" s="29" t="n"/>
      <c r="F1400" s="30" t="n"/>
      <c r="G1400" s="31" t="n"/>
      <c r="H1400" s="31" t="n"/>
      <c r="I1400" s="31" t="n"/>
      <c r="J1400" s="31" t="n"/>
      <c r="K1400" s="31" t="n"/>
      <c r="L1400" s="31" t="n"/>
      <c r="M1400" s="31" t="n"/>
      <c r="N1400" s="31" t="n"/>
      <c r="O1400" s="31" t="n"/>
      <c r="P1400" s="31" t="n"/>
      <c r="Q1400" s="31" t="n"/>
      <c r="R1400" s="31" t="n"/>
      <c r="S1400" s="32">
        <f>IF($F1400="","",IF(IFERROR(VLOOKUP($F1400,'维度字典'!$M$2:$N$50,2,0),"求和")="手工录入","",IF(IFERROR(VLOOKUP($F1400,'维度字典'!$M$2:$N$50,2,0),"求和")="最新值",IFERROR(LOOKUP(9.99E+307,G1400:R1400),""),SUM(G1400:R1400))))</f>
        <v/>
      </c>
      <c r="T1400" s="33" t="n"/>
    </row>
    <row r="1401">
      <c r="A1401" s="26">
        <f>IF($B1401="","",ROW()-3)</f>
        <v/>
      </c>
      <c r="B1401" s="27" t="n"/>
      <c r="C1401" s="27" t="n"/>
      <c r="D1401" s="28" t="n"/>
      <c r="E1401" s="29" t="n"/>
      <c r="F1401" s="30" t="n"/>
      <c r="G1401" s="31" t="n"/>
      <c r="H1401" s="31" t="n"/>
      <c r="I1401" s="31" t="n"/>
      <c r="J1401" s="31" t="n"/>
      <c r="K1401" s="31" t="n"/>
      <c r="L1401" s="31" t="n"/>
      <c r="M1401" s="31" t="n"/>
      <c r="N1401" s="31" t="n"/>
      <c r="O1401" s="31" t="n"/>
      <c r="P1401" s="31" t="n"/>
      <c r="Q1401" s="31" t="n"/>
      <c r="R1401" s="31" t="n"/>
      <c r="S1401" s="32">
        <f>IF($F1401="","",IF(IFERROR(VLOOKUP($F1401,'维度字典'!$M$2:$N$50,2,0),"求和")="手工录入","",IF(IFERROR(VLOOKUP($F1401,'维度字典'!$M$2:$N$50,2,0),"求和")="最新值",IFERROR(LOOKUP(9.99E+307,G1401:R1401),""),SUM(G1401:R1401))))</f>
        <v/>
      </c>
      <c r="T1401" s="33" t="n"/>
    </row>
    <row r="1402">
      <c r="A1402" s="26">
        <f>IF($B1402="","",ROW()-3)</f>
        <v/>
      </c>
      <c r="B1402" s="27" t="n"/>
      <c r="C1402" s="27" t="n"/>
      <c r="D1402" s="28" t="n"/>
      <c r="E1402" s="29" t="n"/>
      <c r="F1402" s="30" t="n"/>
      <c r="G1402" s="31" t="n"/>
      <c r="H1402" s="31" t="n"/>
      <c r="I1402" s="31" t="n"/>
      <c r="J1402" s="31" t="n"/>
      <c r="K1402" s="31" t="n"/>
      <c r="L1402" s="31" t="n"/>
      <c r="M1402" s="31" t="n"/>
      <c r="N1402" s="31" t="n"/>
      <c r="O1402" s="31" t="n"/>
      <c r="P1402" s="31" t="n"/>
      <c r="Q1402" s="31" t="n"/>
      <c r="R1402" s="31" t="n"/>
      <c r="S1402" s="32">
        <f>IF($F1402="","",IF(IFERROR(VLOOKUP($F1402,'维度字典'!$M$2:$N$50,2,0),"求和")="手工录入","",IF(IFERROR(VLOOKUP($F1402,'维度字典'!$M$2:$N$50,2,0),"求和")="最新值",IFERROR(LOOKUP(9.99E+307,G1402:R1402),""),SUM(G1402:R1402))))</f>
        <v/>
      </c>
      <c r="T1402" s="33" t="n"/>
    </row>
    <row r="1403">
      <c r="A1403" s="26">
        <f>IF($B1403="","",ROW()-3)</f>
        <v/>
      </c>
      <c r="B1403" s="27" t="n"/>
      <c r="C1403" s="27" t="n"/>
      <c r="D1403" s="28" t="n"/>
      <c r="E1403" s="29" t="n"/>
      <c r="F1403" s="30" t="n"/>
      <c r="G1403" s="31" t="n"/>
      <c r="H1403" s="31" t="n"/>
      <c r="I1403" s="31" t="n"/>
      <c r="J1403" s="31" t="n"/>
      <c r="K1403" s="31" t="n"/>
      <c r="L1403" s="31" t="n"/>
      <c r="M1403" s="31" t="n"/>
      <c r="N1403" s="31" t="n"/>
      <c r="O1403" s="31" t="n"/>
      <c r="P1403" s="31" t="n"/>
      <c r="Q1403" s="31" t="n"/>
      <c r="R1403" s="31" t="n"/>
      <c r="S1403" s="32">
        <f>IF($F1403="","",IF(IFERROR(VLOOKUP($F1403,'维度字典'!$M$2:$N$50,2,0),"求和")="手工录入","",IF(IFERROR(VLOOKUP($F1403,'维度字典'!$M$2:$N$50,2,0),"求和")="最新值",IFERROR(LOOKUP(9.99E+307,G1403:R1403),""),SUM(G1403:R1403))))</f>
        <v/>
      </c>
      <c r="T1403" s="33" t="n"/>
    </row>
    <row r="1404">
      <c r="A1404" s="26">
        <f>IF($B1404="","",ROW()-3)</f>
        <v/>
      </c>
      <c r="B1404" s="27" t="n"/>
      <c r="C1404" s="27" t="n"/>
      <c r="D1404" s="28" t="n"/>
      <c r="E1404" s="29" t="n"/>
      <c r="F1404" s="30" t="n"/>
      <c r="G1404" s="31" t="n"/>
      <c r="H1404" s="31" t="n"/>
      <c r="I1404" s="31" t="n"/>
      <c r="J1404" s="31" t="n"/>
      <c r="K1404" s="31" t="n"/>
      <c r="L1404" s="31" t="n"/>
      <c r="M1404" s="31" t="n"/>
      <c r="N1404" s="31" t="n"/>
      <c r="O1404" s="31" t="n"/>
      <c r="P1404" s="31" t="n"/>
      <c r="Q1404" s="31" t="n"/>
      <c r="R1404" s="31" t="n"/>
      <c r="S1404" s="32">
        <f>IF($F1404="","",IF(IFERROR(VLOOKUP($F1404,'维度字典'!$M$2:$N$50,2,0),"求和")="手工录入","",IF(IFERROR(VLOOKUP($F1404,'维度字典'!$M$2:$N$50,2,0),"求和")="最新值",IFERROR(LOOKUP(9.99E+307,G1404:R1404),""),SUM(G1404:R1404))))</f>
        <v/>
      </c>
      <c r="T1404" s="33" t="n"/>
    </row>
    <row r="1405">
      <c r="A1405" s="26">
        <f>IF($B1405="","",ROW()-3)</f>
        <v/>
      </c>
      <c r="B1405" s="27" t="n"/>
      <c r="C1405" s="27" t="n"/>
      <c r="D1405" s="28" t="n"/>
      <c r="E1405" s="29" t="n"/>
      <c r="F1405" s="30" t="n"/>
      <c r="G1405" s="31" t="n"/>
      <c r="H1405" s="31" t="n"/>
      <c r="I1405" s="31" t="n"/>
      <c r="J1405" s="31" t="n"/>
      <c r="K1405" s="31" t="n"/>
      <c r="L1405" s="31" t="n"/>
      <c r="M1405" s="31" t="n"/>
      <c r="N1405" s="31" t="n"/>
      <c r="O1405" s="31" t="n"/>
      <c r="P1405" s="31" t="n"/>
      <c r="Q1405" s="31" t="n"/>
      <c r="R1405" s="31" t="n"/>
      <c r="S1405" s="32">
        <f>IF($F1405="","",IF(IFERROR(VLOOKUP($F1405,'维度字典'!$M$2:$N$50,2,0),"求和")="手工录入","",IF(IFERROR(VLOOKUP($F1405,'维度字典'!$M$2:$N$50,2,0),"求和")="最新值",IFERROR(LOOKUP(9.99E+307,G1405:R1405),""),SUM(G1405:R1405))))</f>
        <v/>
      </c>
      <c r="T1405" s="33" t="n"/>
    </row>
    <row r="1406">
      <c r="A1406" s="26">
        <f>IF($B1406="","",ROW()-3)</f>
        <v/>
      </c>
      <c r="B1406" s="27" t="n"/>
      <c r="C1406" s="27" t="n"/>
      <c r="D1406" s="28" t="n"/>
      <c r="E1406" s="29" t="n"/>
      <c r="F1406" s="30" t="n"/>
      <c r="G1406" s="31" t="n"/>
      <c r="H1406" s="31" t="n"/>
      <c r="I1406" s="31" t="n"/>
      <c r="J1406" s="31" t="n"/>
      <c r="K1406" s="31" t="n"/>
      <c r="L1406" s="31" t="n"/>
      <c r="M1406" s="31" t="n"/>
      <c r="N1406" s="31" t="n"/>
      <c r="O1406" s="31" t="n"/>
      <c r="P1406" s="31" t="n"/>
      <c r="Q1406" s="31" t="n"/>
      <c r="R1406" s="31" t="n"/>
      <c r="S1406" s="32">
        <f>IF($F1406="","",IF(IFERROR(VLOOKUP($F1406,'维度字典'!$M$2:$N$50,2,0),"求和")="手工录入","",IF(IFERROR(VLOOKUP($F1406,'维度字典'!$M$2:$N$50,2,0),"求和")="最新值",IFERROR(LOOKUP(9.99E+307,G1406:R1406),""),SUM(G1406:R1406))))</f>
        <v/>
      </c>
      <c r="T1406" s="33" t="n"/>
    </row>
    <row r="1407">
      <c r="A1407" s="26">
        <f>IF($B1407="","",ROW()-3)</f>
        <v/>
      </c>
      <c r="B1407" s="27" t="n"/>
      <c r="C1407" s="27" t="n"/>
      <c r="D1407" s="28" t="n"/>
      <c r="E1407" s="29" t="n"/>
      <c r="F1407" s="30" t="n"/>
      <c r="G1407" s="31" t="n"/>
      <c r="H1407" s="31" t="n"/>
      <c r="I1407" s="31" t="n"/>
      <c r="J1407" s="31" t="n"/>
      <c r="K1407" s="31" t="n"/>
      <c r="L1407" s="31" t="n"/>
      <c r="M1407" s="31" t="n"/>
      <c r="N1407" s="31" t="n"/>
      <c r="O1407" s="31" t="n"/>
      <c r="P1407" s="31" t="n"/>
      <c r="Q1407" s="31" t="n"/>
      <c r="R1407" s="31" t="n"/>
      <c r="S1407" s="32">
        <f>IF($F1407="","",IF(IFERROR(VLOOKUP($F1407,'维度字典'!$M$2:$N$50,2,0),"求和")="手工录入","",IF(IFERROR(VLOOKUP($F1407,'维度字典'!$M$2:$N$50,2,0),"求和")="最新值",IFERROR(LOOKUP(9.99E+307,G1407:R1407),""),SUM(G1407:R1407))))</f>
        <v/>
      </c>
      <c r="T1407" s="33" t="n"/>
    </row>
    <row r="1408">
      <c r="A1408" s="26">
        <f>IF($B1408="","",ROW()-3)</f>
        <v/>
      </c>
      <c r="B1408" s="27" t="n"/>
      <c r="C1408" s="27" t="n"/>
      <c r="D1408" s="28" t="n"/>
      <c r="E1408" s="29" t="n"/>
      <c r="F1408" s="30" t="n"/>
      <c r="G1408" s="31" t="n"/>
      <c r="H1408" s="31" t="n"/>
      <c r="I1408" s="31" t="n"/>
      <c r="J1408" s="31" t="n"/>
      <c r="K1408" s="31" t="n"/>
      <c r="L1408" s="31" t="n"/>
      <c r="M1408" s="31" t="n"/>
      <c r="N1408" s="31" t="n"/>
      <c r="O1408" s="31" t="n"/>
      <c r="P1408" s="31" t="n"/>
      <c r="Q1408" s="31" t="n"/>
      <c r="R1408" s="31" t="n"/>
      <c r="S1408" s="32">
        <f>IF($F1408="","",IF(IFERROR(VLOOKUP($F1408,'维度字典'!$M$2:$N$50,2,0),"求和")="手工录入","",IF(IFERROR(VLOOKUP($F1408,'维度字典'!$M$2:$N$50,2,0),"求和")="最新值",IFERROR(LOOKUP(9.99E+307,G1408:R1408),""),SUM(G1408:R1408))))</f>
        <v/>
      </c>
      <c r="T1408" s="33" t="n"/>
    </row>
    <row r="1409">
      <c r="A1409" s="26">
        <f>IF($B1409="","",ROW()-3)</f>
        <v/>
      </c>
      <c r="B1409" s="27" t="n"/>
      <c r="C1409" s="27" t="n"/>
      <c r="D1409" s="28" t="n"/>
      <c r="E1409" s="29" t="n"/>
      <c r="F1409" s="30" t="n"/>
      <c r="G1409" s="31" t="n"/>
      <c r="H1409" s="31" t="n"/>
      <c r="I1409" s="31" t="n"/>
      <c r="J1409" s="31" t="n"/>
      <c r="K1409" s="31" t="n"/>
      <c r="L1409" s="31" t="n"/>
      <c r="M1409" s="31" t="n"/>
      <c r="N1409" s="31" t="n"/>
      <c r="O1409" s="31" t="n"/>
      <c r="P1409" s="31" t="n"/>
      <c r="Q1409" s="31" t="n"/>
      <c r="R1409" s="31" t="n"/>
      <c r="S1409" s="32">
        <f>IF($F1409="","",IF(IFERROR(VLOOKUP($F1409,'维度字典'!$M$2:$N$50,2,0),"求和")="手工录入","",IF(IFERROR(VLOOKUP($F1409,'维度字典'!$M$2:$N$50,2,0),"求和")="最新值",IFERROR(LOOKUP(9.99E+307,G1409:R1409),""),SUM(G1409:R1409))))</f>
        <v/>
      </c>
      <c r="T1409" s="33" t="n"/>
    </row>
    <row r="1410">
      <c r="A1410" s="26">
        <f>IF($B1410="","",ROW()-3)</f>
        <v/>
      </c>
      <c r="B1410" s="27" t="n"/>
      <c r="C1410" s="27" t="n"/>
      <c r="D1410" s="28" t="n"/>
      <c r="E1410" s="29" t="n"/>
      <c r="F1410" s="30" t="n"/>
      <c r="G1410" s="31" t="n"/>
      <c r="H1410" s="31" t="n"/>
      <c r="I1410" s="31" t="n"/>
      <c r="J1410" s="31" t="n"/>
      <c r="K1410" s="31" t="n"/>
      <c r="L1410" s="31" t="n"/>
      <c r="M1410" s="31" t="n"/>
      <c r="N1410" s="31" t="n"/>
      <c r="O1410" s="31" t="n"/>
      <c r="P1410" s="31" t="n"/>
      <c r="Q1410" s="31" t="n"/>
      <c r="R1410" s="31" t="n"/>
      <c r="S1410" s="32">
        <f>IF($F1410="","",IF(IFERROR(VLOOKUP($F1410,'维度字典'!$M$2:$N$50,2,0),"求和")="手工录入","",IF(IFERROR(VLOOKUP($F1410,'维度字典'!$M$2:$N$50,2,0),"求和")="最新值",IFERROR(LOOKUP(9.99E+307,G1410:R1410),""),SUM(G1410:R1410))))</f>
        <v/>
      </c>
      <c r="T1410" s="33" t="n"/>
    </row>
    <row r="1411">
      <c r="A1411" s="26">
        <f>IF($B1411="","",ROW()-3)</f>
        <v/>
      </c>
      <c r="B1411" s="27" t="n"/>
      <c r="C1411" s="27" t="n"/>
      <c r="D1411" s="28" t="n"/>
      <c r="E1411" s="29" t="n"/>
      <c r="F1411" s="30" t="n"/>
      <c r="G1411" s="31" t="n"/>
      <c r="H1411" s="31" t="n"/>
      <c r="I1411" s="31" t="n"/>
      <c r="J1411" s="31" t="n"/>
      <c r="K1411" s="31" t="n"/>
      <c r="L1411" s="31" t="n"/>
      <c r="M1411" s="31" t="n"/>
      <c r="N1411" s="31" t="n"/>
      <c r="O1411" s="31" t="n"/>
      <c r="P1411" s="31" t="n"/>
      <c r="Q1411" s="31" t="n"/>
      <c r="R1411" s="31" t="n"/>
      <c r="S1411" s="32">
        <f>IF($F1411="","",IF(IFERROR(VLOOKUP($F1411,'维度字典'!$M$2:$N$50,2,0),"求和")="手工录入","",IF(IFERROR(VLOOKUP($F1411,'维度字典'!$M$2:$N$50,2,0),"求和")="最新值",IFERROR(LOOKUP(9.99E+307,G1411:R1411),""),SUM(G1411:R1411))))</f>
        <v/>
      </c>
      <c r="T1411" s="33" t="n"/>
    </row>
    <row r="1412">
      <c r="A1412" s="26">
        <f>IF($B1412="","",ROW()-3)</f>
        <v/>
      </c>
      <c r="B1412" s="27" t="n"/>
      <c r="C1412" s="27" t="n"/>
      <c r="D1412" s="28" t="n"/>
      <c r="E1412" s="29" t="n"/>
      <c r="F1412" s="30" t="n"/>
      <c r="G1412" s="31" t="n"/>
      <c r="H1412" s="31" t="n"/>
      <c r="I1412" s="31" t="n"/>
      <c r="J1412" s="31" t="n"/>
      <c r="K1412" s="31" t="n"/>
      <c r="L1412" s="31" t="n"/>
      <c r="M1412" s="31" t="n"/>
      <c r="N1412" s="31" t="n"/>
      <c r="O1412" s="31" t="n"/>
      <c r="P1412" s="31" t="n"/>
      <c r="Q1412" s="31" t="n"/>
      <c r="R1412" s="31" t="n"/>
      <c r="S1412" s="32">
        <f>IF($F1412="","",IF(IFERROR(VLOOKUP($F1412,'维度字典'!$M$2:$N$50,2,0),"求和")="手工录入","",IF(IFERROR(VLOOKUP($F1412,'维度字典'!$M$2:$N$50,2,0),"求和")="最新值",IFERROR(LOOKUP(9.99E+307,G1412:R1412),""),SUM(G1412:R1412))))</f>
        <v/>
      </c>
      <c r="T1412" s="33" t="n"/>
    </row>
    <row r="1413">
      <c r="A1413" s="26">
        <f>IF($B1413="","",ROW()-3)</f>
        <v/>
      </c>
      <c r="B1413" s="27" t="n"/>
      <c r="C1413" s="27" t="n"/>
      <c r="D1413" s="28" t="n"/>
      <c r="E1413" s="29" t="n"/>
      <c r="F1413" s="30" t="n"/>
      <c r="G1413" s="31" t="n"/>
      <c r="H1413" s="31" t="n"/>
      <c r="I1413" s="31" t="n"/>
      <c r="J1413" s="31" t="n"/>
      <c r="K1413" s="31" t="n"/>
      <c r="L1413" s="31" t="n"/>
      <c r="M1413" s="31" t="n"/>
      <c r="N1413" s="31" t="n"/>
      <c r="O1413" s="31" t="n"/>
      <c r="P1413" s="31" t="n"/>
      <c r="Q1413" s="31" t="n"/>
      <c r="R1413" s="31" t="n"/>
      <c r="S1413" s="32">
        <f>IF($F1413="","",IF(IFERROR(VLOOKUP($F1413,'维度字典'!$M$2:$N$50,2,0),"求和")="手工录入","",IF(IFERROR(VLOOKUP($F1413,'维度字典'!$M$2:$N$50,2,0),"求和")="最新值",IFERROR(LOOKUP(9.99E+307,G1413:R1413),""),SUM(G1413:R1413))))</f>
        <v/>
      </c>
      <c r="T1413" s="33" t="n"/>
    </row>
    <row r="1414">
      <c r="A1414" s="26">
        <f>IF($B1414="","",ROW()-3)</f>
        <v/>
      </c>
      <c r="B1414" s="27" t="n"/>
      <c r="C1414" s="27" t="n"/>
      <c r="D1414" s="28" t="n"/>
      <c r="E1414" s="29" t="n"/>
      <c r="F1414" s="30" t="n"/>
      <c r="G1414" s="31" t="n"/>
      <c r="H1414" s="31" t="n"/>
      <c r="I1414" s="31" t="n"/>
      <c r="J1414" s="31" t="n"/>
      <c r="K1414" s="31" t="n"/>
      <c r="L1414" s="31" t="n"/>
      <c r="M1414" s="31" t="n"/>
      <c r="N1414" s="31" t="n"/>
      <c r="O1414" s="31" t="n"/>
      <c r="P1414" s="31" t="n"/>
      <c r="Q1414" s="31" t="n"/>
      <c r="R1414" s="31" t="n"/>
      <c r="S1414" s="32">
        <f>IF($F1414="","",IF(IFERROR(VLOOKUP($F1414,'维度字典'!$M$2:$N$50,2,0),"求和")="手工录入","",IF(IFERROR(VLOOKUP($F1414,'维度字典'!$M$2:$N$50,2,0),"求和")="最新值",IFERROR(LOOKUP(9.99E+307,G1414:R1414),""),SUM(G1414:R1414))))</f>
        <v/>
      </c>
      <c r="T1414" s="33" t="n"/>
    </row>
    <row r="1415">
      <c r="A1415" s="26">
        <f>IF($B1415="","",ROW()-3)</f>
        <v/>
      </c>
      <c r="B1415" s="27" t="n"/>
      <c r="C1415" s="27" t="n"/>
      <c r="D1415" s="28" t="n"/>
      <c r="E1415" s="29" t="n"/>
      <c r="F1415" s="30" t="n"/>
      <c r="G1415" s="31" t="n"/>
      <c r="H1415" s="31" t="n"/>
      <c r="I1415" s="31" t="n"/>
      <c r="J1415" s="31" t="n"/>
      <c r="K1415" s="31" t="n"/>
      <c r="L1415" s="31" t="n"/>
      <c r="M1415" s="31" t="n"/>
      <c r="N1415" s="31" t="n"/>
      <c r="O1415" s="31" t="n"/>
      <c r="P1415" s="31" t="n"/>
      <c r="Q1415" s="31" t="n"/>
      <c r="R1415" s="31" t="n"/>
      <c r="S1415" s="32">
        <f>IF($F1415="","",IF(IFERROR(VLOOKUP($F1415,'维度字典'!$M$2:$N$50,2,0),"求和")="手工录入","",IF(IFERROR(VLOOKUP($F1415,'维度字典'!$M$2:$N$50,2,0),"求和")="最新值",IFERROR(LOOKUP(9.99E+307,G1415:R1415),""),SUM(G1415:R1415))))</f>
        <v/>
      </c>
      <c r="T1415" s="33" t="n"/>
    </row>
    <row r="1416">
      <c r="A1416" s="26">
        <f>IF($B1416="","",ROW()-3)</f>
        <v/>
      </c>
      <c r="B1416" s="27" t="n"/>
      <c r="C1416" s="27" t="n"/>
      <c r="D1416" s="28" t="n"/>
      <c r="E1416" s="29" t="n"/>
      <c r="F1416" s="30" t="n"/>
      <c r="G1416" s="31" t="n"/>
      <c r="H1416" s="31" t="n"/>
      <c r="I1416" s="31" t="n"/>
      <c r="J1416" s="31" t="n"/>
      <c r="K1416" s="31" t="n"/>
      <c r="L1416" s="31" t="n"/>
      <c r="M1416" s="31" t="n"/>
      <c r="N1416" s="31" t="n"/>
      <c r="O1416" s="31" t="n"/>
      <c r="P1416" s="31" t="n"/>
      <c r="Q1416" s="31" t="n"/>
      <c r="R1416" s="31" t="n"/>
      <c r="S1416" s="32">
        <f>IF($F1416="","",IF(IFERROR(VLOOKUP($F1416,'维度字典'!$M$2:$N$50,2,0),"求和")="手工录入","",IF(IFERROR(VLOOKUP($F1416,'维度字典'!$M$2:$N$50,2,0),"求和")="最新值",IFERROR(LOOKUP(9.99E+307,G1416:R1416),""),SUM(G1416:R1416))))</f>
        <v/>
      </c>
      <c r="T1416" s="33" t="n"/>
    </row>
    <row r="1417">
      <c r="A1417" s="26">
        <f>IF($B1417="","",ROW()-3)</f>
        <v/>
      </c>
      <c r="B1417" s="27" t="n"/>
      <c r="C1417" s="27" t="n"/>
      <c r="D1417" s="28" t="n"/>
      <c r="E1417" s="29" t="n"/>
      <c r="F1417" s="30" t="n"/>
      <c r="G1417" s="31" t="n"/>
      <c r="H1417" s="31" t="n"/>
      <c r="I1417" s="31" t="n"/>
      <c r="J1417" s="31" t="n"/>
      <c r="K1417" s="31" t="n"/>
      <c r="L1417" s="31" t="n"/>
      <c r="M1417" s="31" t="n"/>
      <c r="N1417" s="31" t="n"/>
      <c r="O1417" s="31" t="n"/>
      <c r="P1417" s="31" t="n"/>
      <c r="Q1417" s="31" t="n"/>
      <c r="R1417" s="31" t="n"/>
      <c r="S1417" s="32">
        <f>IF($F1417="","",IF(IFERROR(VLOOKUP($F1417,'维度字典'!$M$2:$N$50,2,0),"求和")="手工录入","",IF(IFERROR(VLOOKUP($F1417,'维度字典'!$M$2:$N$50,2,0),"求和")="最新值",IFERROR(LOOKUP(9.99E+307,G1417:R1417),""),SUM(G1417:R1417))))</f>
        <v/>
      </c>
      <c r="T1417" s="33" t="n"/>
    </row>
    <row r="1418">
      <c r="A1418" s="26">
        <f>IF($B1418="","",ROW()-3)</f>
        <v/>
      </c>
      <c r="B1418" s="27" t="n"/>
      <c r="C1418" s="27" t="n"/>
      <c r="D1418" s="28" t="n"/>
      <c r="E1418" s="29" t="n"/>
      <c r="F1418" s="30" t="n"/>
      <c r="G1418" s="31" t="n"/>
      <c r="H1418" s="31" t="n"/>
      <c r="I1418" s="31" t="n"/>
      <c r="J1418" s="31" t="n"/>
      <c r="K1418" s="31" t="n"/>
      <c r="L1418" s="31" t="n"/>
      <c r="M1418" s="31" t="n"/>
      <c r="N1418" s="31" t="n"/>
      <c r="O1418" s="31" t="n"/>
      <c r="P1418" s="31" t="n"/>
      <c r="Q1418" s="31" t="n"/>
      <c r="R1418" s="31" t="n"/>
      <c r="S1418" s="32">
        <f>IF($F1418="","",IF(IFERROR(VLOOKUP($F1418,'维度字典'!$M$2:$N$50,2,0),"求和")="手工录入","",IF(IFERROR(VLOOKUP($F1418,'维度字典'!$M$2:$N$50,2,0),"求和")="最新值",IFERROR(LOOKUP(9.99E+307,G1418:R1418),""),SUM(G1418:R1418))))</f>
        <v/>
      </c>
      <c r="T1418" s="33" t="n"/>
    </row>
    <row r="1419">
      <c r="A1419" s="26">
        <f>IF($B1419="","",ROW()-3)</f>
        <v/>
      </c>
      <c r="B1419" s="27" t="n"/>
      <c r="C1419" s="27" t="n"/>
      <c r="D1419" s="28" t="n"/>
      <c r="E1419" s="29" t="n"/>
      <c r="F1419" s="30" t="n"/>
      <c r="G1419" s="31" t="n"/>
      <c r="H1419" s="31" t="n"/>
      <c r="I1419" s="31" t="n"/>
      <c r="J1419" s="31" t="n"/>
      <c r="K1419" s="31" t="n"/>
      <c r="L1419" s="31" t="n"/>
      <c r="M1419" s="31" t="n"/>
      <c r="N1419" s="31" t="n"/>
      <c r="O1419" s="31" t="n"/>
      <c r="P1419" s="31" t="n"/>
      <c r="Q1419" s="31" t="n"/>
      <c r="R1419" s="31" t="n"/>
      <c r="S1419" s="32">
        <f>IF($F1419="","",IF(IFERROR(VLOOKUP($F1419,'维度字典'!$M$2:$N$50,2,0),"求和")="手工录入","",IF(IFERROR(VLOOKUP($F1419,'维度字典'!$M$2:$N$50,2,0),"求和")="最新值",IFERROR(LOOKUP(9.99E+307,G1419:R1419),""),SUM(G1419:R1419))))</f>
        <v/>
      </c>
      <c r="T1419" s="33" t="n"/>
    </row>
    <row r="1420">
      <c r="A1420" s="26">
        <f>IF($B1420="","",ROW()-3)</f>
        <v/>
      </c>
      <c r="B1420" s="27" t="n"/>
      <c r="C1420" s="27" t="n"/>
      <c r="D1420" s="28" t="n"/>
      <c r="E1420" s="29" t="n"/>
      <c r="F1420" s="30" t="n"/>
      <c r="G1420" s="31" t="n"/>
      <c r="H1420" s="31" t="n"/>
      <c r="I1420" s="31" t="n"/>
      <c r="J1420" s="31" t="n"/>
      <c r="K1420" s="31" t="n"/>
      <c r="L1420" s="31" t="n"/>
      <c r="M1420" s="31" t="n"/>
      <c r="N1420" s="31" t="n"/>
      <c r="O1420" s="31" t="n"/>
      <c r="P1420" s="31" t="n"/>
      <c r="Q1420" s="31" t="n"/>
      <c r="R1420" s="31" t="n"/>
      <c r="S1420" s="32">
        <f>IF($F1420="","",IF(IFERROR(VLOOKUP($F1420,'维度字典'!$M$2:$N$50,2,0),"求和")="手工录入","",IF(IFERROR(VLOOKUP($F1420,'维度字典'!$M$2:$N$50,2,0),"求和")="最新值",IFERROR(LOOKUP(9.99E+307,G1420:R1420),""),SUM(G1420:R1420))))</f>
        <v/>
      </c>
      <c r="T1420" s="33" t="n"/>
    </row>
    <row r="1421">
      <c r="A1421" s="26">
        <f>IF($B1421="","",ROW()-3)</f>
        <v/>
      </c>
      <c r="B1421" s="27" t="n"/>
      <c r="C1421" s="27" t="n"/>
      <c r="D1421" s="28" t="n"/>
      <c r="E1421" s="29" t="n"/>
      <c r="F1421" s="30" t="n"/>
      <c r="G1421" s="31" t="n"/>
      <c r="H1421" s="31" t="n"/>
      <c r="I1421" s="31" t="n"/>
      <c r="J1421" s="31" t="n"/>
      <c r="K1421" s="31" t="n"/>
      <c r="L1421" s="31" t="n"/>
      <c r="M1421" s="31" t="n"/>
      <c r="N1421" s="31" t="n"/>
      <c r="O1421" s="31" t="n"/>
      <c r="P1421" s="31" t="n"/>
      <c r="Q1421" s="31" t="n"/>
      <c r="R1421" s="31" t="n"/>
      <c r="S1421" s="32">
        <f>IF($F1421="","",IF(IFERROR(VLOOKUP($F1421,'维度字典'!$M$2:$N$50,2,0),"求和")="手工录入","",IF(IFERROR(VLOOKUP($F1421,'维度字典'!$M$2:$N$50,2,0),"求和")="最新值",IFERROR(LOOKUP(9.99E+307,G1421:R1421),""),SUM(G1421:R1421))))</f>
        <v/>
      </c>
      <c r="T1421" s="33" t="n"/>
    </row>
    <row r="1422">
      <c r="A1422" s="26">
        <f>IF($B1422="","",ROW()-3)</f>
        <v/>
      </c>
      <c r="B1422" s="27" t="n"/>
      <c r="C1422" s="27" t="n"/>
      <c r="D1422" s="28" t="n"/>
      <c r="E1422" s="29" t="n"/>
      <c r="F1422" s="30" t="n"/>
      <c r="G1422" s="31" t="n"/>
      <c r="H1422" s="31" t="n"/>
      <c r="I1422" s="31" t="n"/>
      <c r="J1422" s="31" t="n"/>
      <c r="K1422" s="31" t="n"/>
      <c r="L1422" s="31" t="n"/>
      <c r="M1422" s="31" t="n"/>
      <c r="N1422" s="31" t="n"/>
      <c r="O1422" s="31" t="n"/>
      <c r="P1422" s="31" t="n"/>
      <c r="Q1422" s="31" t="n"/>
      <c r="R1422" s="31" t="n"/>
      <c r="S1422" s="32">
        <f>IF($F1422="","",IF(IFERROR(VLOOKUP($F1422,'维度字典'!$M$2:$N$50,2,0),"求和")="手工录入","",IF(IFERROR(VLOOKUP($F1422,'维度字典'!$M$2:$N$50,2,0),"求和")="最新值",IFERROR(LOOKUP(9.99E+307,G1422:R1422),""),SUM(G1422:R1422))))</f>
        <v/>
      </c>
      <c r="T1422" s="33" t="n"/>
    </row>
    <row r="1423">
      <c r="A1423" s="26">
        <f>IF($B1423="","",ROW()-3)</f>
        <v/>
      </c>
      <c r="B1423" s="27" t="n"/>
      <c r="C1423" s="27" t="n"/>
      <c r="D1423" s="28" t="n"/>
      <c r="E1423" s="29" t="n"/>
      <c r="F1423" s="30" t="n"/>
      <c r="G1423" s="31" t="n"/>
      <c r="H1423" s="31" t="n"/>
      <c r="I1423" s="31" t="n"/>
      <c r="J1423" s="31" t="n"/>
      <c r="K1423" s="31" t="n"/>
      <c r="L1423" s="31" t="n"/>
      <c r="M1423" s="31" t="n"/>
      <c r="N1423" s="31" t="n"/>
      <c r="O1423" s="31" t="n"/>
      <c r="P1423" s="31" t="n"/>
      <c r="Q1423" s="31" t="n"/>
      <c r="R1423" s="31" t="n"/>
      <c r="S1423" s="32">
        <f>IF($F1423="","",IF(IFERROR(VLOOKUP($F1423,'维度字典'!$M$2:$N$50,2,0),"求和")="手工录入","",IF(IFERROR(VLOOKUP($F1423,'维度字典'!$M$2:$N$50,2,0),"求和")="最新值",IFERROR(LOOKUP(9.99E+307,G1423:R1423),""),SUM(G1423:R1423))))</f>
        <v/>
      </c>
      <c r="T1423" s="33" t="n"/>
    </row>
    <row r="1424">
      <c r="A1424" s="26">
        <f>IF($B1424="","",ROW()-3)</f>
        <v/>
      </c>
      <c r="B1424" s="27" t="n"/>
      <c r="C1424" s="27" t="n"/>
      <c r="D1424" s="28" t="n"/>
      <c r="E1424" s="29" t="n"/>
      <c r="F1424" s="30" t="n"/>
      <c r="G1424" s="31" t="n"/>
      <c r="H1424" s="31" t="n"/>
      <c r="I1424" s="31" t="n"/>
      <c r="J1424" s="31" t="n"/>
      <c r="K1424" s="31" t="n"/>
      <c r="L1424" s="31" t="n"/>
      <c r="M1424" s="31" t="n"/>
      <c r="N1424" s="31" t="n"/>
      <c r="O1424" s="31" t="n"/>
      <c r="P1424" s="31" t="n"/>
      <c r="Q1424" s="31" t="n"/>
      <c r="R1424" s="31" t="n"/>
      <c r="S1424" s="32">
        <f>IF($F1424="","",IF(IFERROR(VLOOKUP($F1424,'维度字典'!$M$2:$N$50,2,0),"求和")="手工录入","",IF(IFERROR(VLOOKUP($F1424,'维度字典'!$M$2:$N$50,2,0),"求和")="最新值",IFERROR(LOOKUP(9.99E+307,G1424:R1424),""),SUM(G1424:R1424))))</f>
        <v/>
      </c>
      <c r="T1424" s="33" t="n"/>
    </row>
    <row r="1425">
      <c r="A1425" s="26">
        <f>IF($B1425="","",ROW()-3)</f>
        <v/>
      </c>
      <c r="B1425" s="27" t="n"/>
      <c r="C1425" s="27" t="n"/>
      <c r="D1425" s="28" t="n"/>
      <c r="E1425" s="29" t="n"/>
      <c r="F1425" s="30" t="n"/>
      <c r="G1425" s="31" t="n"/>
      <c r="H1425" s="31" t="n"/>
      <c r="I1425" s="31" t="n"/>
      <c r="J1425" s="31" t="n"/>
      <c r="K1425" s="31" t="n"/>
      <c r="L1425" s="31" t="n"/>
      <c r="M1425" s="31" t="n"/>
      <c r="N1425" s="31" t="n"/>
      <c r="O1425" s="31" t="n"/>
      <c r="P1425" s="31" t="n"/>
      <c r="Q1425" s="31" t="n"/>
      <c r="R1425" s="31" t="n"/>
      <c r="S1425" s="32">
        <f>IF($F1425="","",IF(IFERROR(VLOOKUP($F1425,'维度字典'!$M$2:$N$50,2,0),"求和")="手工录入","",IF(IFERROR(VLOOKUP($F1425,'维度字典'!$M$2:$N$50,2,0),"求和")="最新值",IFERROR(LOOKUP(9.99E+307,G1425:R1425),""),SUM(G1425:R1425))))</f>
        <v/>
      </c>
      <c r="T1425" s="33" t="n"/>
    </row>
    <row r="1426">
      <c r="A1426" s="26">
        <f>IF($B1426="","",ROW()-3)</f>
        <v/>
      </c>
      <c r="B1426" s="27" t="n"/>
      <c r="C1426" s="27" t="n"/>
      <c r="D1426" s="28" t="n"/>
      <c r="E1426" s="29" t="n"/>
      <c r="F1426" s="30" t="n"/>
      <c r="G1426" s="31" t="n"/>
      <c r="H1426" s="31" t="n"/>
      <c r="I1426" s="31" t="n"/>
      <c r="J1426" s="31" t="n"/>
      <c r="K1426" s="31" t="n"/>
      <c r="L1426" s="31" t="n"/>
      <c r="M1426" s="31" t="n"/>
      <c r="N1426" s="31" t="n"/>
      <c r="O1426" s="31" t="n"/>
      <c r="P1426" s="31" t="n"/>
      <c r="Q1426" s="31" t="n"/>
      <c r="R1426" s="31" t="n"/>
      <c r="S1426" s="32">
        <f>IF($F1426="","",IF(IFERROR(VLOOKUP($F1426,'维度字典'!$M$2:$N$50,2,0),"求和")="手工录入","",IF(IFERROR(VLOOKUP($F1426,'维度字典'!$M$2:$N$50,2,0),"求和")="最新值",IFERROR(LOOKUP(9.99E+307,G1426:R1426),""),SUM(G1426:R1426))))</f>
        <v/>
      </c>
      <c r="T1426" s="33" t="n"/>
    </row>
    <row r="1427">
      <c r="A1427" s="26">
        <f>IF($B1427="","",ROW()-3)</f>
        <v/>
      </c>
      <c r="B1427" s="27" t="n"/>
      <c r="C1427" s="27" t="n"/>
      <c r="D1427" s="28" t="n"/>
      <c r="E1427" s="29" t="n"/>
      <c r="F1427" s="30" t="n"/>
      <c r="G1427" s="31" t="n"/>
      <c r="H1427" s="31" t="n"/>
      <c r="I1427" s="31" t="n"/>
      <c r="J1427" s="31" t="n"/>
      <c r="K1427" s="31" t="n"/>
      <c r="L1427" s="31" t="n"/>
      <c r="M1427" s="31" t="n"/>
      <c r="N1427" s="31" t="n"/>
      <c r="O1427" s="31" t="n"/>
      <c r="P1427" s="31" t="n"/>
      <c r="Q1427" s="31" t="n"/>
      <c r="R1427" s="31" t="n"/>
      <c r="S1427" s="32">
        <f>IF($F1427="","",IF(IFERROR(VLOOKUP($F1427,'维度字典'!$M$2:$N$50,2,0),"求和")="手工录入","",IF(IFERROR(VLOOKUP($F1427,'维度字典'!$M$2:$N$50,2,0),"求和")="最新值",IFERROR(LOOKUP(9.99E+307,G1427:R1427),""),SUM(G1427:R1427))))</f>
        <v/>
      </c>
      <c r="T1427" s="33" t="n"/>
    </row>
    <row r="1428">
      <c r="A1428" s="26">
        <f>IF($B1428="","",ROW()-3)</f>
        <v/>
      </c>
      <c r="B1428" s="27" t="n"/>
      <c r="C1428" s="27" t="n"/>
      <c r="D1428" s="28" t="n"/>
      <c r="E1428" s="29" t="n"/>
      <c r="F1428" s="30" t="n"/>
      <c r="G1428" s="31" t="n"/>
      <c r="H1428" s="31" t="n"/>
      <c r="I1428" s="31" t="n"/>
      <c r="J1428" s="31" t="n"/>
      <c r="K1428" s="31" t="n"/>
      <c r="L1428" s="31" t="n"/>
      <c r="M1428" s="31" t="n"/>
      <c r="N1428" s="31" t="n"/>
      <c r="O1428" s="31" t="n"/>
      <c r="P1428" s="31" t="n"/>
      <c r="Q1428" s="31" t="n"/>
      <c r="R1428" s="31" t="n"/>
      <c r="S1428" s="32">
        <f>IF($F1428="","",IF(IFERROR(VLOOKUP($F1428,'维度字典'!$M$2:$N$50,2,0),"求和")="手工录入","",IF(IFERROR(VLOOKUP($F1428,'维度字典'!$M$2:$N$50,2,0),"求和")="最新值",IFERROR(LOOKUP(9.99E+307,G1428:R1428),""),SUM(G1428:R1428))))</f>
        <v/>
      </c>
      <c r="T1428" s="33" t="n"/>
    </row>
    <row r="1429">
      <c r="A1429" s="26">
        <f>IF($B1429="","",ROW()-3)</f>
        <v/>
      </c>
      <c r="B1429" s="27" t="n"/>
      <c r="C1429" s="27" t="n"/>
      <c r="D1429" s="28" t="n"/>
      <c r="E1429" s="29" t="n"/>
      <c r="F1429" s="30" t="n"/>
      <c r="G1429" s="31" t="n"/>
      <c r="H1429" s="31" t="n"/>
      <c r="I1429" s="31" t="n"/>
      <c r="J1429" s="31" t="n"/>
      <c r="K1429" s="31" t="n"/>
      <c r="L1429" s="31" t="n"/>
      <c r="M1429" s="31" t="n"/>
      <c r="N1429" s="31" t="n"/>
      <c r="O1429" s="31" t="n"/>
      <c r="P1429" s="31" t="n"/>
      <c r="Q1429" s="31" t="n"/>
      <c r="R1429" s="31" t="n"/>
      <c r="S1429" s="32">
        <f>IF($F1429="","",IF(IFERROR(VLOOKUP($F1429,'维度字典'!$M$2:$N$50,2,0),"求和")="手工录入","",IF(IFERROR(VLOOKUP($F1429,'维度字典'!$M$2:$N$50,2,0),"求和")="最新值",IFERROR(LOOKUP(9.99E+307,G1429:R1429),""),SUM(G1429:R1429))))</f>
        <v/>
      </c>
      <c r="T1429" s="33" t="n"/>
    </row>
    <row r="1430">
      <c r="A1430" s="26">
        <f>IF($B1430="","",ROW()-3)</f>
        <v/>
      </c>
      <c r="B1430" s="27" t="n"/>
      <c r="C1430" s="27" t="n"/>
      <c r="D1430" s="28" t="n"/>
      <c r="E1430" s="29" t="n"/>
      <c r="F1430" s="30" t="n"/>
      <c r="G1430" s="31" t="n"/>
      <c r="H1430" s="31" t="n"/>
      <c r="I1430" s="31" t="n"/>
      <c r="J1430" s="31" t="n"/>
      <c r="K1430" s="31" t="n"/>
      <c r="L1430" s="31" t="n"/>
      <c r="M1430" s="31" t="n"/>
      <c r="N1430" s="31" t="n"/>
      <c r="O1430" s="31" t="n"/>
      <c r="P1430" s="31" t="n"/>
      <c r="Q1430" s="31" t="n"/>
      <c r="R1430" s="31" t="n"/>
      <c r="S1430" s="32">
        <f>IF($F1430="","",IF(IFERROR(VLOOKUP($F1430,'维度字典'!$M$2:$N$50,2,0),"求和")="手工录入","",IF(IFERROR(VLOOKUP($F1430,'维度字典'!$M$2:$N$50,2,0),"求和")="最新值",IFERROR(LOOKUP(9.99E+307,G1430:R1430),""),SUM(G1430:R1430))))</f>
        <v/>
      </c>
      <c r="T1430" s="33" t="n"/>
    </row>
    <row r="1431">
      <c r="A1431" s="26">
        <f>IF($B1431="","",ROW()-3)</f>
        <v/>
      </c>
      <c r="B1431" s="27" t="n"/>
      <c r="C1431" s="27" t="n"/>
      <c r="D1431" s="28" t="n"/>
      <c r="E1431" s="29" t="n"/>
      <c r="F1431" s="30" t="n"/>
      <c r="G1431" s="31" t="n"/>
      <c r="H1431" s="31" t="n"/>
      <c r="I1431" s="31" t="n"/>
      <c r="J1431" s="31" t="n"/>
      <c r="K1431" s="31" t="n"/>
      <c r="L1431" s="31" t="n"/>
      <c r="M1431" s="31" t="n"/>
      <c r="N1431" s="31" t="n"/>
      <c r="O1431" s="31" t="n"/>
      <c r="P1431" s="31" t="n"/>
      <c r="Q1431" s="31" t="n"/>
      <c r="R1431" s="31" t="n"/>
      <c r="S1431" s="32">
        <f>IF($F1431="","",IF(IFERROR(VLOOKUP($F1431,'维度字典'!$M$2:$N$50,2,0),"求和")="手工录入","",IF(IFERROR(VLOOKUP($F1431,'维度字典'!$M$2:$N$50,2,0),"求和")="最新值",IFERROR(LOOKUP(9.99E+307,G1431:R1431),""),SUM(G1431:R1431))))</f>
        <v/>
      </c>
      <c r="T1431" s="33" t="n"/>
    </row>
    <row r="1432">
      <c r="A1432" s="26">
        <f>IF($B1432="","",ROW()-3)</f>
        <v/>
      </c>
      <c r="B1432" s="27" t="n"/>
      <c r="C1432" s="27" t="n"/>
      <c r="D1432" s="28" t="n"/>
      <c r="E1432" s="29" t="n"/>
      <c r="F1432" s="30" t="n"/>
      <c r="G1432" s="31" t="n"/>
      <c r="H1432" s="31" t="n"/>
      <c r="I1432" s="31" t="n"/>
      <c r="J1432" s="31" t="n"/>
      <c r="K1432" s="31" t="n"/>
      <c r="L1432" s="31" t="n"/>
      <c r="M1432" s="31" t="n"/>
      <c r="N1432" s="31" t="n"/>
      <c r="O1432" s="31" t="n"/>
      <c r="P1432" s="31" t="n"/>
      <c r="Q1432" s="31" t="n"/>
      <c r="R1432" s="31" t="n"/>
      <c r="S1432" s="32">
        <f>IF($F1432="","",IF(IFERROR(VLOOKUP($F1432,'维度字典'!$M$2:$N$50,2,0),"求和")="手工录入","",IF(IFERROR(VLOOKUP($F1432,'维度字典'!$M$2:$N$50,2,0),"求和")="最新值",IFERROR(LOOKUP(9.99E+307,G1432:R1432),""),SUM(G1432:R1432))))</f>
        <v/>
      </c>
      <c r="T1432" s="33" t="n"/>
    </row>
    <row r="1433">
      <c r="A1433" s="26">
        <f>IF($B1433="","",ROW()-3)</f>
        <v/>
      </c>
      <c r="B1433" s="27" t="n"/>
      <c r="C1433" s="27" t="n"/>
      <c r="D1433" s="28" t="n"/>
      <c r="E1433" s="29" t="n"/>
      <c r="F1433" s="30" t="n"/>
      <c r="G1433" s="31" t="n"/>
      <c r="H1433" s="31" t="n"/>
      <c r="I1433" s="31" t="n"/>
      <c r="J1433" s="31" t="n"/>
      <c r="K1433" s="31" t="n"/>
      <c r="L1433" s="31" t="n"/>
      <c r="M1433" s="31" t="n"/>
      <c r="N1433" s="31" t="n"/>
      <c r="O1433" s="31" t="n"/>
      <c r="P1433" s="31" t="n"/>
      <c r="Q1433" s="31" t="n"/>
      <c r="R1433" s="31" t="n"/>
      <c r="S1433" s="32">
        <f>IF($F1433="","",IF(IFERROR(VLOOKUP($F1433,'维度字典'!$M$2:$N$50,2,0),"求和")="手工录入","",IF(IFERROR(VLOOKUP($F1433,'维度字典'!$M$2:$N$50,2,0),"求和")="最新值",IFERROR(LOOKUP(9.99E+307,G1433:R1433),""),SUM(G1433:R1433))))</f>
        <v/>
      </c>
      <c r="T1433" s="33" t="n"/>
    </row>
    <row r="1434">
      <c r="A1434" s="26">
        <f>IF($B1434="","",ROW()-3)</f>
        <v/>
      </c>
      <c r="B1434" s="27" t="n"/>
      <c r="C1434" s="27" t="n"/>
      <c r="D1434" s="28" t="n"/>
      <c r="E1434" s="29" t="n"/>
      <c r="F1434" s="30" t="n"/>
      <c r="G1434" s="31" t="n"/>
      <c r="H1434" s="31" t="n"/>
      <c r="I1434" s="31" t="n"/>
      <c r="J1434" s="31" t="n"/>
      <c r="K1434" s="31" t="n"/>
      <c r="L1434" s="31" t="n"/>
      <c r="M1434" s="31" t="n"/>
      <c r="N1434" s="31" t="n"/>
      <c r="O1434" s="31" t="n"/>
      <c r="P1434" s="31" t="n"/>
      <c r="Q1434" s="31" t="n"/>
      <c r="R1434" s="31" t="n"/>
      <c r="S1434" s="32">
        <f>IF($F1434="","",IF(IFERROR(VLOOKUP($F1434,'维度字典'!$M$2:$N$50,2,0),"求和")="手工录入","",IF(IFERROR(VLOOKUP($F1434,'维度字典'!$M$2:$N$50,2,0),"求和")="最新值",IFERROR(LOOKUP(9.99E+307,G1434:R1434),""),SUM(G1434:R1434))))</f>
        <v/>
      </c>
      <c r="T1434" s="33" t="n"/>
    </row>
    <row r="1435">
      <c r="A1435" s="26">
        <f>IF($B1435="","",ROW()-3)</f>
        <v/>
      </c>
      <c r="B1435" s="27" t="n"/>
      <c r="C1435" s="27" t="n"/>
      <c r="D1435" s="28" t="n"/>
      <c r="E1435" s="29" t="n"/>
      <c r="F1435" s="30" t="n"/>
      <c r="G1435" s="31" t="n"/>
      <c r="H1435" s="31" t="n"/>
      <c r="I1435" s="31" t="n"/>
      <c r="J1435" s="31" t="n"/>
      <c r="K1435" s="31" t="n"/>
      <c r="L1435" s="31" t="n"/>
      <c r="M1435" s="31" t="n"/>
      <c r="N1435" s="31" t="n"/>
      <c r="O1435" s="31" t="n"/>
      <c r="P1435" s="31" t="n"/>
      <c r="Q1435" s="31" t="n"/>
      <c r="R1435" s="31" t="n"/>
      <c r="S1435" s="32">
        <f>IF($F1435="","",IF(IFERROR(VLOOKUP($F1435,'维度字典'!$M$2:$N$50,2,0),"求和")="手工录入","",IF(IFERROR(VLOOKUP($F1435,'维度字典'!$M$2:$N$50,2,0),"求和")="最新值",IFERROR(LOOKUP(9.99E+307,G1435:R1435),""),SUM(G1435:R1435))))</f>
        <v/>
      </c>
      <c r="T1435" s="33" t="n"/>
    </row>
    <row r="1436">
      <c r="A1436" s="26">
        <f>IF($B1436="","",ROW()-3)</f>
        <v/>
      </c>
      <c r="B1436" s="27" t="n"/>
      <c r="C1436" s="27" t="n"/>
      <c r="D1436" s="28" t="n"/>
      <c r="E1436" s="29" t="n"/>
      <c r="F1436" s="30" t="n"/>
      <c r="G1436" s="31" t="n"/>
      <c r="H1436" s="31" t="n"/>
      <c r="I1436" s="31" t="n"/>
      <c r="J1436" s="31" t="n"/>
      <c r="K1436" s="31" t="n"/>
      <c r="L1436" s="31" t="n"/>
      <c r="M1436" s="31" t="n"/>
      <c r="N1436" s="31" t="n"/>
      <c r="O1436" s="31" t="n"/>
      <c r="P1436" s="31" t="n"/>
      <c r="Q1436" s="31" t="n"/>
      <c r="R1436" s="31" t="n"/>
      <c r="S1436" s="32">
        <f>IF($F1436="","",IF(IFERROR(VLOOKUP($F1436,'维度字典'!$M$2:$N$50,2,0),"求和")="手工录入","",IF(IFERROR(VLOOKUP($F1436,'维度字典'!$M$2:$N$50,2,0),"求和")="最新值",IFERROR(LOOKUP(9.99E+307,G1436:R1436),""),SUM(G1436:R1436))))</f>
        <v/>
      </c>
      <c r="T1436" s="33" t="n"/>
    </row>
    <row r="1437">
      <c r="A1437" s="26">
        <f>IF($B1437="","",ROW()-3)</f>
        <v/>
      </c>
      <c r="B1437" s="27" t="n"/>
      <c r="C1437" s="27" t="n"/>
      <c r="D1437" s="28" t="n"/>
      <c r="E1437" s="29" t="n"/>
      <c r="F1437" s="30" t="n"/>
      <c r="G1437" s="31" t="n"/>
      <c r="H1437" s="31" t="n"/>
      <c r="I1437" s="31" t="n"/>
      <c r="J1437" s="31" t="n"/>
      <c r="K1437" s="31" t="n"/>
      <c r="L1437" s="31" t="n"/>
      <c r="M1437" s="31" t="n"/>
      <c r="N1437" s="31" t="n"/>
      <c r="O1437" s="31" t="n"/>
      <c r="P1437" s="31" t="n"/>
      <c r="Q1437" s="31" t="n"/>
      <c r="R1437" s="31" t="n"/>
      <c r="S1437" s="32">
        <f>IF($F1437="","",IF(IFERROR(VLOOKUP($F1437,'维度字典'!$M$2:$N$50,2,0),"求和")="手工录入","",IF(IFERROR(VLOOKUP($F1437,'维度字典'!$M$2:$N$50,2,0),"求和")="最新值",IFERROR(LOOKUP(9.99E+307,G1437:R1437),""),SUM(G1437:R1437))))</f>
        <v/>
      </c>
      <c r="T1437" s="33" t="n"/>
    </row>
    <row r="1438">
      <c r="A1438" s="26">
        <f>IF($B1438="","",ROW()-3)</f>
        <v/>
      </c>
      <c r="B1438" s="27" t="n"/>
      <c r="C1438" s="27" t="n"/>
      <c r="D1438" s="28" t="n"/>
      <c r="E1438" s="29" t="n"/>
      <c r="F1438" s="30" t="n"/>
      <c r="G1438" s="31" t="n"/>
      <c r="H1438" s="31" t="n"/>
      <c r="I1438" s="31" t="n"/>
      <c r="J1438" s="31" t="n"/>
      <c r="K1438" s="31" t="n"/>
      <c r="L1438" s="31" t="n"/>
      <c r="M1438" s="31" t="n"/>
      <c r="N1438" s="31" t="n"/>
      <c r="O1438" s="31" t="n"/>
      <c r="P1438" s="31" t="n"/>
      <c r="Q1438" s="31" t="n"/>
      <c r="R1438" s="31" t="n"/>
      <c r="S1438" s="32">
        <f>IF($F1438="","",IF(IFERROR(VLOOKUP($F1438,'维度字典'!$M$2:$N$50,2,0),"求和")="手工录入","",IF(IFERROR(VLOOKUP($F1438,'维度字典'!$M$2:$N$50,2,0),"求和")="最新值",IFERROR(LOOKUP(9.99E+307,G1438:R1438),""),SUM(G1438:R1438))))</f>
        <v/>
      </c>
      <c r="T1438" s="33" t="n"/>
    </row>
    <row r="1439">
      <c r="A1439" s="26">
        <f>IF($B1439="","",ROW()-3)</f>
        <v/>
      </c>
      <c r="B1439" s="27" t="n"/>
      <c r="C1439" s="27" t="n"/>
      <c r="D1439" s="28" t="n"/>
      <c r="E1439" s="29" t="n"/>
      <c r="F1439" s="30" t="n"/>
      <c r="G1439" s="31" t="n"/>
      <c r="H1439" s="31" t="n"/>
      <c r="I1439" s="31" t="n"/>
      <c r="J1439" s="31" t="n"/>
      <c r="K1439" s="31" t="n"/>
      <c r="L1439" s="31" t="n"/>
      <c r="M1439" s="31" t="n"/>
      <c r="N1439" s="31" t="n"/>
      <c r="O1439" s="31" t="n"/>
      <c r="P1439" s="31" t="n"/>
      <c r="Q1439" s="31" t="n"/>
      <c r="R1439" s="31" t="n"/>
      <c r="S1439" s="32">
        <f>IF($F1439="","",IF(IFERROR(VLOOKUP($F1439,'维度字典'!$M$2:$N$50,2,0),"求和")="手工录入","",IF(IFERROR(VLOOKUP($F1439,'维度字典'!$M$2:$N$50,2,0),"求和")="最新值",IFERROR(LOOKUP(9.99E+307,G1439:R1439),""),SUM(G1439:R1439))))</f>
        <v/>
      </c>
      <c r="T1439" s="33" t="n"/>
    </row>
    <row r="1440">
      <c r="A1440" s="26">
        <f>IF($B1440="","",ROW()-3)</f>
        <v/>
      </c>
      <c r="B1440" s="27" t="n"/>
      <c r="C1440" s="27" t="n"/>
      <c r="D1440" s="28" t="n"/>
      <c r="E1440" s="29" t="n"/>
      <c r="F1440" s="30" t="n"/>
      <c r="G1440" s="31" t="n"/>
      <c r="H1440" s="31" t="n"/>
      <c r="I1440" s="31" t="n"/>
      <c r="J1440" s="31" t="n"/>
      <c r="K1440" s="31" t="n"/>
      <c r="L1440" s="31" t="n"/>
      <c r="M1440" s="31" t="n"/>
      <c r="N1440" s="31" t="n"/>
      <c r="O1440" s="31" t="n"/>
      <c r="P1440" s="31" t="n"/>
      <c r="Q1440" s="31" t="n"/>
      <c r="R1440" s="31" t="n"/>
      <c r="S1440" s="32">
        <f>IF($F1440="","",IF(IFERROR(VLOOKUP($F1440,'维度字典'!$M$2:$N$50,2,0),"求和")="手工录入","",IF(IFERROR(VLOOKUP($F1440,'维度字典'!$M$2:$N$50,2,0),"求和")="最新值",IFERROR(LOOKUP(9.99E+307,G1440:R1440),""),SUM(G1440:R1440))))</f>
        <v/>
      </c>
      <c r="T1440" s="33" t="n"/>
    </row>
    <row r="1441">
      <c r="A1441" s="26">
        <f>IF($B1441="","",ROW()-3)</f>
        <v/>
      </c>
      <c r="B1441" s="27" t="n"/>
      <c r="C1441" s="27" t="n"/>
      <c r="D1441" s="28" t="n"/>
      <c r="E1441" s="29" t="n"/>
      <c r="F1441" s="30" t="n"/>
      <c r="G1441" s="31" t="n"/>
      <c r="H1441" s="31" t="n"/>
      <c r="I1441" s="31" t="n"/>
      <c r="J1441" s="31" t="n"/>
      <c r="K1441" s="31" t="n"/>
      <c r="L1441" s="31" t="n"/>
      <c r="M1441" s="31" t="n"/>
      <c r="N1441" s="31" t="n"/>
      <c r="O1441" s="31" t="n"/>
      <c r="P1441" s="31" t="n"/>
      <c r="Q1441" s="31" t="n"/>
      <c r="R1441" s="31" t="n"/>
      <c r="S1441" s="32">
        <f>IF($F1441="","",IF(IFERROR(VLOOKUP($F1441,'维度字典'!$M$2:$N$50,2,0),"求和")="手工录入","",IF(IFERROR(VLOOKUP($F1441,'维度字典'!$M$2:$N$50,2,0),"求和")="最新值",IFERROR(LOOKUP(9.99E+307,G1441:R1441),""),SUM(G1441:R1441))))</f>
        <v/>
      </c>
      <c r="T1441" s="33" t="n"/>
    </row>
    <row r="1442">
      <c r="A1442" s="26">
        <f>IF($B1442="","",ROW()-3)</f>
        <v/>
      </c>
      <c r="B1442" s="27" t="n"/>
      <c r="C1442" s="27" t="n"/>
      <c r="D1442" s="28" t="n"/>
      <c r="E1442" s="29" t="n"/>
      <c r="F1442" s="30" t="n"/>
      <c r="G1442" s="31" t="n"/>
      <c r="H1442" s="31" t="n"/>
      <c r="I1442" s="31" t="n"/>
      <c r="J1442" s="31" t="n"/>
      <c r="K1442" s="31" t="n"/>
      <c r="L1442" s="31" t="n"/>
      <c r="M1442" s="31" t="n"/>
      <c r="N1442" s="31" t="n"/>
      <c r="O1442" s="31" t="n"/>
      <c r="P1442" s="31" t="n"/>
      <c r="Q1442" s="31" t="n"/>
      <c r="R1442" s="31" t="n"/>
      <c r="S1442" s="32">
        <f>IF($F1442="","",IF(IFERROR(VLOOKUP($F1442,'维度字典'!$M$2:$N$50,2,0),"求和")="手工录入","",IF(IFERROR(VLOOKUP($F1442,'维度字典'!$M$2:$N$50,2,0),"求和")="最新值",IFERROR(LOOKUP(9.99E+307,G1442:R1442),""),SUM(G1442:R1442))))</f>
        <v/>
      </c>
      <c r="T1442" s="33" t="n"/>
    </row>
    <row r="1443">
      <c r="A1443" s="26">
        <f>IF($B1443="","",ROW()-3)</f>
        <v/>
      </c>
      <c r="B1443" s="27" t="n"/>
      <c r="C1443" s="27" t="n"/>
      <c r="D1443" s="28" t="n"/>
      <c r="E1443" s="29" t="n"/>
      <c r="F1443" s="30" t="n"/>
      <c r="G1443" s="31" t="n"/>
      <c r="H1443" s="31" t="n"/>
      <c r="I1443" s="31" t="n"/>
      <c r="J1443" s="31" t="n"/>
      <c r="K1443" s="31" t="n"/>
      <c r="L1443" s="31" t="n"/>
      <c r="M1443" s="31" t="n"/>
      <c r="N1443" s="31" t="n"/>
      <c r="O1443" s="31" t="n"/>
      <c r="P1443" s="31" t="n"/>
      <c r="Q1443" s="31" t="n"/>
      <c r="R1443" s="31" t="n"/>
      <c r="S1443" s="32">
        <f>IF($F1443="","",IF(IFERROR(VLOOKUP($F1443,'维度字典'!$M$2:$N$50,2,0),"求和")="手工录入","",IF(IFERROR(VLOOKUP($F1443,'维度字典'!$M$2:$N$50,2,0),"求和")="最新值",IFERROR(LOOKUP(9.99E+307,G1443:R1443),""),SUM(G1443:R1443))))</f>
        <v/>
      </c>
      <c r="T1443" s="33" t="n"/>
    </row>
    <row r="1444">
      <c r="A1444" s="26">
        <f>IF($B1444="","",ROW()-3)</f>
        <v/>
      </c>
      <c r="B1444" s="27" t="n"/>
      <c r="C1444" s="27" t="n"/>
      <c r="D1444" s="28" t="n"/>
      <c r="E1444" s="29" t="n"/>
      <c r="F1444" s="30" t="n"/>
      <c r="G1444" s="31" t="n"/>
      <c r="H1444" s="31" t="n"/>
      <c r="I1444" s="31" t="n"/>
      <c r="J1444" s="31" t="n"/>
      <c r="K1444" s="31" t="n"/>
      <c r="L1444" s="31" t="n"/>
      <c r="M1444" s="31" t="n"/>
      <c r="N1444" s="31" t="n"/>
      <c r="O1444" s="31" t="n"/>
      <c r="P1444" s="31" t="n"/>
      <c r="Q1444" s="31" t="n"/>
      <c r="R1444" s="31" t="n"/>
      <c r="S1444" s="32">
        <f>IF($F1444="","",IF(IFERROR(VLOOKUP($F1444,'维度字典'!$M$2:$N$50,2,0),"求和")="手工录入","",IF(IFERROR(VLOOKUP($F1444,'维度字典'!$M$2:$N$50,2,0),"求和")="最新值",IFERROR(LOOKUP(9.99E+307,G1444:R1444),""),SUM(G1444:R1444))))</f>
        <v/>
      </c>
      <c r="T1444" s="33" t="n"/>
    </row>
    <row r="1445">
      <c r="A1445" s="26">
        <f>IF($B1445="","",ROW()-3)</f>
        <v/>
      </c>
      <c r="B1445" s="27" t="n"/>
      <c r="C1445" s="27" t="n"/>
      <c r="D1445" s="28" t="n"/>
      <c r="E1445" s="29" t="n"/>
      <c r="F1445" s="30" t="n"/>
      <c r="G1445" s="31" t="n"/>
      <c r="H1445" s="31" t="n"/>
      <c r="I1445" s="31" t="n"/>
      <c r="J1445" s="31" t="n"/>
      <c r="K1445" s="31" t="n"/>
      <c r="L1445" s="31" t="n"/>
      <c r="M1445" s="31" t="n"/>
      <c r="N1445" s="31" t="n"/>
      <c r="O1445" s="31" t="n"/>
      <c r="P1445" s="31" t="n"/>
      <c r="Q1445" s="31" t="n"/>
      <c r="R1445" s="31" t="n"/>
      <c r="S1445" s="32">
        <f>IF($F1445="","",IF(IFERROR(VLOOKUP($F1445,'维度字典'!$M$2:$N$50,2,0),"求和")="手工录入","",IF(IFERROR(VLOOKUP($F1445,'维度字典'!$M$2:$N$50,2,0),"求和")="最新值",IFERROR(LOOKUP(9.99E+307,G1445:R1445),""),SUM(G1445:R1445))))</f>
        <v/>
      </c>
      <c r="T1445" s="33" t="n"/>
    </row>
    <row r="1446">
      <c r="A1446" s="26">
        <f>IF($B1446="","",ROW()-3)</f>
        <v/>
      </c>
      <c r="B1446" s="27" t="n"/>
      <c r="C1446" s="27" t="n"/>
      <c r="D1446" s="28" t="n"/>
      <c r="E1446" s="29" t="n"/>
      <c r="F1446" s="30" t="n"/>
      <c r="G1446" s="31" t="n"/>
      <c r="H1446" s="31" t="n"/>
      <c r="I1446" s="31" t="n"/>
      <c r="J1446" s="31" t="n"/>
      <c r="K1446" s="31" t="n"/>
      <c r="L1446" s="31" t="n"/>
      <c r="M1446" s="31" t="n"/>
      <c r="N1446" s="31" t="n"/>
      <c r="O1446" s="31" t="n"/>
      <c r="P1446" s="31" t="n"/>
      <c r="Q1446" s="31" t="n"/>
      <c r="R1446" s="31" t="n"/>
      <c r="S1446" s="32">
        <f>IF($F1446="","",IF(IFERROR(VLOOKUP($F1446,'维度字典'!$M$2:$N$50,2,0),"求和")="手工录入","",IF(IFERROR(VLOOKUP($F1446,'维度字典'!$M$2:$N$50,2,0),"求和")="最新值",IFERROR(LOOKUP(9.99E+307,G1446:R1446),""),SUM(G1446:R1446))))</f>
        <v/>
      </c>
      <c r="T1446" s="33" t="n"/>
    </row>
    <row r="1447">
      <c r="A1447" s="26">
        <f>IF($B1447="","",ROW()-3)</f>
        <v/>
      </c>
      <c r="B1447" s="27" t="n"/>
      <c r="C1447" s="27" t="n"/>
      <c r="D1447" s="28" t="n"/>
      <c r="E1447" s="29" t="n"/>
      <c r="F1447" s="30" t="n"/>
      <c r="G1447" s="31" t="n"/>
      <c r="H1447" s="31" t="n"/>
      <c r="I1447" s="31" t="n"/>
      <c r="J1447" s="31" t="n"/>
      <c r="K1447" s="31" t="n"/>
      <c r="L1447" s="31" t="n"/>
      <c r="M1447" s="31" t="n"/>
      <c r="N1447" s="31" t="n"/>
      <c r="O1447" s="31" t="n"/>
      <c r="P1447" s="31" t="n"/>
      <c r="Q1447" s="31" t="n"/>
      <c r="R1447" s="31" t="n"/>
      <c r="S1447" s="32">
        <f>IF($F1447="","",IF(IFERROR(VLOOKUP($F1447,'维度字典'!$M$2:$N$50,2,0),"求和")="手工录入","",IF(IFERROR(VLOOKUP($F1447,'维度字典'!$M$2:$N$50,2,0),"求和")="最新值",IFERROR(LOOKUP(9.99E+307,G1447:R1447),""),SUM(G1447:R1447))))</f>
        <v/>
      </c>
      <c r="T1447" s="33" t="n"/>
    </row>
    <row r="1448">
      <c r="A1448" s="26">
        <f>IF($B1448="","",ROW()-3)</f>
        <v/>
      </c>
      <c r="B1448" s="27" t="n"/>
      <c r="C1448" s="27" t="n"/>
      <c r="D1448" s="28" t="n"/>
      <c r="E1448" s="29" t="n"/>
      <c r="F1448" s="30" t="n"/>
      <c r="G1448" s="31" t="n"/>
      <c r="H1448" s="31" t="n"/>
      <c r="I1448" s="31" t="n"/>
      <c r="J1448" s="31" t="n"/>
      <c r="K1448" s="31" t="n"/>
      <c r="L1448" s="31" t="n"/>
      <c r="M1448" s="31" t="n"/>
      <c r="N1448" s="31" t="n"/>
      <c r="O1448" s="31" t="n"/>
      <c r="P1448" s="31" t="n"/>
      <c r="Q1448" s="31" t="n"/>
      <c r="R1448" s="31" t="n"/>
      <c r="S1448" s="32">
        <f>IF($F1448="","",IF(IFERROR(VLOOKUP($F1448,'维度字典'!$M$2:$N$50,2,0),"求和")="手工录入","",IF(IFERROR(VLOOKUP($F1448,'维度字典'!$M$2:$N$50,2,0),"求和")="最新值",IFERROR(LOOKUP(9.99E+307,G1448:R1448),""),SUM(G1448:R1448))))</f>
        <v/>
      </c>
      <c r="T1448" s="33" t="n"/>
    </row>
    <row r="1449">
      <c r="A1449" s="26">
        <f>IF($B1449="","",ROW()-3)</f>
        <v/>
      </c>
      <c r="B1449" s="27" t="n"/>
      <c r="C1449" s="27" t="n"/>
      <c r="D1449" s="28" t="n"/>
      <c r="E1449" s="29" t="n"/>
      <c r="F1449" s="30" t="n"/>
      <c r="G1449" s="31" t="n"/>
      <c r="H1449" s="31" t="n"/>
      <c r="I1449" s="31" t="n"/>
      <c r="J1449" s="31" t="n"/>
      <c r="K1449" s="31" t="n"/>
      <c r="L1449" s="31" t="n"/>
      <c r="M1449" s="31" t="n"/>
      <c r="N1449" s="31" t="n"/>
      <c r="O1449" s="31" t="n"/>
      <c r="P1449" s="31" t="n"/>
      <c r="Q1449" s="31" t="n"/>
      <c r="R1449" s="31" t="n"/>
      <c r="S1449" s="32">
        <f>IF($F1449="","",IF(IFERROR(VLOOKUP($F1449,'维度字典'!$M$2:$N$50,2,0),"求和")="手工录入","",IF(IFERROR(VLOOKUP($F1449,'维度字典'!$M$2:$N$50,2,0),"求和")="最新值",IFERROR(LOOKUP(9.99E+307,G1449:R1449),""),SUM(G1449:R1449))))</f>
        <v/>
      </c>
      <c r="T1449" s="33" t="n"/>
    </row>
    <row r="1450">
      <c r="A1450" s="26">
        <f>IF($B1450="","",ROW()-3)</f>
        <v/>
      </c>
      <c r="B1450" s="27" t="n"/>
      <c r="C1450" s="27" t="n"/>
      <c r="D1450" s="28" t="n"/>
      <c r="E1450" s="29" t="n"/>
      <c r="F1450" s="30" t="n"/>
      <c r="G1450" s="31" t="n"/>
      <c r="H1450" s="31" t="n"/>
      <c r="I1450" s="31" t="n"/>
      <c r="J1450" s="31" t="n"/>
      <c r="K1450" s="31" t="n"/>
      <c r="L1450" s="31" t="n"/>
      <c r="M1450" s="31" t="n"/>
      <c r="N1450" s="31" t="n"/>
      <c r="O1450" s="31" t="n"/>
      <c r="P1450" s="31" t="n"/>
      <c r="Q1450" s="31" t="n"/>
      <c r="R1450" s="31" t="n"/>
      <c r="S1450" s="32">
        <f>IF($F1450="","",IF(IFERROR(VLOOKUP($F1450,'维度字典'!$M$2:$N$50,2,0),"求和")="手工录入","",IF(IFERROR(VLOOKUP($F1450,'维度字典'!$M$2:$N$50,2,0),"求和")="最新值",IFERROR(LOOKUP(9.99E+307,G1450:R1450),""),SUM(G1450:R1450))))</f>
        <v/>
      </c>
      <c r="T1450" s="33" t="n"/>
    </row>
    <row r="1451">
      <c r="A1451" s="26">
        <f>IF($B1451="","",ROW()-3)</f>
        <v/>
      </c>
      <c r="B1451" s="27" t="n"/>
      <c r="C1451" s="27" t="n"/>
      <c r="D1451" s="28" t="n"/>
      <c r="E1451" s="29" t="n"/>
      <c r="F1451" s="30" t="n"/>
      <c r="G1451" s="31" t="n"/>
      <c r="H1451" s="31" t="n"/>
      <c r="I1451" s="31" t="n"/>
      <c r="J1451" s="31" t="n"/>
      <c r="K1451" s="31" t="n"/>
      <c r="L1451" s="31" t="n"/>
      <c r="M1451" s="31" t="n"/>
      <c r="N1451" s="31" t="n"/>
      <c r="O1451" s="31" t="n"/>
      <c r="P1451" s="31" t="n"/>
      <c r="Q1451" s="31" t="n"/>
      <c r="R1451" s="31" t="n"/>
      <c r="S1451" s="32">
        <f>IF($F1451="","",IF(IFERROR(VLOOKUP($F1451,'维度字典'!$M$2:$N$50,2,0),"求和")="手工录入","",IF(IFERROR(VLOOKUP($F1451,'维度字典'!$M$2:$N$50,2,0),"求和")="最新值",IFERROR(LOOKUP(9.99E+307,G1451:R1451),""),SUM(G1451:R1451))))</f>
        <v/>
      </c>
      <c r="T1451" s="33" t="n"/>
    </row>
    <row r="1452">
      <c r="A1452" s="26">
        <f>IF($B1452="","",ROW()-3)</f>
        <v/>
      </c>
      <c r="B1452" s="27" t="n"/>
      <c r="C1452" s="27" t="n"/>
      <c r="D1452" s="28" t="n"/>
      <c r="E1452" s="29" t="n"/>
      <c r="F1452" s="30" t="n"/>
      <c r="G1452" s="31" t="n"/>
      <c r="H1452" s="31" t="n"/>
      <c r="I1452" s="31" t="n"/>
      <c r="J1452" s="31" t="n"/>
      <c r="K1452" s="31" t="n"/>
      <c r="L1452" s="31" t="n"/>
      <c r="M1452" s="31" t="n"/>
      <c r="N1452" s="31" t="n"/>
      <c r="O1452" s="31" t="n"/>
      <c r="P1452" s="31" t="n"/>
      <c r="Q1452" s="31" t="n"/>
      <c r="R1452" s="31" t="n"/>
      <c r="S1452" s="32">
        <f>IF($F1452="","",IF(IFERROR(VLOOKUP($F1452,'维度字典'!$M$2:$N$50,2,0),"求和")="手工录入","",IF(IFERROR(VLOOKUP($F1452,'维度字典'!$M$2:$N$50,2,0),"求和")="最新值",IFERROR(LOOKUP(9.99E+307,G1452:R1452),""),SUM(G1452:R1452))))</f>
        <v/>
      </c>
      <c r="T1452" s="33" t="n"/>
    </row>
    <row r="1453">
      <c r="A1453" s="26">
        <f>IF($B1453="","",ROW()-3)</f>
        <v/>
      </c>
      <c r="B1453" s="27" t="n"/>
      <c r="C1453" s="27" t="n"/>
      <c r="D1453" s="28" t="n"/>
      <c r="E1453" s="29" t="n"/>
      <c r="F1453" s="30" t="n"/>
      <c r="G1453" s="31" t="n"/>
      <c r="H1453" s="31" t="n"/>
      <c r="I1453" s="31" t="n"/>
      <c r="J1453" s="31" t="n"/>
      <c r="K1453" s="31" t="n"/>
      <c r="L1453" s="31" t="n"/>
      <c r="M1453" s="31" t="n"/>
      <c r="N1453" s="31" t="n"/>
      <c r="O1453" s="31" t="n"/>
      <c r="P1453" s="31" t="n"/>
      <c r="Q1453" s="31" t="n"/>
      <c r="R1453" s="31" t="n"/>
      <c r="S1453" s="32">
        <f>IF($F1453="","",IF(IFERROR(VLOOKUP($F1453,'维度字典'!$M$2:$N$50,2,0),"求和")="手工录入","",IF(IFERROR(VLOOKUP($F1453,'维度字典'!$M$2:$N$50,2,0),"求和")="最新值",IFERROR(LOOKUP(9.99E+307,G1453:R1453),""),SUM(G1453:R1453))))</f>
        <v/>
      </c>
      <c r="T1453" s="33" t="n"/>
    </row>
    <row r="1454">
      <c r="A1454" s="26">
        <f>IF($B1454="","",ROW()-3)</f>
        <v/>
      </c>
      <c r="B1454" s="27" t="n"/>
      <c r="C1454" s="27" t="n"/>
      <c r="D1454" s="28" t="n"/>
      <c r="E1454" s="29" t="n"/>
      <c r="F1454" s="30" t="n"/>
      <c r="G1454" s="31" t="n"/>
      <c r="H1454" s="31" t="n"/>
      <c r="I1454" s="31" t="n"/>
      <c r="J1454" s="31" t="n"/>
      <c r="K1454" s="31" t="n"/>
      <c r="L1454" s="31" t="n"/>
      <c r="M1454" s="31" t="n"/>
      <c r="N1454" s="31" t="n"/>
      <c r="O1454" s="31" t="n"/>
      <c r="P1454" s="31" t="n"/>
      <c r="Q1454" s="31" t="n"/>
      <c r="R1454" s="31" t="n"/>
      <c r="S1454" s="32">
        <f>IF($F1454="","",IF(IFERROR(VLOOKUP($F1454,'维度字典'!$M$2:$N$50,2,0),"求和")="手工录入","",IF(IFERROR(VLOOKUP($F1454,'维度字典'!$M$2:$N$50,2,0),"求和")="最新值",IFERROR(LOOKUP(9.99E+307,G1454:R1454),""),SUM(G1454:R1454))))</f>
        <v/>
      </c>
      <c r="T1454" s="33" t="n"/>
    </row>
    <row r="1455">
      <c r="A1455" s="26">
        <f>IF($B1455="","",ROW()-3)</f>
        <v/>
      </c>
      <c r="B1455" s="27" t="n"/>
      <c r="C1455" s="27" t="n"/>
      <c r="D1455" s="28" t="n"/>
      <c r="E1455" s="29" t="n"/>
      <c r="F1455" s="30" t="n"/>
      <c r="G1455" s="31" t="n"/>
      <c r="H1455" s="31" t="n"/>
      <c r="I1455" s="31" t="n"/>
      <c r="J1455" s="31" t="n"/>
      <c r="K1455" s="31" t="n"/>
      <c r="L1455" s="31" t="n"/>
      <c r="M1455" s="31" t="n"/>
      <c r="N1455" s="31" t="n"/>
      <c r="O1455" s="31" t="n"/>
      <c r="P1455" s="31" t="n"/>
      <c r="Q1455" s="31" t="n"/>
      <c r="R1455" s="31" t="n"/>
      <c r="S1455" s="32">
        <f>IF($F1455="","",IF(IFERROR(VLOOKUP($F1455,'维度字典'!$M$2:$N$50,2,0),"求和")="手工录入","",IF(IFERROR(VLOOKUP($F1455,'维度字典'!$M$2:$N$50,2,0),"求和")="最新值",IFERROR(LOOKUP(9.99E+307,G1455:R1455),""),SUM(G1455:R1455))))</f>
        <v/>
      </c>
      <c r="T1455" s="33" t="n"/>
    </row>
    <row r="1456">
      <c r="A1456" s="26">
        <f>IF($B1456="","",ROW()-3)</f>
        <v/>
      </c>
      <c r="B1456" s="27" t="n"/>
      <c r="C1456" s="27" t="n"/>
      <c r="D1456" s="28" t="n"/>
      <c r="E1456" s="29" t="n"/>
      <c r="F1456" s="30" t="n"/>
      <c r="G1456" s="31" t="n"/>
      <c r="H1456" s="31" t="n"/>
      <c r="I1456" s="31" t="n"/>
      <c r="J1456" s="31" t="n"/>
      <c r="K1456" s="31" t="n"/>
      <c r="L1456" s="31" t="n"/>
      <c r="M1456" s="31" t="n"/>
      <c r="N1456" s="31" t="n"/>
      <c r="O1456" s="31" t="n"/>
      <c r="P1456" s="31" t="n"/>
      <c r="Q1456" s="31" t="n"/>
      <c r="R1456" s="31" t="n"/>
      <c r="S1456" s="32">
        <f>IF($F1456="","",IF(IFERROR(VLOOKUP($F1456,'维度字典'!$M$2:$N$50,2,0),"求和")="手工录入","",IF(IFERROR(VLOOKUP($F1456,'维度字典'!$M$2:$N$50,2,0),"求和")="最新值",IFERROR(LOOKUP(9.99E+307,G1456:R1456),""),SUM(G1456:R1456))))</f>
        <v/>
      </c>
      <c r="T1456" s="33" t="n"/>
    </row>
    <row r="1457">
      <c r="A1457" s="26">
        <f>IF($B1457="","",ROW()-3)</f>
        <v/>
      </c>
      <c r="B1457" s="27" t="n"/>
      <c r="C1457" s="27" t="n"/>
      <c r="D1457" s="28" t="n"/>
      <c r="E1457" s="29" t="n"/>
      <c r="F1457" s="30" t="n"/>
      <c r="G1457" s="31" t="n"/>
      <c r="H1457" s="31" t="n"/>
      <c r="I1457" s="31" t="n"/>
      <c r="J1457" s="31" t="n"/>
      <c r="K1457" s="31" t="n"/>
      <c r="L1457" s="31" t="n"/>
      <c r="M1457" s="31" t="n"/>
      <c r="N1457" s="31" t="n"/>
      <c r="O1457" s="31" t="n"/>
      <c r="P1457" s="31" t="n"/>
      <c r="Q1457" s="31" t="n"/>
      <c r="R1457" s="31" t="n"/>
      <c r="S1457" s="32">
        <f>IF($F1457="","",IF(IFERROR(VLOOKUP($F1457,'维度字典'!$M$2:$N$50,2,0),"求和")="手工录入","",IF(IFERROR(VLOOKUP($F1457,'维度字典'!$M$2:$N$50,2,0),"求和")="最新值",IFERROR(LOOKUP(9.99E+307,G1457:R1457),""),SUM(G1457:R1457))))</f>
        <v/>
      </c>
      <c r="T1457" s="33" t="n"/>
    </row>
    <row r="1458">
      <c r="A1458" s="26">
        <f>IF($B1458="","",ROW()-3)</f>
        <v/>
      </c>
      <c r="B1458" s="27" t="n"/>
      <c r="C1458" s="27" t="n"/>
      <c r="D1458" s="28" t="n"/>
      <c r="E1458" s="29" t="n"/>
      <c r="F1458" s="30" t="n"/>
      <c r="G1458" s="31" t="n"/>
      <c r="H1458" s="31" t="n"/>
      <c r="I1458" s="31" t="n"/>
      <c r="J1458" s="31" t="n"/>
      <c r="K1458" s="31" t="n"/>
      <c r="L1458" s="31" t="n"/>
      <c r="M1458" s="31" t="n"/>
      <c r="N1458" s="31" t="n"/>
      <c r="O1458" s="31" t="n"/>
      <c r="P1458" s="31" t="n"/>
      <c r="Q1458" s="31" t="n"/>
      <c r="R1458" s="31" t="n"/>
      <c r="S1458" s="32">
        <f>IF($F1458="","",IF(IFERROR(VLOOKUP($F1458,'维度字典'!$M$2:$N$50,2,0),"求和")="手工录入","",IF(IFERROR(VLOOKUP($F1458,'维度字典'!$M$2:$N$50,2,0),"求和")="最新值",IFERROR(LOOKUP(9.99E+307,G1458:R1458),""),SUM(G1458:R1458))))</f>
        <v/>
      </c>
      <c r="T1458" s="33" t="n"/>
    </row>
    <row r="1459">
      <c r="A1459" s="26">
        <f>IF($B1459="","",ROW()-3)</f>
        <v/>
      </c>
      <c r="B1459" s="27" t="n"/>
      <c r="C1459" s="27" t="n"/>
      <c r="D1459" s="28" t="n"/>
      <c r="E1459" s="29" t="n"/>
      <c r="F1459" s="30" t="n"/>
      <c r="G1459" s="31" t="n"/>
      <c r="H1459" s="31" t="n"/>
      <c r="I1459" s="31" t="n"/>
      <c r="J1459" s="31" t="n"/>
      <c r="K1459" s="31" t="n"/>
      <c r="L1459" s="31" t="n"/>
      <c r="M1459" s="31" t="n"/>
      <c r="N1459" s="31" t="n"/>
      <c r="O1459" s="31" t="n"/>
      <c r="P1459" s="31" t="n"/>
      <c r="Q1459" s="31" t="n"/>
      <c r="R1459" s="31" t="n"/>
      <c r="S1459" s="32">
        <f>IF($F1459="","",IF(IFERROR(VLOOKUP($F1459,'维度字典'!$M$2:$N$50,2,0),"求和")="手工录入","",IF(IFERROR(VLOOKUP($F1459,'维度字典'!$M$2:$N$50,2,0),"求和")="最新值",IFERROR(LOOKUP(9.99E+307,G1459:R1459),""),SUM(G1459:R1459))))</f>
        <v/>
      </c>
      <c r="T1459" s="33" t="n"/>
    </row>
    <row r="1460">
      <c r="A1460" s="26">
        <f>IF($B1460="","",ROW()-3)</f>
        <v/>
      </c>
      <c r="B1460" s="27" t="n"/>
      <c r="C1460" s="27" t="n"/>
      <c r="D1460" s="28" t="n"/>
      <c r="E1460" s="29" t="n"/>
      <c r="F1460" s="30" t="n"/>
      <c r="G1460" s="31" t="n"/>
      <c r="H1460" s="31" t="n"/>
      <c r="I1460" s="31" t="n"/>
      <c r="J1460" s="31" t="n"/>
      <c r="K1460" s="31" t="n"/>
      <c r="L1460" s="31" t="n"/>
      <c r="M1460" s="31" t="n"/>
      <c r="N1460" s="31" t="n"/>
      <c r="O1460" s="31" t="n"/>
      <c r="P1460" s="31" t="n"/>
      <c r="Q1460" s="31" t="n"/>
      <c r="R1460" s="31" t="n"/>
      <c r="S1460" s="32">
        <f>IF($F1460="","",IF(IFERROR(VLOOKUP($F1460,'维度字典'!$M$2:$N$50,2,0),"求和")="手工录入","",IF(IFERROR(VLOOKUP($F1460,'维度字典'!$M$2:$N$50,2,0),"求和")="最新值",IFERROR(LOOKUP(9.99E+307,G1460:R1460),""),SUM(G1460:R1460))))</f>
        <v/>
      </c>
      <c r="T1460" s="33" t="n"/>
    </row>
    <row r="1461">
      <c r="A1461" s="26">
        <f>IF($B1461="","",ROW()-3)</f>
        <v/>
      </c>
      <c r="B1461" s="27" t="n"/>
      <c r="C1461" s="27" t="n"/>
      <c r="D1461" s="28" t="n"/>
      <c r="E1461" s="29" t="n"/>
      <c r="F1461" s="30" t="n"/>
      <c r="G1461" s="31" t="n"/>
      <c r="H1461" s="31" t="n"/>
      <c r="I1461" s="31" t="n"/>
      <c r="J1461" s="31" t="n"/>
      <c r="K1461" s="31" t="n"/>
      <c r="L1461" s="31" t="n"/>
      <c r="M1461" s="31" t="n"/>
      <c r="N1461" s="31" t="n"/>
      <c r="O1461" s="31" t="n"/>
      <c r="P1461" s="31" t="n"/>
      <c r="Q1461" s="31" t="n"/>
      <c r="R1461" s="31" t="n"/>
      <c r="S1461" s="32">
        <f>IF($F1461="","",IF(IFERROR(VLOOKUP($F1461,'维度字典'!$M$2:$N$50,2,0),"求和")="手工录入","",IF(IFERROR(VLOOKUP($F1461,'维度字典'!$M$2:$N$50,2,0),"求和")="最新值",IFERROR(LOOKUP(9.99E+307,G1461:R1461),""),SUM(G1461:R1461))))</f>
        <v/>
      </c>
      <c r="T1461" s="33" t="n"/>
    </row>
    <row r="1462">
      <c r="A1462" s="26">
        <f>IF($B1462="","",ROW()-3)</f>
        <v/>
      </c>
      <c r="B1462" s="27" t="n"/>
      <c r="C1462" s="27" t="n"/>
      <c r="D1462" s="28" t="n"/>
      <c r="E1462" s="29" t="n"/>
      <c r="F1462" s="30" t="n"/>
      <c r="G1462" s="31" t="n"/>
      <c r="H1462" s="31" t="n"/>
      <c r="I1462" s="31" t="n"/>
      <c r="J1462" s="31" t="n"/>
      <c r="K1462" s="31" t="n"/>
      <c r="L1462" s="31" t="n"/>
      <c r="M1462" s="31" t="n"/>
      <c r="N1462" s="31" t="n"/>
      <c r="O1462" s="31" t="n"/>
      <c r="P1462" s="31" t="n"/>
      <c r="Q1462" s="31" t="n"/>
      <c r="R1462" s="31" t="n"/>
      <c r="S1462" s="32">
        <f>IF($F1462="","",IF(IFERROR(VLOOKUP($F1462,'维度字典'!$M$2:$N$50,2,0),"求和")="手工录入","",IF(IFERROR(VLOOKUP($F1462,'维度字典'!$M$2:$N$50,2,0),"求和")="最新值",IFERROR(LOOKUP(9.99E+307,G1462:R1462),""),SUM(G1462:R1462))))</f>
        <v/>
      </c>
      <c r="T1462" s="33" t="n"/>
    </row>
    <row r="1463">
      <c r="A1463" s="26">
        <f>IF($B1463="","",ROW()-3)</f>
        <v/>
      </c>
      <c r="B1463" s="27" t="n"/>
      <c r="C1463" s="27" t="n"/>
      <c r="D1463" s="28" t="n"/>
      <c r="E1463" s="29" t="n"/>
      <c r="F1463" s="30" t="n"/>
      <c r="G1463" s="31" t="n"/>
      <c r="H1463" s="31" t="n"/>
      <c r="I1463" s="31" t="n"/>
      <c r="J1463" s="31" t="n"/>
      <c r="K1463" s="31" t="n"/>
      <c r="L1463" s="31" t="n"/>
      <c r="M1463" s="31" t="n"/>
      <c r="N1463" s="31" t="n"/>
      <c r="O1463" s="31" t="n"/>
      <c r="P1463" s="31" t="n"/>
      <c r="Q1463" s="31" t="n"/>
      <c r="R1463" s="31" t="n"/>
      <c r="S1463" s="32">
        <f>IF($F1463="","",IF(IFERROR(VLOOKUP($F1463,'维度字典'!$M$2:$N$50,2,0),"求和")="手工录入","",IF(IFERROR(VLOOKUP($F1463,'维度字典'!$M$2:$N$50,2,0),"求和")="最新值",IFERROR(LOOKUP(9.99E+307,G1463:R1463),""),SUM(G1463:R1463))))</f>
        <v/>
      </c>
      <c r="T1463" s="33" t="n"/>
    </row>
    <row r="1464">
      <c r="A1464" s="26">
        <f>IF($B1464="","",ROW()-3)</f>
        <v/>
      </c>
      <c r="B1464" s="27" t="n"/>
      <c r="C1464" s="27" t="n"/>
      <c r="D1464" s="28" t="n"/>
      <c r="E1464" s="29" t="n"/>
      <c r="F1464" s="30" t="n"/>
      <c r="G1464" s="31" t="n"/>
      <c r="H1464" s="31" t="n"/>
      <c r="I1464" s="31" t="n"/>
      <c r="J1464" s="31" t="n"/>
      <c r="K1464" s="31" t="n"/>
      <c r="L1464" s="31" t="n"/>
      <c r="M1464" s="31" t="n"/>
      <c r="N1464" s="31" t="n"/>
      <c r="O1464" s="31" t="n"/>
      <c r="P1464" s="31" t="n"/>
      <c r="Q1464" s="31" t="n"/>
      <c r="R1464" s="31" t="n"/>
      <c r="S1464" s="32">
        <f>IF($F1464="","",IF(IFERROR(VLOOKUP($F1464,'维度字典'!$M$2:$N$50,2,0),"求和")="手工录入","",IF(IFERROR(VLOOKUP($F1464,'维度字典'!$M$2:$N$50,2,0),"求和")="最新值",IFERROR(LOOKUP(9.99E+307,G1464:R1464),""),SUM(G1464:R1464))))</f>
        <v/>
      </c>
      <c r="T1464" s="33" t="n"/>
    </row>
    <row r="1465">
      <c r="A1465" s="26">
        <f>IF($B1465="","",ROW()-3)</f>
        <v/>
      </c>
      <c r="B1465" s="27" t="n"/>
      <c r="C1465" s="27" t="n"/>
      <c r="D1465" s="28" t="n"/>
      <c r="E1465" s="29" t="n"/>
      <c r="F1465" s="30" t="n"/>
      <c r="G1465" s="31" t="n"/>
      <c r="H1465" s="31" t="n"/>
      <c r="I1465" s="31" t="n"/>
      <c r="J1465" s="31" t="n"/>
      <c r="K1465" s="31" t="n"/>
      <c r="L1465" s="31" t="n"/>
      <c r="M1465" s="31" t="n"/>
      <c r="N1465" s="31" t="n"/>
      <c r="O1465" s="31" t="n"/>
      <c r="P1465" s="31" t="n"/>
      <c r="Q1465" s="31" t="n"/>
      <c r="R1465" s="31" t="n"/>
      <c r="S1465" s="32">
        <f>IF($F1465="","",IF(IFERROR(VLOOKUP($F1465,'维度字典'!$M$2:$N$50,2,0),"求和")="手工录入","",IF(IFERROR(VLOOKUP($F1465,'维度字典'!$M$2:$N$50,2,0),"求和")="最新值",IFERROR(LOOKUP(9.99E+307,G1465:R1465),""),SUM(G1465:R1465))))</f>
        <v/>
      </c>
      <c r="T1465" s="33" t="n"/>
    </row>
    <row r="1466">
      <c r="A1466" s="26">
        <f>IF($B1466="","",ROW()-3)</f>
        <v/>
      </c>
      <c r="B1466" s="27" t="n"/>
      <c r="C1466" s="27" t="n"/>
      <c r="D1466" s="28" t="n"/>
      <c r="E1466" s="29" t="n"/>
      <c r="F1466" s="30" t="n"/>
      <c r="G1466" s="31" t="n"/>
      <c r="H1466" s="31" t="n"/>
      <c r="I1466" s="31" t="n"/>
      <c r="J1466" s="31" t="n"/>
      <c r="K1466" s="31" t="n"/>
      <c r="L1466" s="31" t="n"/>
      <c r="M1466" s="31" t="n"/>
      <c r="N1466" s="31" t="n"/>
      <c r="O1466" s="31" t="n"/>
      <c r="P1466" s="31" t="n"/>
      <c r="Q1466" s="31" t="n"/>
      <c r="R1466" s="31" t="n"/>
      <c r="S1466" s="32">
        <f>IF($F1466="","",IF(IFERROR(VLOOKUP($F1466,'维度字典'!$M$2:$N$50,2,0),"求和")="手工录入","",IF(IFERROR(VLOOKUP($F1466,'维度字典'!$M$2:$N$50,2,0),"求和")="最新值",IFERROR(LOOKUP(9.99E+307,G1466:R1466),""),SUM(G1466:R1466))))</f>
        <v/>
      </c>
      <c r="T1466" s="33" t="n"/>
    </row>
    <row r="1467">
      <c r="A1467" s="26">
        <f>IF($B1467="","",ROW()-3)</f>
        <v/>
      </c>
      <c r="B1467" s="27" t="n"/>
      <c r="C1467" s="27" t="n"/>
      <c r="D1467" s="28" t="n"/>
      <c r="E1467" s="29" t="n"/>
      <c r="F1467" s="30" t="n"/>
      <c r="G1467" s="31" t="n"/>
      <c r="H1467" s="31" t="n"/>
      <c r="I1467" s="31" t="n"/>
      <c r="J1467" s="31" t="n"/>
      <c r="K1467" s="31" t="n"/>
      <c r="L1467" s="31" t="n"/>
      <c r="M1467" s="31" t="n"/>
      <c r="N1467" s="31" t="n"/>
      <c r="O1467" s="31" t="n"/>
      <c r="P1467" s="31" t="n"/>
      <c r="Q1467" s="31" t="n"/>
      <c r="R1467" s="31" t="n"/>
      <c r="S1467" s="32">
        <f>IF($F1467="","",IF(IFERROR(VLOOKUP($F1467,'维度字典'!$M$2:$N$50,2,0),"求和")="手工录入","",IF(IFERROR(VLOOKUP($F1467,'维度字典'!$M$2:$N$50,2,0),"求和")="最新值",IFERROR(LOOKUP(9.99E+307,G1467:R1467),""),SUM(G1467:R1467))))</f>
        <v/>
      </c>
      <c r="T1467" s="33" t="n"/>
    </row>
    <row r="1468">
      <c r="A1468" s="26">
        <f>IF($B1468="","",ROW()-3)</f>
        <v/>
      </c>
      <c r="B1468" s="27" t="n"/>
      <c r="C1468" s="27" t="n"/>
      <c r="D1468" s="28" t="n"/>
      <c r="E1468" s="29" t="n"/>
      <c r="F1468" s="30" t="n"/>
      <c r="G1468" s="31" t="n"/>
      <c r="H1468" s="31" t="n"/>
      <c r="I1468" s="31" t="n"/>
      <c r="J1468" s="31" t="n"/>
      <c r="K1468" s="31" t="n"/>
      <c r="L1468" s="31" t="n"/>
      <c r="M1468" s="31" t="n"/>
      <c r="N1468" s="31" t="n"/>
      <c r="O1468" s="31" t="n"/>
      <c r="P1468" s="31" t="n"/>
      <c r="Q1468" s="31" t="n"/>
      <c r="R1468" s="31" t="n"/>
      <c r="S1468" s="32">
        <f>IF($F1468="","",IF(IFERROR(VLOOKUP($F1468,'维度字典'!$M$2:$N$50,2,0),"求和")="手工录入","",IF(IFERROR(VLOOKUP($F1468,'维度字典'!$M$2:$N$50,2,0),"求和")="最新值",IFERROR(LOOKUP(9.99E+307,G1468:R1468),""),SUM(G1468:R1468))))</f>
        <v/>
      </c>
      <c r="T1468" s="33" t="n"/>
    </row>
    <row r="1469">
      <c r="A1469" s="26">
        <f>IF($B1469="","",ROW()-3)</f>
        <v/>
      </c>
      <c r="B1469" s="27" t="n"/>
      <c r="C1469" s="27" t="n"/>
      <c r="D1469" s="28" t="n"/>
      <c r="E1469" s="29" t="n"/>
      <c r="F1469" s="30" t="n"/>
      <c r="G1469" s="31" t="n"/>
      <c r="H1469" s="31" t="n"/>
      <c r="I1469" s="31" t="n"/>
      <c r="J1469" s="31" t="n"/>
      <c r="K1469" s="31" t="n"/>
      <c r="L1469" s="31" t="n"/>
      <c r="M1469" s="31" t="n"/>
      <c r="N1469" s="31" t="n"/>
      <c r="O1469" s="31" t="n"/>
      <c r="P1469" s="31" t="n"/>
      <c r="Q1469" s="31" t="n"/>
      <c r="R1469" s="31" t="n"/>
      <c r="S1469" s="32">
        <f>IF($F1469="","",IF(IFERROR(VLOOKUP($F1469,'维度字典'!$M$2:$N$50,2,0),"求和")="手工录入","",IF(IFERROR(VLOOKUP($F1469,'维度字典'!$M$2:$N$50,2,0),"求和")="最新值",IFERROR(LOOKUP(9.99E+307,G1469:R1469),""),SUM(G1469:R1469))))</f>
        <v/>
      </c>
      <c r="T1469" s="33" t="n"/>
    </row>
    <row r="1470">
      <c r="A1470" s="26">
        <f>IF($B1470="","",ROW()-3)</f>
        <v/>
      </c>
      <c r="B1470" s="27" t="n"/>
      <c r="C1470" s="27" t="n"/>
      <c r="D1470" s="28" t="n"/>
      <c r="E1470" s="29" t="n"/>
      <c r="F1470" s="30" t="n"/>
      <c r="G1470" s="31" t="n"/>
      <c r="H1470" s="31" t="n"/>
      <c r="I1470" s="31" t="n"/>
      <c r="J1470" s="31" t="n"/>
      <c r="K1470" s="31" t="n"/>
      <c r="L1470" s="31" t="n"/>
      <c r="M1470" s="31" t="n"/>
      <c r="N1470" s="31" t="n"/>
      <c r="O1470" s="31" t="n"/>
      <c r="P1470" s="31" t="n"/>
      <c r="Q1470" s="31" t="n"/>
      <c r="R1470" s="31" t="n"/>
      <c r="S1470" s="32">
        <f>IF($F1470="","",IF(IFERROR(VLOOKUP($F1470,'维度字典'!$M$2:$N$50,2,0),"求和")="手工录入","",IF(IFERROR(VLOOKUP($F1470,'维度字典'!$M$2:$N$50,2,0),"求和")="最新值",IFERROR(LOOKUP(9.99E+307,G1470:R1470),""),SUM(G1470:R1470))))</f>
        <v/>
      </c>
      <c r="T1470" s="33" t="n"/>
    </row>
    <row r="1471">
      <c r="A1471" s="26">
        <f>IF($B1471="","",ROW()-3)</f>
        <v/>
      </c>
      <c r="B1471" s="27" t="n"/>
      <c r="C1471" s="27" t="n"/>
      <c r="D1471" s="28" t="n"/>
      <c r="E1471" s="29" t="n"/>
      <c r="F1471" s="30" t="n"/>
      <c r="G1471" s="31" t="n"/>
      <c r="H1471" s="31" t="n"/>
      <c r="I1471" s="31" t="n"/>
      <c r="J1471" s="31" t="n"/>
      <c r="K1471" s="31" t="n"/>
      <c r="L1471" s="31" t="n"/>
      <c r="M1471" s="31" t="n"/>
      <c r="N1471" s="31" t="n"/>
      <c r="O1471" s="31" t="n"/>
      <c r="P1471" s="31" t="n"/>
      <c r="Q1471" s="31" t="n"/>
      <c r="R1471" s="31" t="n"/>
      <c r="S1471" s="32">
        <f>IF($F1471="","",IF(IFERROR(VLOOKUP($F1471,'维度字典'!$M$2:$N$50,2,0),"求和")="手工录入","",IF(IFERROR(VLOOKUP($F1471,'维度字典'!$M$2:$N$50,2,0),"求和")="最新值",IFERROR(LOOKUP(9.99E+307,G1471:R1471),""),SUM(G1471:R1471))))</f>
        <v/>
      </c>
      <c r="T1471" s="33" t="n"/>
    </row>
    <row r="1472">
      <c r="A1472" s="26">
        <f>IF($B1472="","",ROW()-3)</f>
        <v/>
      </c>
      <c r="B1472" s="27" t="n"/>
      <c r="C1472" s="27" t="n"/>
      <c r="D1472" s="28" t="n"/>
      <c r="E1472" s="29" t="n"/>
      <c r="F1472" s="30" t="n"/>
      <c r="G1472" s="31" t="n"/>
      <c r="H1472" s="31" t="n"/>
      <c r="I1472" s="31" t="n"/>
      <c r="J1472" s="31" t="n"/>
      <c r="K1472" s="31" t="n"/>
      <c r="L1472" s="31" t="n"/>
      <c r="M1472" s="31" t="n"/>
      <c r="N1472" s="31" t="n"/>
      <c r="O1472" s="31" t="n"/>
      <c r="P1472" s="31" t="n"/>
      <c r="Q1472" s="31" t="n"/>
      <c r="R1472" s="31" t="n"/>
      <c r="S1472" s="32">
        <f>IF($F1472="","",IF(IFERROR(VLOOKUP($F1472,'维度字典'!$M$2:$N$50,2,0),"求和")="手工录入","",IF(IFERROR(VLOOKUP($F1472,'维度字典'!$M$2:$N$50,2,0),"求和")="最新值",IFERROR(LOOKUP(9.99E+307,G1472:R1472),""),SUM(G1472:R1472))))</f>
        <v/>
      </c>
      <c r="T1472" s="33" t="n"/>
    </row>
    <row r="1473">
      <c r="A1473" s="26">
        <f>IF($B1473="","",ROW()-3)</f>
        <v/>
      </c>
      <c r="B1473" s="27" t="n"/>
      <c r="C1473" s="27" t="n"/>
      <c r="D1473" s="28" t="n"/>
      <c r="E1473" s="29" t="n"/>
      <c r="F1473" s="30" t="n"/>
      <c r="G1473" s="31" t="n"/>
      <c r="H1473" s="31" t="n"/>
      <c r="I1473" s="31" t="n"/>
      <c r="J1473" s="31" t="n"/>
      <c r="K1473" s="31" t="n"/>
      <c r="L1473" s="31" t="n"/>
      <c r="M1473" s="31" t="n"/>
      <c r="N1473" s="31" t="n"/>
      <c r="O1473" s="31" t="n"/>
      <c r="P1473" s="31" t="n"/>
      <c r="Q1473" s="31" t="n"/>
      <c r="R1473" s="31" t="n"/>
      <c r="S1473" s="32">
        <f>IF($F1473="","",IF(IFERROR(VLOOKUP($F1473,'维度字典'!$M$2:$N$50,2,0),"求和")="手工录入","",IF(IFERROR(VLOOKUP($F1473,'维度字典'!$M$2:$N$50,2,0),"求和")="最新值",IFERROR(LOOKUP(9.99E+307,G1473:R1473),""),SUM(G1473:R1473))))</f>
        <v/>
      </c>
      <c r="T1473" s="33" t="n"/>
    </row>
    <row r="1474">
      <c r="A1474" s="26">
        <f>IF($B1474="","",ROW()-3)</f>
        <v/>
      </c>
      <c r="B1474" s="27" t="n"/>
      <c r="C1474" s="27" t="n"/>
      <c r="D1474" s="28" t="n"/>
      <c r="E1474" s="29" t="n"/>
      <c r="F1474" s="30" t="n"/>
      <c r="G1474" s="31" t="n"/>
      <c r="H1474" s="31" t="n"/>
      <c r="I1474" s="31" t="n"/>
      <c r="J1474" s="31" t="n"/>
      <c r="K1474" s="31" t="n"/>
      <c r="L1474" s="31" t="n"/>
      <c r="M1474" s="31" t="n"/>
      <c r="N1474" s="31" t="n"/>
      <c r="O1474" s="31" t="n"/>
      <c r="P1474" s="31" t="n"/>
      <c r="Q1474" s="31" t="n"/>
      <c r="R1474" s="31" t="n"/>
      <c r="S1474" s="32">
        <f>IF($F1474="","",IF(IFERROR(VLOOKUP($F1474,'维度字典'!$M$2:$N$50,2,0),"求和")="手工录入","",IF(IFERROR(VLOOKUP($F1474,'维度字典'!$M$2:$N$50,2,0),"求和")="最新值",IFERROR(LOOKUP(9.99E+307,G1474:R1474),""),SUM(G1474:R1474))))</f>
        <v/>
      </c>
      <c r="T1474" s="33" t="n"/>
    </row>
    <row r="1475">
      <c r="A1475" s="26">
        <f>IF($B1475="","",ROW()-3)</f>
        <v/>
      </c>
      <c r="B1475" s="27" t="n"/>
      <c r="C1475" s="27" t="n"/>
      <c r="D1475" s="28" t="n"/>
      <c r="E1475" s="29" t="n"/>
      <c r="F1475" s="30" t="n"/>
      <c r="G1475" s="31" t="n"/>
      <c r="H1475" s="31" t="n"/>
      <c r="I1475" s="31" t="n"/>
      <c r="J1475" s="31" t="n"/>
      <c r="K1475" s="31" t="n"/>
      <c r="L1475" s="31" t="n"/>
      <c r="M1475" s="31" t="n"/>
      <c r="N1475" s="31" t="n"/>
      <c r="O1475" s="31" t="n"/>
      <c r="P1475" s="31" t="n"/>
      <c r="Q1475" s="31" t="n"/>
      <c r="R1475" s="31" t="n"/>
      <c r="S1475" s="32">
        <f>IF($F1475="","",IF(IFERROR(VLOOKUP($F1475,'维度字典'!$M$2:$N$50,2,0),"求和")="手工录入","",IF(IFERROR(VLOOKUP($F1475,'维度字典'!$M$2:$N$50,2,0),"求和")="最新值",IFERROR(LOOKUP(9.99E+307,G1475:R1475),""),SUM(G1475:R1475))))</f>
        <v/>
      </c>
      <c r="T1475" s="33" t="n"/>
    </row>
    <row r="1476">
      <c r="A1476" s="26">
        <f>IF($B1476="","",ROW()-3)</f>
        <v/>
      </c>
      <c r="B1476" s="27" t="n"/>
      <c r="C1476" s="27" t="n"/>
      <c r="D1476" s="28" t="n"/>
      <c r="E1476" s="29" t="n"/>
      <c r="F1476" s="30" t="n"/>
      <c r="G1476" s="31" t="n"/>
      <c r="H1476" s="31" t="n"/>
      <c r="I1476" s="31" t="n"/>
      <c r="J1476" s="31" t="n"/>
      <c r="K1476" s="31" t="n"/>
      <c r="L1476" s="31" t="n"/>
      <c r="M1476" s="31" t="n"/>
      <c r="N1476" s="31" t="n"/>
      <c r="O1476" s="31" t="n"/>
      <c r="P1476" s="31" t="n"/>
      <c r="Q1476" s="31" t="n"/>
      <c r="R1476" s="31" t="n"/>
      <c r="S1476" s="32">
        <f>IF($F1476="","",IF(IFERROR(VLOOKUP($F1476,'维度字典'!$M$2:$N$50,2,0),"求和")="手工录入","",IF(IFERROR(VLOOKUP($F1476,'维度字典'!$M$2:$N$50,2,0),"求和")="最新值",IFERROR(LOOKUP(9.99E+307,G1476:R1476),""),SUM(G1476:R1476))))</f>
        <v/>
      </c>
      <c r="T1476" s="33" t="n"/>
    </row>
    <row r="1477">
      <c r="A1477" s="26">
        <f>IF($B1477="","",ROW()-3)</f>
        <v/>
      </c>
      <c r="B1477" s="27" t="n"/>
      <c r="C1477" s="27" t="n"/>
      <c r="D1477" s="28" t="n"/>
      <c r="E1477" s="29" t="n"/>
      <c r="F1477" s="30" t="n"/>
      <c r="G1477" s="31" t="n"/>
      <c r="H1477" s="31" t="n"/>
      <c r="I1477" s="31" t="n"/>
      <c r="J1477" s="31" t="n"/>
      <c r="K1477" s="31" t="n"/>
      <c r="L1477" s="31" t="n"/>
      <c r="M1477" s="31" t="n"/>
      <c r="N1477" s="31" t="n"/>
      <c r="O1477" s="31" t="n"/>
      <c r="P1477" s="31" t="n"/>
      <c r="Q1477" s="31" t="n"/>
      <c r="R1477" s="31" t="n"/>
      <c r="S1477" s="32">
        <f>IF($F1477="","",IF(IFERROR(VLOOKUP($F1477,'维度字典'!$M$2:$N$50,2,0),"求和")="手工录入","",IF(IFERROR(VLOOKUP($F1477,'维度字典'!$M$2:$N$50,2,0),"求和")="最新值",IFERROR(LOOKUP(9.99E+307,G1477:R1477),""),SUM(G1477:R1477))))</f>
        <v/>
      </c>
      <c r="T1477" s="33" t="n"/>
    </row>
    <row r="1478">
      <c r="A1478" s="26">
        <f>IF($B1478="","",ROW()-3)</f>
        <v/>
      </c>
      <c r="B1478" s="27" t="n"/>
      <c r="C1478" s="27" t="n"/>
      <c r="D1478" s="28" t="n"/>
      <c r="E1478" s="29" t="n"/>
      <c r="F1478" s="30" t="n"/>
      <c r="G1478" s="31" t="n"/>
      <c r="H1478" s="31" t="n"/>
      <c r="I1478" s="31" t="n"/>
      <c r="J1478" s="31" t="n"/>
      <c r="K1478" s="31" t="n"/>
      <c r="L1478" s="31" t="n"/>
      <c r="M1478" s="31" t="n"/>
      <c r="N1478" s="31" t="n"/>
      <c r="O1478" s="31" t="n"/>
      <c r="P1478" s="31" t="n"/>
      <c r="Q1478" s="31" t="n"/>
      <c r="R1478" s="31" t="n"/>
      <c r="S1478" s="32">
        <f>IF($F1478="","",IF(IFERROR(VLOOKUP($F1478,'维度字典'!$M$2:$N$50,2,0),"求和")="手工录入","",IF(IFERROR(VLOOKUP($F1478,'维度字典'!$M$2:$N$50,2,0),"求和")="最新值",IFERROR(LOOKUP(9.99E+307,G1478:R1478),""),SUM(G1478:R1478))))</f>
        <v/>
      </c>
      <c r="T1478" s="33" t="n"/>
    </row>
    <row r="1479">
      <c r="A1479" s="26">
        <f>IF($B1479="","",ROW()-3)</f>
        <v/>
      </c>
      <c r="B1479" s="27" t="n"/>
      <c r="C1479" s="27" t="n"/>
      <c r="D1479" s="28" t="n"/>
      <c r="E1479" s="29" t="n"/>
      <c r="F1479" s="30" t="n"/>
      <c r="G1479" s="31" t="n"/>
      <c r="H1479" s="31" t="n"/>
      <c r="I1479" s="31" t="n"/>
      <c r="J1479" s="31" t="n"/>
      <c r="K1479" s="31" t="n"/>
      <c r="L1479" s="31" t="n"/>
      <c r="M1479" s="31" t="n"/>
      <c r="N1479" s="31" t="n"/>
      <c r="O1479" s="31" t="n"/>
      <c r="P1479" s="31" t="n"/>
      <c r="Q1479" s="31" t="n"/>
      <c r="R1479" s="31" t="n"/>
      <c r="S1479" s="32">
        <f>IF($F1479="","",IF(IFERROR(VLOOKUP($F1479,'维度字典'!$M$2:$N$50,2,0),"求和")="手工录入","",IF(IFERROR(VLOOKUP($F1479,'维度字典'!$M$2:$N$50,2,0),"求和")="最新值",IFERROR(LOOKUP(9.99E+307,G1479:R1479),""),SUM(G1479:R1479))))</f>
        <v/>
      </c>
      <c r="T1479" s="33" t="n"/>
    </row>
    <row r="1480">
      <c r="A1480" s="26">
        <f>IF($B1480="","",ROW()-3)</f>
        <v/>
      </c>
      <c r="B1480" s="27" t="n"/>
      <c r="C1480" s="27" t="n"/>
      <c r="D1480" s="28" t="n"/>
      <c r="E1480" s="29" t="n"/>
      <c r="F1480" s="30" t="n"/>
      <c r="G1480" s="31" t="n"/>
      <c r="H1480" s="31" t="n"/>
      <c r="I1480" s="31" t="n"/>
      <c r="J1480" s="31" t="n"/>
      <c r="K1480" s="31" t="n"/>
      <c r="L1480" s="31" t="n"/>
      <c r="M1480" s="31" t="n"/>
      <c r="N1480" s="31" t="n"/>
      <c r="O1480" s="31" t="n"/>
      <c r="P1480" s="31" t="n"/>
      <c r="Q1480" s="31" t="n"/>
      <c r="R1480" s="31" t="n"/>
      <c r="S1480" s="32">
        <f>IF($F1480="","",IF(IFERROR(VLOOKUP($F1480,'维度字典'!$M$2:$N$50,2,0),"求和")="手工录入","",IF(IFERROR(VLOOKUP($F1480,'维度字典'!$M$2:$N$50,2,0),"求和")="最新值",IFERROR(LOOKUP(9.99E+307,G1480:R1480),""),SUM(G1480:R1480))))</f>
        <v/>
      </c>
      <c r="T1480" s="33" t="n"/>
    </row>
    <row r="1481">
      <c r="A1481" s="26">
        <f>IF($B1481="","",ROW()-3)</f>
        <v/>
      </c>
      <c r="B1481" s="27" t="n"/>
      <c r="C1481" s="27" t="n"/>
      <c r="D1481" s="28" t="n"/>
      <c r="E1481" s="29" t="n"/>
      <c r="F1481" s="30" t="n"/>
      <c r="G1481" s="31" t="n"/>
      <c r="H1481" s="31" t="n"/>
      <c r="I1481" s="31" t="n"/>
      <c r="J1481" s="31" t="n"/>
      <c r="K1481" s="31" t="n"/>
      <c r="L1481" s="31" t="n"/>
      <c r="M1481" s="31" t="n"/>
      <c r="N1481" s="31" t="n"/>
      <c r="O1481" s="31" t="n"/>
      <c r="P1481" s="31" t="n"/>
      <c r="Q1481" s="31" t="n"/>
      <c r="R1481" s="31" t="n"/>
      <c r="S1481" s="32">
        <f>IF($F1481="","",IF(IFERROR(VLOOKUP($F1481,'维度字典'!$M$2:$N$50,2,0),"求和")="手工录入","",IF(IFERROR(VLOOKUP($F1481,'维度字典'!$M$2:$N$50,2,0),"求和")="最新值",IFERROR(LOOKUP(9.99E+307,G1481:R1481),""),SUM(G1481:R1481))))</f>
        <v/>
      </c>
      <c r="T1481" s="33" t="n"/>
    </row>
    <row r="1482">
      <c r="A1482" s="26">
        <f>IF($B1482="","",ROW()-3)</f>
        <v/>
      </c>
      <c r="B1482" s="27" t="n"/>
      <c r="C1482" s="27" t="n"/>
      <c r="D1482" s="28" t="n"/>
      <c r="E1482" s="29" t="n"/>
      <c r="F1482" s="30" t="n"/>
      <c r="G1482" s="31" t="n"/>
      <c r="H1482" s="31" t="n"/>
      <c r="I1482" s="31" t="n"/>
      <c r="J1482" s="31" t="n"/>
      <c r="K1482" s="31" t="n"/>
      <c r="L1482" s="31" t="n"/>
      <c r="M1482" s="31" t="n"/>
      <c r="N1482" s="31" t="n"/>
      <c r="O1482" s="31" t="n"/>
      <c r="P1482" s="31" t="n"/>
      <c r="Q1482" s="31" t="n"/>
      <c r="R1482" s="31" t="n"/>
      <c r="S1482" s="32">
        <f>IF($F1482="","",IF(IFERROR(VLOOKUP($F1482,'维度字典'!$M$2:$N$50,2,0),"求和")="手工录入","",IF(IFERROR(VLOOKUP($F1482,'维度字典'!$M$2:$N$50,2,0),"求和")="最新值",IFERROR(LOOKUP(9.99E+307,G1482:R1482),""),SUM(G1482:R1482))))</f>
        <v/>
      </c>
      <c r="T1482" s="33" t="n"/>
    </row>
    <row r="1483">
      <c r="A1483" s="26">
        <f>IF($B1483="","",ROW()-3)</f>
        <v/>
      </c>
      <c r="B1483" s="27" t="n"/>
      <c r="C1483" s="27" t="n"/>
      <c r="D1483" s="28" t="n"/>
      <c r="E1483" s="29" t="n"/>
      <c r="F1483" s="30" t="n"/>
      <c r="G1483" s="31" t="n"/>
      <c r="H1483" s="31" t="n"/>
      <c r="I1483" s="31" t="n"/>
      <c r="J1483" s="31" t="n"/>
      <c r="K1483" s="31" t="n"/>
      <c r="L1483" s="31" t="n"/>
      <c r="M1483" s="31" t="n"/>
      <c r="N1483" s="31" t="n"/>
      <c r="O1483" s="31" t="n"/>
      <c r="P1483" s="31" t="n"/>
      <c r="Q1483" s="31" t="n"/>
      <c r="R1483" s="31" t="n"/>
      <c r="S1483" s="32">
        <f>IF($F1483="","",IF(IFERROR(VLOOKUP($F1483,'维度字典'!$M$2:$N$50,2,0),"求和")="手工录入","",IF(IFERROR(VLOOKUP($F1483,'维度字典'!$M$2:$N$50,2,0),"求和")="最新值",IFERROR(LOOKUP(9.99E+307,G1483:R1483),""),SUM(G1483:R1483))))</f>
        <v/>
      </c>
      <c r="T1483" s="33" t="n"/>
    </row>
    <row r="1484">
      <c r="A1484" s="26">
        <f>IF($B1484="","",ROW()-3)</f>
        <v/>
      </c>
      <c r="B1484" s="27" t="n"/>
      <c r="C1484" s="27" t="n"/>
      <c r="D1484" s="28" t="n"/>
      <c r="E1484" s="29" t="n"/>
      <c r="F1484" s="30" t="n"/>
      <c r="G1484" s="31" t="n"/>
      <c r="H1484" s="31" t="n"/>
      <c r="I1484" s="31" t="n"/>
      <c r="J1484" s="31" t="n"/>
      <c r="K1484" s="31" t="n"/>
      <c r="L1484" s="31" t="n"/>
      <c r="M1484" s="31" t="n"/>
      <c r="N1484" s="31" t="n"/>
      <c r="O1484" s="31" t="n"/>
      <c r="P1484" s="31" t="n"/>
      <c r="Q1484" s="31" t="n"/>
      <c r="R1484" s="31" t="n"/>
      <c r="S1484" s="32">
        <f>IF($F1484="","",IF(IFERROR(VLOOKUP($F1484,'维度字典'!$M$2:$N$50,2,0),"求和")="手工录入","",IF(IFERROR(VLOOKUP($F1484,'维度字典'!$M$2:$N$50,2,0),"求和")="最新值",IFERROR(LOOKUP(9.99E+307,G1484:R1484),""),SUM(G1484:R1484))))</f>
        <v/>
      </c>
      <c r="T1484" s="33" t="n"/>
    </row>
    <row r="1485">
      <c r="A1485" s="26">
        <f>IF($B1485="","",ROW()-3)</f>
        <v/>
      </c>
      <c r="B1485" s="27" t="n"/>
      <c r="C1485" s="27" t="n"/>
      <c r="D1485" s="28" t="n"/>
      <c r="E1485" s="29" t="n"/>
      <c r="F1485" s="30" t="n"/>
      <c r="G1485" s="31" t="n"/>
      <c r="H1485" s="31" t="n"/>
      <c r="I1485" s="31" t="n"/>
      <c r="J1485" s="31" t="n"/>
      <c r="K1485" s="31" t="n"/>
      <c r="L1485" s="31" t="n"/>
      <c r="M1485" s="31" t="n"/>
      <c r="N1485" s="31" t="n"/>
      <c r="O1485" s="31" t="n"/>
      <c r="P1485" s="31" t="n"/>
      <c r="Q1485" s="31" t="n"/>
      <c r="R1485" s="31" t="n"/>
      <c r="S1485" s="32">
        <f>IF($F1485="","",IF(IFERROR(VLOOKUP($F1485,'维度字典'!$M$2:$N$50,2,0),"求和")="手工录入","",IF(IFERROR(VLOOKUP($F1485,'维度字典'!$M$2:$N$50,2,0),"求和")="最新值",IFERROR(LOOKUP(9.99E+307,G1485:R1485),""),SUM(G1485:R1485))))</f>
        <v/>
      </c>
      <c r="T1485" s="33" t="n"/>
    </row>
    <row r="1486">
      <c r="A1486" s="26">
        <f>IF($B1486="","",ROW()-3)</f>
        <v/>
      </c>
      <c r="B1486" s="27" t="n"/>
      <c r="C1486" s="27" t="n"/>
      <c r="D1486" s="28" t="n"/>
      <c r="E1486" s="29" t="n"/>
      <c r="F1486" s="30" t="n"/>
      <c r="G1486" s="31" t="n"/>
      <c r="H1486" s="31" t="n"/>
      <c r="I1486" s="31" t="n"/>
      <c r="J1486" s="31" t="n"/>
      <c r="K1486" s="31" t="n"/>
      <c r="L1486" s="31" t="n"/>
      <c r="M1486" s="31" t="n"/>
      <c r="N1486" s="31" t="n"/>
      <c r="O1486" s="31" t="n"/>
      <c r="P1486" s="31" t="n"/>
      <c r="Q1486" s="31" t="n"/>
      <c r="R1486" s="31" t="n"/>
      <c r="S1486" s="32">
        <f>IF($F1486="","",IF(IFERROR(VLOOKUP($F1486,'维度字典'!$M$2:$N$50,2,0),"求和")="手工录入","",IF(IFERROR(VLOOKUP($F1486,'维度字典'!$M$2:$N$50,2,0),"求和")="最新值",IFERROR(LOOKUP(9.99E+307,G1486:R1486),""),SUM(G1486:R1486))))</f>
        <v/>
      </c>
      <c r="T1486" s="33" t="n"/>
    </row>
    <row r="1487">
      <c r="A1487" s="26">
        <f>IF($B1487="","",ROW()-3)</f>
        <v/>
      </c>
      <c r="B1487" s="27" t="n"/>
      <c r="C1487" s="27" t="n"/>
      <c r="D1487" s="28" t="n"/>
      <c r="E1487" s="29" t="n"/>
      <c r="F1487" s="30" t="n"/>
      <c r="G1487" s="31" t="n"/>
      <c r="H1487" s="31" t="n"/>
      <c r="I1487" s="31" t="n"/>
      <c r="J1487" s="31" t="n"/>
      <c r="K1487" s="31" t="n"/>
      <c r="L1487" s="31" t="n"/>
      <c r="M1487" s="31" t="n"/>
      <c r="N1487" s="31" t="n"/>
      <c r="O1487" s="31" t="n"/>
      <c r="P1487" s="31" t="n"/>
      <c r="Q1487" s="31" t="n"/>
      <c r="R1487" s="31" t="n"/>
      <c r="S1487" s="32">
        <f>IF($F1487="","",IF(IFERROR(VLOOKUP($F1487,'维度字典'!$M$2:$N$50,2,0),"求和")="手工录入","",IF(IFERROR(VLOOKUP($F1487,'维度字典'!$M$2:$N$50,2,0),"求和")="最新值",IFERROR(LOOKUP(9.99E+307,G1487:R1487),""),SUM(G1487:R1487))))</f>
        <v/>
      </c>
      <c r="T1487" s="33" t="n"/>
    </row>
    <row r="1488">
      <c r="A1488" s="26">
        <f>IF($B1488="","",ROW()-3)</f>
        <v/>
      </c>
      <c r="B1488" s="27" t="n"/>
      <c r="C1488" s="27" t="n"/>
      <c r="D1488" s="28" t="n"/>
      <c r="E1488" s="29" t="n"/>
      <c r="F1488" s="30" t="n"/>
      <c r="G1488" s="31" t="n"/>
      <c r="H1488" s="31" t="n"/>
      <c r="I1488" s="31" t="n"/>
      <c r="J1488" s="31" t="n"/>
      <c r="K1488" s="31" t="n"/>
      <c r="L1488" s="31" t="n"/>
      <c r="M1488" s="31" t="n"/>
      <c r="N1488" s="31" t="n"/>
      <c r="O1488" s="31" t="n"/>
      <c r="P1488" s="31" t="n"/>
      <c r="Q1488" s="31" t="n"/>
      <c r="R1488" s="31" t="n"/>
      <c r="S1488" s="32">
        <f>IF($F1488="","",IF(IFERROR(VLOOKUP($F1488,'维度字典'!$M$2:$N$50,2,0),"求和")="手工录入","",IF(IFERROR(VLOOKUP($F1488,'维度字典'!$M$2:$N$50,2,0),"求和")="最新值",IFERROR(LOOKUP(9.99E+307,G1488:R1488),""),SUM(G1488:R1488))))</f>
        <v/>
      </c>
      <c r="T1488" s="33" t="n"/>
    </row>
    <row r="1489">
      <c r="A1489" s="26">
        <f>IF($B1489="","",ROW()-3)</f>
        <v/>
      </c>
      <c r="B1489" s="27" t="n"/>
      <c r="C1489" s="27" t="n"/>
      <c r="D1489" s="28" t="n"/>
      <c r="E1489" s="29" t="n"/>
      <c r="F1489" s="30" t="n"/>
      <c r="G1489" s="31" t="n"/>
      <c r="H1489" s="31" t="n"/>
      <c r="I1489" s="31" t="n"/>
      <c r="J1489" s="31" t="n"/>
      <c r="K1489" s="31" t="n"/>
      <c r="L1489" s="31" t="n"/>
      <c r="M1489" s="31" t="n"/>
      <c r="N1489" s="31" t="n"/>
      <c r="O1489" s="31" t="n"/>
      <c r="P1489" s="31" t="n"/>
      <c r="Q1489" s="31" t="n"/>
      <c r="R1489" s="31" t="n"/>
      <c r="S1489" s="32">
        <f>IF($F1489="","",IF(IFERROR(VLOOKUP($F1489,'维度字典'!$M$2:$N$50,2,0),"求和")="手工录入","",IF(IFERROR(VLOOKUP($F1489,'维度字典'!$M$2:$N$50,2,0),"求和")="最新值",IFERROR(LOOKUP(9.99E+307,G1489:R1489),""),SUM(G1489:R1489))))</f>
        <v/>
      </c>
      <c r="T1489" s="33" t="n"/>
    </row>
    <row r="1490">
      <c r="A1490" s="26">
        <f>IF($B1490="","",ROW()-3)</f>
        <v/>
      </c>
      <c r="B1490" s="27" t="n"/>
      <c r="C1490" s="27" t="n"/>
      <c r="D1490" s="28" t="n"/>
      <c r="E1490" s="29" t="n"/>
      <c r="F1490" s="30" t="n"/>
      <c r="G1490" s="31" t="n"/>
      <c r="H1490" s="31" t="n"/>
      <c r="I1490" s="31" t="n"/>
      <c r="J1490" s="31" t="n"/>
      <c r="K1490" s="31" t="n"/>
      <c r="L1490" s="31" t="n"/>
      <c r="M1490" s="31" t="n"/>
      <c r="N1490" s="31" t="n"/>
      <c r="O1490" s="31" t="n"/>
      <c r="P1490" s="31" t="n"/>
      <c r="Q1490" s="31" t="n"/>
      <c r="R1490" s="31" t="n"/>
      <c r="S1490" s="32">
        <f>IF($F1490="","",IF(IFERROR(VLOOKUP($F1490,'维度字典'!$M$2:$N$50,2,0),"求和")="手工录入","",IF(IFERROR(VLOOKUP($F1490,'维度字典'!$M$2:$N$50,2,0),"求和")="最新值",IFERROR(LOOKUP(9.99E+307,G1490:R1490),""),SUM(G1490:R1490))))</f>
        <v/>
      </c>
      <c r="T1490" s="33" t="n"/>
    </row>
    <row r="1491">
      <c r="A1491" s="26">
        <f>IF($B1491="","",ROW()-3)</f>
        <v/>
      </c>
      <c r="B1491" s="27" t="n"/>
      <c r="C1491" s="27" t="n"/>
      <c r="D1491" s="28" t="n"/>
      <c r="E1491" s="29" t="n"/>
      <c r="F1491" s="30" t="n"/>
      <c r="G1491" s="31" t="n"/>
      <c r="H1491" s="31" t="n"/>
      <c r="I1491" s="31" t="n"/>
      <c r="J1491" s="31" t="n"/>
      <c r="K1491" s="31" t="n"/>
      <c r="L1491" s="31" t="n"/>
      <c r="M1491" s="31" t="n"/>
      <c r="N1491" s="31" t="n"/>
      <c r="O1491" s="31" t="n"/>
      <c r="P1491" s="31" t="n"/>
      <c r="Q1491" s="31" t="n"/>
      <c r="R1491" s="31" t="n"/>
      <c r="S1491" s="32">
        <f>IF($F1491="","",IF(IFERROR(VLOOKUP($F1491,'维度字典'!$M$2:$N$50,2,0),"求和")="手工录入","",IF(IFERROR(VLOOKUP($F1491,'维度字典'!$M$2:$N$50,2,0),"求和")="最新值",IFERROR(LOOKUP(9.99E+307,G1491:R1491),""),SUM(G1491:R1491))))</f>
        <v/>
      </c>
      <c r="T1491" s="33" t="n"/>
    </row>
    <row r="1492">
      <c r="A1492" s="26">
        <f>IF($B1492="","",ROW()-3)</f>
        <v/>
      </c>
      <c r="B1492" s="27" t="n"/>
      <c r="C1492" s="27" t="n"/>
      <c r="D1492" s="28" t="n"/>
      <c r="E1492" s="29" t="n"/>
      <c r="F1492" s="30" t="n"/>
      <c r="G1492" s="31" t="n"/>
      <c r="H1492" s="31" t="n"/>
      <c r="I1492" s="31" t="n"/>
      <c r="J1492" s="31" t="n"/>
      <c r="K1492" s="31" t="n"/>
      <c r="L1492" s="31" t="n"/>
      <c r="M1492" s="31" t="n"/>
      <c r="N1492" s="31" t="n"/>
      <c r="O1492" s="31" t="n"/>
      <c r="P1492" s="31" t="n"/>
      <c r="Q1492" s="31" t="n"/>
      <c r="R1492" s="31" t="n"/>
      <c r="S1492" s="32">
        <f>IF($F1492="","",IF(IFERROR(VLOOKUP($F1492,'维度字典'!$M$2:$N$50,2,0),"求和")="手工录入","",IF(IFERROR(VLOOKUP($F1492,'维度字典'!$M$2:$N$50,2,0),"求和")="最新值",IFERROR(LOOKUP(9.99E+307,G1492:R1492),""),SUM(G1492:R1492))))</f>
        <v/>
      </c>
      <c r="T1492" s="33" t="n"/>
    </row>
    <row r="1493">
      <c r="A1493" s="26">
        <f>IF($B1493="","",ROW()-3)</f>
        <v/>
      </c>
      <c r="B1493" s="27" t="n"/>
      <c r="C1493" s="27" t="n"/>
      <c r="D1493" s="28" t="n"/>
      <c r="E1493" s="29" t="n"/>
      <c r="F1493" s="30" t="n"/>
      <c r="G1493" s="31" t="n"/>
      <c r="H1493" s="31" t="n"/>
      <c r="I1493" s="31" t="n"/>
      <c r="J1493" s="31" t="n"/>
      <c r="K1493" s="31" t="n"/>
      <c r="L1493" s="31" t="n"/>
      <c r="M1493" s="31" t="n"/>
      <c r="N1493" s="31" t="n"/>
      <c r="O1493" s="31" t="n"/>
      <c r="P1493" s="31" t="n"/>
      <c r="Q1493" s="31" t="n"/>
      <c r="R1493" s="31" t="n"/>
      <c r="S1493" s="32">
        <f>IF($F1493="","",IF(IFERROR(VLOOKUP($F1493,'维度字典'!$M$2:$N$50,2,0),"求和")="手工录入","",IF(IFERROR(VLOOKUP($F1493,'维度字典'!$M$2:$N$50,2,0),"求和")="最新值",IFERROR(LOOKUP(9.99E+307,G1493:R1493),""),SUM(G1493:R1493))))</f>
        <v/>
      </c>
      <c r="T1493" s="33" t="n"/>
    </row>
    <row r="1494">
      <c r="A1494" s="26">
        <f>IF($B1494="","",ROW()-3)</f>
        <v/>
      </c>
      <c r="B1494" s="27" t="n"/>
      <c r="C1494" s="27" t="n"/>
      <c r="D1494" s="28" t="n"/>
      <c r="E1494" s="29" t="n"/>
      <c r="F1494" s="30" t="n"/>
      <c r="G1494" s="31" t="n"/>
      <c r="H1494" s="31" t="n"/>
      <c r="I1494" s="31" t="n"/>
      <c r="J1494" s="31" t="n"/>
      <c r="K1494" s="31" t="n"/>
      <c r="L1494" s="31" t="n"/>
      <c r="M1494" s="31" t="n"/>
      <c r="N1494" s="31" t="n"/>
      <c r="O1494" s="31" t="n"/>
      <c r="P1494" s="31" t="n"/>
      <c r="Q1494" s="31" t="n"/>
      <c r="R1494" s="31" t="n"/>
      <c r="S1494" s="32">
        <f>IF($F1494="","",IF(IFERROR(VLOOKUP($F1494,'维度字典'!$M$2:$N$50,2,0),"求和")="手工录入","",IF(IFERROR(VLOOKUP($F1494,'维度字典'!$M$2:$N$50,2,0),"求和")="最新值",IFERROR(LOOKUP(9.99E+307,G1494:R1494),""),SUM(G1494:R1494))))</f>
        <v/>
      </c>
      <c r="T1494" s="33" t="n"/>
    </row>
    <row r="1495">
      <c r="A1495" s="26">
        <f>IF($B1495="","",ROW()-3)</f>
        <v/>
      </c>
      <c r="B1495" s="27" t="n"/>
      <c r="C1495" s="27" t="n"/>
      <c r="D1495" s="28" t="n"/>
      <c r="E1495" s="29" t="n"/>
      <c r="F1495" s="30" t="n"/>
      <c r="G1495" s="31" t="n"/>
      <c r="H1495" s="31" t="n"/>
      <c r="I1495" s="31" t="n"/>
      <c r="J1495" s="31" t="n"/>
      <c r="K1495" s="31" t="n"/>
      <c r="L1495" s="31" t="n"/>
      <c r="M1495" s="31" t="n"/>
      <c r="N1495" s="31" t="n"/>
      <c r="O1495" s="31" t="n"/>
      <c r="P1495" s="31" t="n"/>
      <c r="Q1495" s="31" t="n"/>
      <c r="R1495" s="31" t="n"/>
      <c r="S1495" s="32">
        <f>IF($F1495="","",IF(IFERROR(VLOOKUP($F1495,'维度字典'!$M$2:$N$50,2,0),"求和")="手工录入","",IF(IFERROR(VLOOKUP($F1495,'维度字典'!$M$2:$N$50,2,0),"求和")="最新值",IFERROR(LOOKUP(9.99E+307,G1495:R1495),""),SUM(G1495:R1495))))</f>
        <v/>
      </c>
      <c r="T1495" s="33" t="n"/>
    </row>
    <row r="1496">
      <c r="A1496" s="26">
        <f>IF($B1496="","",ROW()-3)</f>
        <v/>
      </c>
      <c r="B1496" s="27" t="n"/>
      <c r="C1496" s="27" t="n"/>
      <c r="D1496" s="28" t="n"/>
      <c r="E1496" s="29" t="n"/>
      <c r="F1496" s="30" t="n"/>
      <c r="G1496" s="31" t="n"/>
      <c r="H1496" s="31" t="n"/>
      <c r="I1496" s="31" t="n"/>
      <c r="J1496" s="31" t="n"/>
      <c r="K1496" s="31" t="n"/>
      <c r="L1496" s="31" t="n"/>
      <c r="M1496" s="31" t="n"/>
      <c r="N1496" s="31" t="n"/>
      <c r="O1496" s="31" t="n"/>
      <c r="P1496" s="31" t="n"/>
      <c r="Q1496" s="31" t="n"/>
      <c r="R1496" s="31" t="n"/>
      <c r="S1496" s="32">
        <f>IF($F1496="","",IF(IFERROR(VLOOKUP($F1496,'维度字典'!$M$2:$N$50,2,0),"求和")="手工录入","",IF(IFERROR(VLOOKUP($F1496,'维度字典'!$M$2:$N$50,2,0),"求和")="最新值",IFERROR(LOOKUP(9.99E+307,G1496:R1496),""),SUM(G1496:R1496))))</f>
        <v/>
      </c>
      <c r="T1496" s="33" t="n"/>
    </row>
    <row r="1497">
      <c r="A1497" s="26">
        <f>IF($B1497="","",ROW()-3)</f>
        <v/>
      </c>
      <c r="B1497" s="27" t="n"/>
      <c r="C1497" s="27" t="n"/>
      <c r="D1497" s="28" t="n"/>
      <c r="E1497" s="29" t="n"/>
      <c r="F1497" s="30" t="n"/>
      <c r="G1497" s="31" t="n"/>
      <c r="H1497" s="31" t="n"/>
      <c r="I1497" s="31" t="n"/>
      <c r="J1497" s="31" t="n"/>
      <c r="K1497" s="31" t="n"/>
      <c r="L1497" s="31" t="n"/>
      <c r="M1497" s="31" t="n"/>
      <c r="N1497" s="31" t="n"/>
      <c r="O1497" s="31" t="n"/>
      <c r="P1497" s="31" t="n"/>
      <c r="Q1497" s="31" t="n"/>
      <c r="R1497" s="31" t="n"/>
      <c r="S1497" s="32">
        <f>IF($F1497="","",IF(IFERROR(VLOOKUP($F1497,'维度字典'!$M$2:$N$50,2,0),"求和")="手工录入","",IF(IFERROR(VLOOKUP($F1497,'维度字典'!$M$2:$N$50,2,0),"求和")="最新值",IFERROR(LOOKUP(9.99E+307,G1497:R1497),""),SUM(G1497:R1497))))</f>
        <v/>
      </c>
      <c r="T1497" s="33" t="n"/>
    </row>
    <row r="1498">
      <c r="A1498" s="26">
        <f>IF($B1498="","",ROW()-3)</f>
        <v/>
      </c>
      <c r="B1498" s="27" t="n"/>
      <c r="C1498" s="27" t="n"/>
      <c r="D1498" s="28" t="n"/>
      <c r="E1498" s="29" t="n"/>
      <c r="F1498" s="30" t="n"/>
      <c r="G1498" s="31" t="n"/>
      <c r="H1498" s="31" t="n"/>
      <c r="I1498" s="31" t="n"/>
      <c r="J1498" s="31" t="n"/>
      <c r="K1498" s="31" t="n"/>
      <c r="L1498" s="31" t="n"/>
      <c r="M1498" s="31" t="n"/>
      <c r="N1498" s="31" t="n"/>
      <c r="O1498" s="31" t="n"/>
      <c r="P1498" s="31" t="n"/>
      <c r="Q1498" s="31" t="n"/>
      <c r="R1498" s="31" t="n"/>
      <c r="S1498" s="32">
        <f>IF($F1498="","",IF(IFERROR(VLOOKUP($F1498,'维度字典'!$M$2:$N$50,2,0),"求和")="手工录入","",IF(IFERROR(VLOOKUP($F1498,'维度字典'!$M$2:$N$50,2,0),"求和")="最新值",IFERROR(LOOKUP(9.99E+307,G1498:R1498),""),SUM(G1498:R1498))))</f>
        <v/>
      </c>
      <c r="T1498" s="33" t="n"/>
    </row>
    <row r="1499">
      <c r="A1499" s="26">
        <f>IF($B1499="","",ROW()-3)</f>
        <v/>
      </c>
      <c r="B1499" s="27" t="n"/>
      <c r="C1499" s="27" t="n"/>
      <c r="D1499" s="28" t="n"/>
      <c r="E1499" s="29" t="n"/>
      <c r="F1499" s="30" t="n"/>
      <c r="G1499" s="31" t="n"/>
      <c r="H1499" s="31" t="n"/>
      <c r="I1499" s="31" t="n"/>
      <c r="J1499" s="31" t="n"/>
      <c r="K1499" s="31" t="n"/>
      <c r="L1499" s="31" t="n"/>
      <c r="M1499" s="31" t="n"/>
      <c r="N1499" s="31" t="n"/>
      <c r="O1499" s="31" t="n"/>
      <c r="P1499" s="31" t="n"/>
      <c r="Q1499" s="31" t="n"/>
      <c r="R1499" s="31" t="n"/>
      <c r="S1499" s="32">
        <f>IF($F1499="","",IF(IFERROR(VLOOKUP($F1499,'维度字典'!$M$2:$N$50,2,0),"求和")="手工录入","",IF(IFERROR(VLOOKUP($F1499,'维度字典'!$M$2:$N$50,2,0),"求和")="最新值",IFERROR(LOOKUP(9.99E+307,G1499:R1499),""),SUM(G1499:R1499))))</f>
        <v/>
      </c>
      <c r="T1499" s="33" t="n"/>
    </row>
    <row r="1500">
      <c r="A1500" s="26">
        <f>IF($B1500="","",ROW()-3)</f>
        <v/>
      </c>
      <c r="B1500" s="27" t="n"/>
      <c r="C1500" s="27" t="n"/>
      <c r="D1500" s="28" t="n"/>
      <c r="E1500" s="29" t="n"/>
      <c r="F1500" s="30" t="n"/>
      <c r="G1500" s="31" t="n"/>
      <c r="H1500" s="31" t="n"/>
      <c r="I1500" s="31" t="n"/>
      <c r="J1500" s="31" t="n"/>
      <c r="K1500" s="31" t="n"/>
      <c r="L1500" s="31" t="n"/>
      <c r="M1500" s="31" t="n"/>
      <c r="N1500" s="31" t="n"/>
      <c r="O1500" s="31" t="n"/>
      <c r="P1500" s="31" t="n"/>
      <c r="Q1500" s="31" t="n"/>
      <c r="R1500" s="31" t="n"/>
      <c r="S1500" s="32">
        <f>IF($F1500="","",IF(IFERROR(VLOOKUP($F1500,'维度字典'!$M$2:$N$50,2,0),"求和")="手工录入","",IF(IFERROR(VLOOKUP($F1500,'维度字典'!$M$2:$N$50,2,0),"求和")="最新值",IFERROR(LOOKUP(9.99E+307,G1500:R1500),""),SUM(G1500:R1500))))</f>
        <v/>
      </c>
      <c r="T1500" s="33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3:T1500"/>
  <mergeCells count="3">
    <mergeCell ref="A1:T1"/>
    <mergeCell ref="B2:F2"/>
    <mergeCell ref="G2:R2"/>
  </mergeCells>
  <conditionalFormatting sqref="S4:S1500">
    <cfRule type="expression" priority="1" dxfId="0" stopIfTrue="0">
      <formula>AND($F4&lt;&gt;"",IFERROR(VLOOKUP($F4,'维度字典'!$M$2:$N$50,2,0),"求和")="手工录入")</formula>
    </cfRule>
  </conditionalFormatting>
  <dataValidations count="6">
    <dataValidation sqref="B4:B1500" showDropDown="0" showInputMessage="1" showErrorMessage="1" allowBlank="1" error="请从下拉选择业务员" promptTitle="业务员" prompt="请选择业务员" type="list">
      <formula1>LIST_SALESPERSON</formula1>
    </dataValidation>
    <dataValidation sqref="C4:C1500" showDropDown="0" showInputMessage="1" showErrorMessage="1" allowBlank="1" error="请从下拉选择应用行业" promptTitle="应用行业" prompt="请选择应用行业" type="list">
      <formula1>LIST_INDUSTRY</formula1>
    </dataValidation>
    <dataValidation sqref="D4:D1500" showDropDown="0" showInputMessage="1" showErrorMessage="1" allowBlank="1" error="请从下拉选择产品" promptTitle="产品" prompt="请选择产品" type="list">
      <formula1>LIST_PRODUCT</formula1>
    </dataValidation>
    <dataValidation sqref="E4:E1500" showDropDown="0" showInputMessage="1" showErrorMessage="1" allowBlank="1" error="请从下拉选择区域" promptTitle="区域" prompt="请选择区域" type="list">
      <formula1>LIST_REGION</formula1>
    </dataValidation>
    <dataValidation sqref="F4:F1500" showDropDown="0" showInputMessage="1" showErrorMessage="1" allowBlank="1" error="请从下拉选择填报指标" promptTitle="指标" prompt="请选择填报指标" type="list">
      <formula1>LIST_METRIC_SYS</formula1>
    </dataValidation>
    <dataValidation sqref="G4:R1500" showDropDown="0" showInputMessage="0" showErrorMessage="1" allowBlank="1" error="月度数据请填写非负数字（万元）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3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3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2" customWidth="1" min="15" max="15"/>
    <col width="10" customWidth="1" min="16" max="16"/>
    <col width="13" customWidth="1" min="17" max="17"/>
    <col width="13" customWidth="1" min="18" max="18"/>
    <col width="13" customWidth="1" min="19" max="19"/>
    <col width="15" customWidth="1" min="20" max="20"/>
    <col width="15" customWidth="1" min="21" max="21"/>
    <col width="11" customWidth="1" min="22" max="22"/>
    <col width="11" customWidth="1" min="23" max="23"/>
    <col width="11" customWidth="1" min="24" max="24"/>
    <col width="14" customWidth="1" min="25" max="25"/>
  </cols>
  <sheetData>
    <row r="1">
      <c r="A1" s="34" t="inlineStr">
        <is>
          <t>达成看板 —— 全部公式自动计算，无需填写（当期达成 / 全年累计达成 / 管道充裕度 / 下期预测）</t>
        </is>
      </c>
      <c r="E1" s="35" t="inlineStr">
        <is>
          <t>统计月份(1-12)：</t>
        </is>
      </c>
      <c r="F1" s="36" t="n">
        <v>7</v>
      </c>
    </row>
    <row r="2">
      <c r="A2" s="19" t="inlineStr">
        <is>
          <t>组合维度（字典自动展开）</t>
        </is>
      </c>
      <c r="B2" s="60" t="n"/>
      <c r="C2" s="60" t="n"/>
      <c r="D2" s="61" t="n"/>
      <c r="E2" s="19" t="inlineStr">
        <is>
          <t>当期达成（本月）</t>
        </is>
      </c>
      <c r="F2" s="60" t="n"/>
      <c r="G2" s="60" t="n"/>
      <c r="H2" s="60" t="n"/>
      <c r="I2" s="61" t="n"/>
      <c r="J2" s="19" t="inlineStr">
        <is>
          <t>全年累计达成（1-X月）</t>
        </is>
      </c>
      <c r="K2" s="60" t="n"/>
      <c r="L2" s="60" t="n"/>
      <c r="M2" s="60" t="n"/>
      <c r="N2" s="60" t="n"/>
      <c r="O2" s="61" t="n"/>
      <c r="P2" s="19" t="inlineStr">
        <is>
          <t>管道充裕度（月末时点）</t>
        </is>
      </c>
      <c r="Q2" s="60" t="n"/>
      <c r="R2" s="60" t="n"/>
      <c r="S2" s="60" t="n"/>
      <c r="T2" s="60" t="n"/>
      <c r="U2" s="61" t="n"/>
      <c r="V2" s="19" t="inlineStr">
        <is>
          <t>下期预测（在手+机会）</t>
        </is>
      </c>
      <c r="W2" s="60" t="n"/>
      <c r="X2" s="60" t="n"/>
      <c r="Y2" s="61" t="n"/>
    </row>
    <row r="3">
      <c r="A3" s="19" t="inlineStr">
        <is>
          <t>序号</t>
        </is>
      </c>
      <c r="B3" s="19" t="inlineStr">
        <is>
          <t>业务员</t>
        </is>
      </c>
      <c r="C3" s="19" t="inlineStr">
        <is>
          <t>应用行业</t>
        </is>
      </c>
      <c r="D3" s="19" t="inlineStr">
        <is>
          <t>产品</t>
        </is>
      </c>
      <c r="E3" s="19" t="inlineStr">
        <is>
          <t>本月销售额</t>
        </is>
      </c>
      <c r="F3" s="19" t="inlineStr">
        <is>
          <t>本月毛利</t>
        </is>
      </c>
      <c r="G3" s="19" t="inlineStr">
        <is>
          <t>本月毛利率</t>
        </is>
      </c>
      <c r="H3" s="19" t="inlineStr">
        <is>
          <t>本月目标</t>
        </is>
      </c>
      <c r="I3" s="19" t="inlineStr">
        <is>
          <t>本月目标达成率</t>
        </is>
      </c>
      <c r="J3" s="19" t="inlineStr">
        <is>
          <t>累计销售额</t>
        </is>
      </c>
      <c r="K3" s="19" t="inlineStr">
        <is>
          <t>累计毛利</t>
        </is>
      </c>
      <c r="L3" s="19" t="inlineStr">
        <is>
          <t>累计毛利率</t>
        </is>
      </c>
      <c r="M3" s="19" t="inlineStr">
        <is>
          <t>年度目标</t>
        </is>
      </c>
      <c r="N3" s="19" t="inlineStr">
        <is>
          <t>累计达成率</t>
        </is>
      </c>
      <c r="O3" s="19" t="inlineStr">
        <is>
          <t>与目标差距</t>
        </is>
      </c>
      <c r="P3" s="19" t="inlineStr">
        <is>
          <t>在手订单</t>
        </is>
      </c>
      <c r="Q3" s="19" t="inlineStr">
        <is>
          <t>在手订单目标</t>
        </is>
      </c>
      <c r="R3" s="19" t="inlineStr">
        <is>
          <t>在手订单达成率</t>
        </is>
      </c>
      <c r="S3" s="19" t="inlineStr">
        <is>
          <t>目标客户机会</t>
        </is>
      </c>
      <c r="T3" s="19" t="inlineStr">
        <is>
          <t>目标客户机会目标</t>
        </is>
      </c>
      <c r="U3" s="19" t="inlineStr">
        <is>
          <t>目标客户机会达成率</t>
        </is>
      </c>
      <c r="V3" s="19" t="inlineStr">
        <is>
          <t>预测合计</t>
        </is>
      </c>
      <c r="W3" s="19" t="inlineStr">
        <is>
          <t>剩余目标</t>
        </is>
      </c>
      <c r="X3" s="19" t="inlineStr">
        <is>
          <t>预测达成率</t>
        </is>
      </c>
      <c r="Y3" s="19" t="inlineStr">
        <is>
          <t>预测与目标差距</t>
        </is>
      </c>
    </row>
    <row r="4">
      <c r="A4" s="37">
        <f>IF($B4="","",ROW()-3)</f>
        <v/>
      </c>
      <c r="B4" s="13">
        <f>IF(0+1&gt;COUNTA('维度字典'!$C$2:$C$200)*COUNTA('维度字典'!$A$2:$A$200)*COUNTA('维度字典'!$E$2:$E$200),"",INDEX('维度字典'!$C$2:$C$200,MOD(INT(0/(COUNTA('维度字典'!$E$2:$E$200)*COUNTA('维度字典'!$A$2:$A$200))),COUNTA('维度字典'!$C$2:$C$200))+1))</f>
        <v/>
      </c>
      <c r="C4" s="13">
        <f>IF($B4="","",INDEX('维度字典'!$A$2:$A$200,MOD(INT(0/COUNTA('维度字典'!$E$2:$E$200)),COUNTA('维度字典'!$A$2:$A$200))+1))</f>
        <v/>
      </c>
      <c r="D4" s="13">
        <f>IF($B4="","",INDEX('维度字典'!$E$2:$E$200,MOD(0,COUNTA('维度字典'!$E$2:$E$200))+1))</f>
        <v/>
      </c>
      <c r="E4" s="38">
        <f>IF($B4="","",SUMPRODUCT(('系统实绩导入'!$B$4:$B$1500=$B4)*('系统实绩导入'!$C$4:$C$1500=$C4)*('系统实绩导入'!$D$4:$D$1500=$D4)*('系统实绩导入'!$F$4:$F$1500="实绩销售额")*('系统实绩导入'!$G$3:$R$3=$F$1)*'系统实绩导入'!$G$4:$R$1500))</f>
        <v/>
      </c>
      <c r="F4" s="38">
        <f>IF($B4="","",SUMPRODUCT(('系统实绩导入'!$B$4:$B$1500=$B4)*('系统实绩导入'!$C$4:$C$1500=$C4)*('系统实绩导入'!$D$4:$D$1500=$D4)*('系统实绩导入'!$F$4:$F$1500="实绩毛利")*('系统实绩导入'!$G$3:$R$3=$F$1)*'系统实绩导入'!$G$4:$R$1500))</f>
        <v/>
      </c>
      <c r="G4" s="39">
        <f>IF($B4="","",IFERROR(F4/E4,""))</f>
        <v/>
      </c>
      <c r="H4" s="38">
        <f>IF($B4="","",SUMPRODUCT(('目标填报'!$B$4:$B$1500=$B4)*('目标填报'!$C$4:$C$1500=$C4)*('目标填报'!$D$4:$D$1500=$D4)*('目标填报'!$F$4:$F$1500="销售目标额")*('目标填报'!$G$3:$R$3=$F$1)*'目标填报'!$G$4:$R$1500))</f>
        <v/>
      </c>
      <c r="I4" s="39">
        <f>IF($B4="","",IFERROR(E4/H4,""))</f>
        <v/>
      </c>
      <c r="J4" s="38">
        <f>IF($B4="","",SUMPRODUCT(('系统实绩导入'!$B$4:$B$1500=$B4)*('系统实绩导入'!$C$4:$C$1500=$C4)*('系统实绩导入'!$D$4:$D$1500=$D4)*('系统实绩导入'!$F$4:$F$1500="实绩销售额")*('系统实绩导入'!$G$3:$R$3&lt;=$F$1)*'系统实绩导入'!$G$4:$R$1500))</f>
        <v/>
      </c>
      <c r="K4" s="38">
        <f>IF($B4="","",SUMPRODUCT(('系统实绩导入'!$B$4:$B$1500=$B4)*('系统实绩导入'!$C$4:$C$1500=$C4)*('系统实绩导入'!$D$4:$D$1500=$D4)*('系统实绩导入'!$F$4:$F$1500="实绩毛利")*('系统实绩导入'!$G$3:$R$3&lt;=$F$1)*'系统实绩导入'!$G$4:$R$1500))</f>
        <v/>
      </c>
      <c r="L4" s="39">
        <f>IF($B4="","",IFERROR(K4/J4,""))</f>
        <v/>
      </c>
      <c r="M4" s="38">
        <f>IF($B4="","",SUMIFS('目标填报'!$S$4:$S$1500,'目标填报'!$B$4:$B$1500,$B4,'目标填报'!$C$4:$C$1500,$C4,'目标填报'!$D$4:$D$1500,$D4,'目标填报'!$F$4:$F$1500,"销售目标额"))</f>
        <v/>
      </c>
      <c r="N4" s="39">
        <f>IF($B4="","",IFERROR(J4/M4,""))</f>
        <v/>
      </c>
      <c r="O4" s="40">
        <f>IF($B4="","",J4-M4)</f>
        <v/>
      </c>
      <c r="P4" s="38">
        <f>IF($B4="","",SUMPRODUCT(('目标填报'!$B$4:$B$1500=$B4)*('目标填报'!$C$4:$C$1500=$C4)*('目标填报'!$D$4:$D$1500=$D4)*('目标填报'!$F$4:$F$1500="在手订单")*('目标填报'!$G$3:$R$3=$F$1)*'目标填报'!$G$4:$R$1500))</f>
        <v/>
      </c>
      <c r="Q4" s="38">
        <f>IF($B4="","",SUMPRODUCT(('目标填报'!$B$4:$B$1500=$B4)*('目标填报'!$C$4:$C$1500=$C4)*('目标填报'!$D$4:$D$1500=$D4)*('目标填报'!$F$4:$F$1500="在手订单目标")*('目标填报'!$G$3:$R$3=$F$1)*'目标填报'!$G$4:$R$1500))</f>
        <v/>
      </c>
      <c r="R4" s="39">
        <f>IF($B4="","",IFERROR(P4/Q4,""))</f>
        <v/>
      </c>
      <c r="S4" s="38">
        <f>IF($B4="","",SUMPRODUCT(('目标填报'!$B$4:$B$1500=$B4)*('目标填报'!$C$4:$C$1500=$C4)*('目标填报'!$D$4:$D$1500=$D4)*('目标填报'!$F$4:$F$1500="目标客户机会")*('目标填报'!$G$3:$R$3=$F$1)*'目标填报'!$G$4:$R$1500))</f>
        <v/>
      </c>
      <c r="T4" s="38">
        <f>IF($B4="","",SUMPRODUCT(('目标填报'!$B$4:$B$1500=$B4)*('目标填报'!$C$4:$C$1500=$C4)*('目标填报'!$D$4:$D$1500=$D4)*('目标填报'!$F$4:$F$1500="目标客户机会目标")*('目标填报'!$G$3:$R$3=$F$1)*'目标填报'!$G$4:$R$1500))</f>
        <v/>
      </c>
      <c r="U4" s="39">
        <f>IF($B4="","",IFERROR(S4/T4,""))</f>
        <v/>
      </c>
      <c r="V4" s="38">
        <f>IF($B4="","",P4+S4)</f>
        <v/>
      </c>
      <c r="W4" s="38">
        <f>IF($B4="","",M4-J4)</f>
        <v/>
      </c>
      <c r="X4" s="39">
        <f>IF($B4="","",IFERROR(V4/W4,""))</f>
        <v/>
      </c>
      <c r="Y4" s="40">
        <f>IF($B4="","",V4-W4)</f>
        <v/>
      </c>
    </row>
    <row r="5">
      <c r="A5" s="37">
        <f>IF($B5="","",ROW()-3)</f>
        <v/>
      </c>
      <c r="B5" s="13">
        <f>IF(1+1&gt;COUNTA('维度字典'!$C$2:$C$200)*COUNTA('维度字典'!$A$2:$A$200)*COUNTA('维度字典'!$E$2:$E$200),"",INDEX('维度字典'!$C$2:$C$200,MOD(INT(1/(COUNTA('维度字典'!$E$2:$E$200)*COUNTA('维度字典'!$A$2:$A$200))),COUNTA('维度字典'!$C$2:$C$200))+1))</f>
        <v/>
      </c>
      <c r="C5" s="13">
        <f>IF($B5="","",INDEX('维度字典'!$A$2:$A$200,MOD(INT(1/COUNTA('维度字典'!$E$2:$E$200)),COUNTA('维度字典'!$A$2:$A$200))+1))</f>
        <v/>
      </c>
      <c r="D5" s="13">
        <f>IF($B5="","",INDEX('维度字典'!$E$2:$E$200,MOD(1,COUNTA('维度字典'!$E$2:$E$200))+1))</f>
        <v/>
      </c>
      <c r="E5" s="38">
        <f>IF($B5="","",SUMPRODUCT(('系统实绩导入'!$B$4:$B$1500=$B5)*('系统实绩导入'!$C$4:$C$1500=$C5)*('系统实绩导入'!$D$4:$D$1500=$D5)*('系统实绩导入'!$F$4:$F$1500="实绩销售额")*('系统实绩导入'!$G$3:$R$3=$F$1)*'系统实绩导入'!$G$4:$R$1500))</f>
        <v/>
      </c>
      <c r="F5" s="38">
        <f>IF($B5="","",SUMPRODUCT(('系统实绩导入'!$B$4:$B$1500=$B5)*('系统实绩导入'!$C$4:$C$1500=$C5)*('系统实绩导入'!$D$4:$D$1500=$D5)*('系统实绩导入'!$F$4:$F$1500="实绩毛利")*('系统实绩导入'!$G$3:$R$3=$F$1)*'系统实绩导入'!$G$4:$R$1500))</f>
        <v/>
      </c>
      <c r="G5" s="39">
        <f>IF($B5="","",IFERROR(F5/E5,""))</f>
        <v/>
      </c>
      <c r="H5" s="38">
        <f>IF($B5="","",SUMPRODUCT(('目标填报'!$B$4:$B$1500=$B5)*('目标填报'!$C$4:$C$1500=$C5)*('目标填报'!$D$4:$D$1500=$D5)*('目标填报'!$F$4:$F$1500="销售目标额")*('目标填报'!$G$3:$R$3=$F$1)*'目标填报'!$G$4:$R$1500))</f>
        <v/>
      </c>
      <c r="I5" s="39">
        <f>IF($B5="","",IFERROR(E5/H5,""))</f>
        <v/>
      </c>
      <c r="J5" s="38">
        <f>IF($B5="","",SUMPRODUCT(('系统实绩导入'!$B$4:$B$1500=$B5)*('系统实绩导入'!$C$4:$C$1500=$C5)*('系统实绩导入'!$D$4:$D$1500=$D5)*('系统实绩导入'!$F$4:$F$1500="实绩销售额")*('系统实绩导入'!$G$3:$R$3&lt;=$F$1)*'系统实绩导入'!$G$4:$R$1500))</f>
        <v/>
      </c>
      <c r="K5" s="38">
        <f>IF($B5="","",SUMPRODUCT(('系统实绩导入'!$B$4:$B$1500=$B5)*('系统实绩导入'!$C$4:$C$1500=$C5)*('系统实绩导入'!$D$4:$D$1500=$D5)*('系统实绩导入'!$F$4:$F$1500="实绩毛利")*('系统实绩导入'!$G$3:$R$3&lt;=$F$1)*'系统实绩导入'!$G$4:$R$1500))</f>
        <v/>
      </c>
      <c r="L5" s="39">
        <f>IF($B5="","",IFERROR(K5/J5,""))</f>
        <v/>
      </c>
      <c r="M5" s="38">
        <f>IF($B5="","",SUMIFS('目标填报'!$S$4:$S$1500,'目标填报'!$B$4:$B$1500,$B5,'目标填报'!$C$4:$C$1500,$C5,'目标填报'!$D$4:$D$1500,$D5,'目标填报'!$F$4:$F$1500,"销售目标额"))</f>
        <v/>
      </c>
      <c r="N5" s="39">
        <f>IF($B5="","",IFERROR(J5/M5,""))</f>
        <v/>
      </c>
      <c r="O5" s="40">
        <f>IF($B5="","",J5-M5)</f>
        <v/>
      </c>
      <c r="P5" s="38">
        <f>IF($B5="","",SUMPRODUCT(('目标填报'!$B$4:$B$1500=$B5)*('目标填报'!$C$4:$C$1500=$C5)*('目标填报'!$D$4:$D$1500=$D5)*('目标填报'!$F$4:$F$1500="在手订单")*('目标填报'!$G$3:$R$3=$F$1)*'目标填报'!$G$4:$R$1500))</f>
        <v/>
      </c>
      <c r="Q5" s="38">
        <f>IF($B5="","",SUMPRODUCT(('目标填报'!$B$4:$B$1500=$B5)*('目标填报'!$C$4:$C$1500=$C5)*('目标填报'!$D$4:$D$1500=$D5)*('目标填报'!$F$4:$F$1500="在手订单目标")*('目标填报'!$G$3:$R$3=$F$1)*'目标填报'!$G$4:$R$1500))</f>
        <v/>
      </c>
      <c r="R5" s="39">
        <f>IF($B5="","",IFERROR(P5/Q5,""))</f>
        <v/>
      </c>
      <c r="S5" s="38">
        <f>IF($B5="","",SUMPRODUCT(('目标填报'!$B$4:$B$1500=$B5)*('目标填报'!$C$4:$C$1500=$C5)*('目标填报'!$D$4:$D$1500=$D5)*('目标填报'!$F$4:$F$1500="目标客户机会")*('目标填报'!$G$3:$R$3=$F$1)*'目标填报'!$G$4:$R$1500))</f>
        <v/>
      </c>
      <c r="T5" s="38">
        <f>IF($B5="","",SUMPRODUCT(('目标填报'!$B$4:$B$1500=$B5)*('目标填报'!$C$4:$C$1500=$C5)*('目标填报'!$D$4:$D$1500=$D5)*('目标填报'!$F$4:$F$1500="目标客户机会目标")*('目标填报'!$G$3:$R$3=$F$1)*'目标填报'!$G$4:$R$1500))</f>
        <v/>
      </c>
      <c r="U5" s="39">
        <f>IF($B5="","",IFERROR(S5/T5,""))</f>
        <v/>
      </c>
      <c r="V5" s="38">
        <f>IF($B5="","",P5+S5)</f>
        <v/>
      </c>
      <c r="W5" s="38">
        <f>IF($B5="","",M5-J5)</f>
        <v/>
      </c>
      <c r="X5" s="39">
        <f>IF($B5="","",IFERROR(V5/W5,""))</f>
        <v/>
      </c>
      <c r="Y5" s="40">
        <f>IF($B5="","",V5-W5)</f>
        <v/>
      </c>
    </row>
    <row r="6">
      <c r="A6" s="37">
        <f>IF($B6="","",ROW()-3)</f>
        <v/>
      </c>
      <c r="B6" s="13">
        <f>IF(2+1&gt;COUNTA('维度字典'!$C$2:$C$200)*COUNTA('维度字典'!$A$2:$A$200)*COUNTA('维度字典'!$E$2:$E$200),"",INDEX('维度字典'!$C$2:$C$200,MOD(INT(2/(COUNTA('维度字典'!$E$2:$E$200)*COUNTA('维度字典'!$A$2:$A$200))),COUNTA('维度字典'!$C$2:$C$200))+1))</f>
        <v/>
      </c>
      <c r="C6" s="13">
        <f>IF($B6="","",INDEX('维度字典'!$A$2:$A$200,MOD(INT(2/COUNTA('维度字典'!$E$2:$E$200)),COUNTA('维度字典'!$A$2:$A$200))+1))</f>
        <v/>
      </c>
      <c r="D6" s="13">
        <f>IF($B6="","",INDEX('维度字典'!$E$2:$E$200,MOD(2,COUNTA('维度字典'!$E$2:$E$200))+1))</f>
        <v/>
      </c>
      <c r="E6" s="38">
        <f>IF($B6="","",SUMPRODUCT(('系统实绩导入'!$B$4:$B$1500=$B6)*('系统实绩导入'!$C$4:$C$1500=$C6)*('系统实绩导入'!$D$4:$D$1500=$D6)*('系统实绩导入'!$F$4:$F$1500="实绩销售额")*('系统实绩导入'!$G$3:$R$3=$F$1)*'系统实绩导入'!$G$4:$R$1500))</f>
        <v/>
      </c>
      <c r="F6" s="38">
        <f>IF($B6="","",SUMPRODUCT(('系统实绩导入'!$B$4:$B$1500=$B6)*('系统实绩导入'!$C$4:$C$1500=$C6)*('系统实绩导入'!$D$4:$D$1500=$D6)*('系统实绩导入'!$F$4:$F$1500="实绩毛利")*('系统实绩导入'!$G$3:$R$3=$F$1)*'系统实绩导入'!$G$4:$R$1500))</f>
        <v/>
      </c>
      <c r="G6" s="39">
        <f>IF($B6="","",IFERROR(F6/E6,""))</f>
        <v/>
      </c>
      <c r="H6" s="38">
        <f>IF($B6="","",SUMPRODUCT(('目标填报'!$B$4:$B$1500=$B6)*('目标填报'!$C$4:$C$1500=$C6)*('目标填报'!$D$4:$D$1500=$D6)*('目标填报'!$F$4:$F$1500="销售目标额")*('目标填报'!$G$3:$R$3=$F$1)*'目标填报'!$G$4:$R$1500))</f>
        <v/>
      </c>
      <c r="I6" s="39">
        <f>IF($B6="","",IFERROR(E6/H6,""))</f>
        <v/>
      </c>
      <c r="J6" s="38">
        <f>IF($B6="","",SUMPRODUCT(('系统实绩导入'!$B$4:$B$1500=$B6)*('系统实绩导入'!$C$4:$C$1500=$C6)*('系统实绩导入'!$D$4:$D$1500=$D6)*('系统实绩导入'!$F$4:$F$1500="实绩销售额")*('系统实绩导入'!$G$3:$R$3&lt;=$F$1)*'系统实绩导入'!$G$4:$R$1500))</f>
        <v/>
      </c>
      <c r="K6" s="38">
        <f>IF($B6="","",SUMPRODUCT(('系统实绩导入'!$B$4:$B$1500=$B6)*('系统实绩导入'!$C$4:$C$1500=$C6)*('系统实绩导入'!$D$4:$D$1500=$D6)*('系统实绩导入'!$F$4:$F$1500="实绩毛利")*('系统实绩导入'!$G$3:$R$3&lt;=$F$1)*'系统实绩导入'!$G$4:$R$1500))</f>
        <v/>
      </c>
      <c r="L6" s="39">
        <f>IF($B6="","",IFERROR(K6/J6,""))</f>
        <v/>
      </c>
      <c r="M6" s="38">
        <f>IF($B6="","",SUMIFS('目标填报'!$S$4:$S$1500,'目标填报'!$B$4:$B$1500,$B6,'目标填报'!$C$4:$C$1500,$C6,'目标填报'!$D$4:$D$1500,$D6,'目标填报'!$F$4:$F$1500,"销售目标额"))</f>
        <v/>
      </c>
      <c r="N6" s="39">
        <f>IF($B6="","",IFERROR(J6/M6,""))</f>
        <v/>
      </c>
      <c r="O6" s="40">
        <f>IF($B6="","",J6-M6)</f>
        <v/>
      </c>
      <c r="P6" s="38">
        <f>IF($B6="","",SUMPRODUCT(('目标填报'!$B$4:$B$1500=$B6)*('目标填报'!$C$4:$C$1500=$C6)*('目标填报'!$D$4:$D$1500=$D6)*('目标填报'!$F$4:$F$1500="在手订单")*('目标填报'!$G$3:$R$3=$F$1)*'目标填报'!$G$4:$R$1500))</f>
        <v/>
      </c>
      <c r="Q6" s="38">
        <f>IF($B6="","",SUMPRODUCT(('目标填报'!$B$4:$B$1500=$B6)*('目标填报'!$C$4:$C$1500=$C6)*('目标填报'!$D$4:$D$1500=$D6)*('目标填报'!$F$4:$F$1500="在手订单目标")*('目标填报'!$G$3:$R$3=$F$1)*'目标填报'!$G$4:$R$1500))</f>
        <v/>
      </c>
      <c r="R6" s="39">
        <f>IF($B6="","",IFERROR(P6/Q6,""))</f>
        <v/>
      </c>
      <c r="S6" s="38">
        <f>IF($B6="","",SUMPRODUCT(('目标填报'!$B$4:$B$1500=$B6)*('目标填报'!$C$4:$C$1500=$C6)*('目标填报'!$D$4:$D$1500=$D6)*('目标填报'!$F$4:$F$1500="目标客户机会")*('目标填报'!$G$3:$R$3=$F$1)*'目标填报'!$G$4:$R$1500))</f>
        <v/>
      </c>
      <c r="T6" s="38">
        <f>IF($B6="","",SUMPRODUCT(('目标填报'!$B$4:$B$1500=$B6)*('目标填报'!$C$4:$C$1500=$C6)*('目标填报'!$D$4:$D$1500=$D6)*('目标填报'!$F$4:$F$1500="目标客户机会目标")*('目标填报'!$G$3:$R$3=$F$1)*'目标填报'!$G$4:$R$1500))</f>
        <v/>
      </c>
      <c r="U6" s="39">
        <f>IF($B6="","",IFERROR(S6/T6,""))</f>
        <v/>
      </c>
      <c r="V6" s="38">
        <f>IF($B6="","",P6+S6)</f>
        <v/>
      </c>
      <c r="W6" s="38">
        <f>IF($B6="","",M6-J6)</f>
        <v/>
      </c>
      <c r="X6" s="39">
        <f>IF($B6="","",IFERROR(V6/W6,""))</f>
        <v/>
      </c>
      <c r="Y6" s="40">
        <f>IF($B6="","",V6-W6)</f>
        <v/>
      </c>
    </row>
    <row r="7">
      <c r="A7" s="37">
        <f>IF($B7="","",ROW()-3)</f>
        <v/>
      </c>
      <c r="B7" s="13">
        <f>IF(3+1&gt;COUNTA('维度字典'!$C$2:$C$200)*COUNTA('维度字典'!$A$2:$A$200)*COUNTA('维度字典'!$E$2:$E$200),"",INDEX('维度字典'!$C$2:$C$200,MOD(INT(3/(COUNTA('维度字典'!$E$2:$E$200)*COUNTA('维度字典'!$A$2:$A$200))),COUNTA('维度字典'!$C$2:$C$200))+1))</f>
        <v/>
      </c>
      <c r="C7" s="13">
        <f>IF($B7="","",INDEX('维度字典'!$A$2:$A$200,MOD(INT(3/COUNTA('维度字典'!$E$2:$E$200)),COUNTA('维度字典'!$A$2:$A$200))+1))</f>
        <v/>
      </c>
      <c r="D7" s="13">
        <f>IF($B7="","",INDEX('维度字典'!$E$2:$E$200,MOD(3,COUNTA('维度字典'!$E$2:$E$200))+1))</f>
        <v/>
      </c>
      <c r="E7" s="38">
        <f>IF($B7="","",SUMPRODUCT(('系统实绩导入'!$B$4:$B$1500=$B7)*('系统实绩导入'!$C$4:$C$1500=$C7)*('系统实绩导入'!$D$4:$D$1500=$D7)*('系统实绩导入'!$F$4:$F$1500="实绩销售额")*('系统实绩导入'!$G$3:$R$3=$F$1)*'系统实绩导入'!$G$4:$R$1500))</f>
        <v/>
      </c>
      <c r="F7" s="38">
        <f>IF($B7="","",SUMPRODUCT(('系统实绩导入'!$B$4:$B$1500=$B7)*('系统实绩导入'!$C$4:$C$1500=$C7)*('系统实绩导入'!$D$4:$D$1500=$D7)*('系统实绩导入'!$F$4:$F$1500="实绩毛利")*('系统实绩导入'!$G$3:$R$3=$F$1)*'系统实绩导入'!$G$4:$R$1500))</f>
        <v/>
      </c>
      <c r="G7" s="39">
        <f>IF($B7="","",IFERROR(F7/E7,""))</f>
        <v/>
      </c>
      <c r="H7" s="38">
        <f>IF($B7="","",SUMPRODUCT(('目标填报'!$B$4:$B$1500=$B7)*('目标填报'!$C$4:$C$1500=$C7)*('目标填报'!$D$4:$D$1500=$D7)*('目标填报'!$F$4:$F$1500="销售目标额")*('目标填报'!$G$3:$R$3=$F$1)*'目标填报'!$G$4:$R$1500))</f>
        <v/>
      </c>
      <c r="I7" s="39">
        <f>IF($B7="","",IFERROR(E7/H7,""))</f>
        <v/>
      </c>
      <c r="J7" s="38">
        <f>IF($B7="","",SUMPRODUCT(('系统实绩导入'!$B$4:$B$1500=$B7)*('系统实绩导入'!$C$4:$C$1500=$C7)*('系统实绩导入'!$D$4:$D$1500=$D7)*('系统实绩导入'!$F$4:$F$1500="实绩销售额")*('系统实绩导入'!$G$3:$R$3&lt;=$F$1)*'系统实绩导入'!$G$4:$R$1500))</f>
        <v/>
      </c>
      <c r="K7" s="38">
        <f>IF($B7="","",SUMPRODUCT(('系统实绩导入'!$B$4:$B$1500=$B7)*('系统实绩导入'!$C$4:$C$1500=$C7)*('系统实绩导入'!$D$4:$D$1500=$D7)*('系统实绩导入'!$F$4:$F$1500="实绩毛利")*('系统实绩导入'!$G$3:$R$3&lt;=$F$1)*'系统实绩导入'!$G$4:$R$1500))</f>
        <v/>
      </c>
      <c r="L7" s="39">
        <f>IF($B7="","",IFERROR(K7/J7,""))</f>
        <v/>
      </c>
      <c r="M7" s="38">
        <f>IF($B7="","",SUMIFS('目标填报'!$S$4:$S$1500,'目标填报'!$B$4:$B$1500,$B7,'目标填报'!$C$4:$C$1500,$C7,'目标填报'!$D$4:$D$1500,$D7,'目标填报'!$F$4:$F$1500,"销售目标额"))</f>
        <v/>
      </c>
      <c r="N7" s="39">
        <f>IF($B7="","",IFERROR(J7/M7,""))</f>
        <v/>
      </c>
      <c r="O7" s="40">
        <f>IF($B7="","",J7-M7)</f>
        <v/>
      </c>
      <c r="P7" s="38">
        <f>IF($B7="","",SUMPRODUCT(('目标填报'!$B$4:$B$1500=$B7)*('目标填报'!$C$4:$C$1500=$C7)*('目标填报'!$D$4:$D$1500=$D7)*('目标填报'!$F$4:$F$1500="在手订单")*('目标填报'!$G$3:$R$3=$F$1)*'目标填报'!$G$4:$R$1500))</f>
        <v/>
      </c>
      <c r="Q7" s="38">
        <f>IF($B7="","",SUMPRODUCT(('目标填报'!$B$4:$B$1500=$B7)*('目标填报'!$C$4:$C$1500=$C7)*('目标填报'!$D$4:$D$1500=$D7)*('目标填报'!$F$4:$F$1500="在手订单目标")*('目标填报'!$G$3:$R$3=$F$1)*'目标填报'!$G$4:$R$1500))</f>
        <v/>
      </c>
      <c r="R7" s="39">
        <f>IF($B7="","",IFERROR(P7/Q7,""))</f>
        <v/>
      </c>
      <c r="S7" s="38">
        <f>IF($B7="","",SUMPRODUCT(('目标填报'!$B$4:$B$1500=$B7)*('目标填报'!$C$4:$C$1500=$C7)*('目标填报'!$D$4:$D$1500=$D7)*('目标填报'!$F$4:$F$1500="目标客户机会")*('目标填报'!$G$3:$R$3=$F$1)*'目标填报'!$G$4:$R$1500))</f>
        <v/>
      </c>
      <c r="T7" s="38">
        <f>IF($B7="","",SUMPRODUCT(('目标填报'!$B$4:$B$1500=$B7)*('目标填报'!$C$4:$C$1500=$C7)*('目标填报'!$D$4:$D$1500=$D7)*('目标填报'!$F$4:$F$1500="目标客户机会目标")*('目标填报'!$G$3:$R$3=$F$1)*'目标填报'!$G$4:$R$1500))</f>
        <v/>
      </c>
      <c r="U7" s="39">
        <f>IF($B7="","",IFERROR(S7/T7,""))</f>
        <v/>
      </c>
      <c r="V7" s="38">
        <f>IF($B7="","",P7+S7)</f>
        <v/>
      </c>
      <c r="W7" s="38">
        <f>IF($B7="","",M7-J7)</f>
        <v/>
      </c>
      <c r="X7" s="39">
        <f>IF($B7="","",IFERROR(V7/W7,""))</f>
        <v/>
      </c>
      <c r="Y7" s="40">
        <f>IF($B7="","",V7-W7)</f>
        <v/>
      </c>
    </row>
    <row r="8">
      <c r="A8" s="37">
        <f>IF($B8="","",ROW()-3)</f>
        <v/>
      </c>
      <c r="B8" s="13">
        <f>IF(4+1&gt;COUNTA('维度字典'!$C$2:$C$200)*COUNTA('维度字典'!$A$2:$A$200)*COUNTA('维度字典'!$E$2:$E$200),"",INDEX('维度字典'!$C$2:$C$200,MOD(INT(4/(COUNTA('维度字典'!$E$2:$E$200)*COUNTA('维度字典'!$A$2:$A$200))),COUNTA('维度字典'!$C$2:$C$200))+1))</f>
        <v/>
      </c>
      <c r="C8" s="13">
        <f>IF($B8="","",INDEX('维度字典'!$A$2:$A$200,MOD(INT(4/COUNTA('维度字典'!$E$2:$E$200)),COUNTA('维度字典'!$A$2:$A$200))+1))</f>
        <v/>
      </c>
      <c r="D8" s="13">
        <f>IF($B8="","",INDEX('维度字典'!$E$2:$E$200,MOD(4,COUNTA('维度字典'!$E$2:$E$200))+1))</f>
        <v/>
      </c>
      <c r="E8" s="38">
        <f>IF($B8="","",SUMPRODUCT(('系统实绩导入'!$B$4:$B$1500=$B8)*('系统实绩导入'!$C$4:$C$1500=$C8)*('系统实绩导入'!$D$4:$D$1500=$D8)*('系统实绩导入'!$F$4:$F$1500="实绩销售额")*('系统实绩导入'!$G$3:$R$3=$F$1)*'系统实绩导入'!$G$4:$R$1500))</f>
        <v/>
      </c>
      <c r="F8" s="38">
        <f>IF($B8="","",SUMPRODUCT(('系统实绩导入'!$B$4:$B$1500=$B8)*('系统实绩导入'!$C$4:$C$1500=$C8)*('系统实绩导入'!$D$4:$D$1500=$D8)*('系统实绩导入'!$F$4:$F$1500="实绩毛利")*('系统实绩导入'!$G$3:$R$3=$F$1)*'系统实绩导入'!$G$4:$R$1500))</f>
        <v/>
      </c>
      <c r="G8" s="39">
        <f>IF($B8="","",IFERROR(F8/E8,""))</f>
        <v/>
      </c>
      <c r="H8" s="38">
        <f>IF($B8="","",SUMPRODUCT(('目标填报'!$B$4:$B$1500=$B8)*('目标填报'!$C$4:$C$1500=$C8)*('目标填报'!$D$4:$D$1500=$D8)*('目标填报'!$F$4:$F$1500="销售目标额")*('目标填报'!$G$3:$R$3=$F$1)*'目标填报'!$G$4:$R$1500))</f>
        <v/>
      </c>
      <c r="I8" s="39">
        <f>IF($B8="","",IFERROR(E8/H8,""))</f>
        <v/>
      </c>
      <c r="J8" s="38">
        <f>IF($B8="","",SUMPRODUCT(('系统实绩导入'!$B$4:$B$1500=$B8)*('系统实绩导入'!$C$4:$C$1500=$C8)*('系统实绩导入'!$D$4:$D$1500=$D8)*('系统实绩导入'!$F$4:$F$1500="实绩销售额")*('系统实绩导入'!$G$3:$R$3&lt;=$F$1)*'系统实绩导入'!$G$4:$R$1500))</f>
        <v/>
      </c>
      <c r="K8" s="38">
        <f>IF($B8="","",SUMPRODUCT(('系统实绩导入'!$B$4:$B$1500=$B8)*('系统实绩导入'!$C$4:$C$1500=$C8)*('系统实绩导入'!$D$4:$D$1500=$D8)*('系统实绩导入'!$F$4:$F$1500="实绩毛利")*('系统实绩导入'!$G$3:$R$3&lt;=$F$1)*'系统实绩导入'!$G$4:$R$1500))</f>
        <v/>
      </c>
      <c r="L8" s="39">
        <f>IF($B8="","",IFERROR(K8/J8,""))</f>
        <v/>
      </c>
      <c r="M8" s="38">
        <f>IF($B8="","",SUMIFS('目标填报'!$S$4:$S$1500,'目标填报'!$B$4:$B$1500,$B8,'目标填报'!$C$4:$C$1500,$C8,'目标填报'!$D$4:$D$1500,$D8,'目标填报'!$F$4:$F$1500,"销售目标额"))</f>
        <v/>
      </c>
      <c r="N8" s="39">
        <f>IF($B8="","",IFERROR(J8/M8,""))</f>
        <v/>
      </c>
      <c r="O8" s="40">
        <f>IF($B8="","",J8-M8)</f>
        <v/>
      </c>
      <c r="P8" s="38">
        <f>IF($B8="","",SUMPRODUCT(('目标填报'!$B$4:$B$1500=$B8)*('目标填报'!$C$4:$C$1500=$C8)*('目标填报'!$D$4:$D$1500=$D8)*('目标填报'!$F$4:$F$1500="在手订单")*('目标填报'!$G$3:$R$3=$F$1)*'目标填报'!$G$4:$R$1500))</f>
        <v/>
      </c>
      <c r="Q8" s="38">
        <f>IF($B8="","",SUMPRODUCT(('目标填报'!$B$4:$B$1500=$B8)*('目标填报'!$C$4:$C$1500=$C8)*('目标填报'!$D$4:$D$1500=$D8)*('目标填报'!$F$4:$F$1500="在手订单目标")*('目标填报'!$G$3:$R$3=$F$1)*'目标填报'!$G$4:$R$1500))</f>
        <v/>
      </c>
      <c r="R8" s="39">
        <f>IF($B8="","",IFERROR(P8/Q8,""))</f>
        <v/>
      </c>
      <c r="S8" s="38">
        <f>IF($B8="","",SUMPRODUCT(('目标填报'!$B$4:$B$1500=$B8)*('目标填报'!$C$4:$C$1500=$C8)*('目标填报'!$D$4:$D$1500=$D8)*('目标填报'!$F$4:$F$1500="目标客户机会")*('目标填报'!$G$3:$R$3=$F$1)*'目标填报'!$G$4:$R$1500))</f>
        <v/>
      </c>
      <c r="T8" s="38">
        <f>IF($B8="","",SUMPRODUCT(('目标填报'!$B$4:$B$1500=$B8)*('目标填报'!$C$4:$C$1500=$C8)*('目标填报'!$D$4:$D$1500=$D8)*('目标填报'!$F$4:$F$1500="目标客户机会目标")*('目标填报'!$G$3:$R$3=$F$1)*'目标填报'!$G$4:$R$1500))</f>
        <v/>
      </c>
      <c r="U8" s="39">
        <f>IF($B8="","",IFERROR(S8/T8,""))</f>
        <v/>
      </c>
      <c r="V8" s="38">
        <f>IF($B8="","",P8+S8)</f>
        <v/>
      </c>
      <c r="W8" s="38">
        <f>IF($B8="","",M8-J8)</f>
        <v/>
      </c>
      <c r="X8" s="39">
        <f>IF($B8="","",IFERROR(V8/W8,""))</f>
        <v/>
      </c>
      <c r="Y8" s="40">
        <f>IF($B8="","",V8-W8)</f>
        <v/>
      </c>
    </row>
    <row r="9">
      <c r="A9" s="37">
        <f>IF($B9="","",ROW()-3)</f>
        <v/>
      </c>
      <c r="B9" s="13">
        <f>IF(5+1&gt;COUNTA('维度字典'!$C$2:$C$200)*COUNTA('维度字典'!$A$2:$A$200)*COUNTA('维度字典'!$E$2:$E$200),"",INDEX('维度字典'!$C$2:$C$200,MOD(INT(5/(COUNTA('维度字典'!$E$2:$E$200)*COUNTA('维度字典'!$A$2:$A$200))),COUNTA('维度字典'!$C$2:$C$200))+1))</f>
        <v/>
      </c>
      <c r="C9" s="13">
        <f>IF($B9="","",INDEX('维度字典'!$A$2:$A$200,MOD(INT(5/COUNTA('维度字典'!$E$2:$E$200)),COUNTA('维度字典'!$A$2:$A$200))+1))</f>
        <v/>
      </c>
      <c r="D9" s="13">
        <f>IF($B9="","",INDEX('维度字典'!$E$2:$E$200,MOD(5,COUNTA('维度字典'!$E$2:$E$200))+1))</f>
        <v/>
      </c>
      <c r="E9" s="38">
        <f>IF($B9="","",SUMPRODUCT(('系统实绩导入'!$B$4:$B$1500=$B9)*('系统实绩导入'!$C$4:$C$1500=$C9)*('系统实绩导入'!$D$4:$D$1500=$D9)*('系统实绩导入'!$F$4:$F$1500="实绩销售额")*('系统实绩导入'!$G$3:$R$3=$F$1)*'系统实绩导入'!$G$4:$R$1500))</f>
        <v/>
      </c>
      <c r="F9" s="38">
        <f>IF($B9="","",SUMPRODUCT(('系统实绩导入'!$B$4:$B$1500=$B9)*('系统实绩导入'!$C$4:$C$1500=$C9)*('系统实绩导入'!$D$4:$D$1500=$D9)*('系统实绩导入'!$F$4:$F$1500="实绩毛利")*('系统实绩导入'!$G$3:$R$3=$F$1)*'系统实绩导入'!$G$4:$R$1500))</f>
        <v/>
      </c>
      <c r="G9" s="39">
        <f>IF($B9="","",IFERROR(F9/E9,""))</f>
        <v/>
      </c>
      <c r="H9" s="38">
        <f>IF($B9="","",SUMPRODUCT(('目标填报'!$B$4:$B$1500=$B9)*('目标填报'!$C$4:$C$1500=$C9)*('目标填报'!$D$4:$D$1500=$D9)*('目标填报'!$F$4:$F$1500="销售目标额")*('目标填报'!$G$3:$R$3=$F$1)*'目标填报'!$G$4:$R$1500))</f>
        <v/>
      </c>
      <c r="I9" s="39">
        <f>IF($B9="","",IFERROR(E9/H9,""))</f>
        <v/>
      </c>
      <c r="J9" s="38">
        <f>IF($B9="","",SUMPRODUCT(('系统实绩导入'!$B$4:$B$1500=$B9)*('系统实绩导入'!$C$4:$C$1500=$C9)*('系统实绩导入'!$D$4:$D$1500=$D9)*('系统实绩导入'!$F$4:$F$1500="实绩销售额")*('系统实绩导入'!$G$3:$R$3&lt;=$F$1)*'系统实绩导入'!$G$4:$R$1500))</f>
        <v/>
      </c>
      <c r="K9" s="38">
        <f>IF($B9="","",SUMPRODUCT(('系统实绩导入'!$B$4:$B$1500=$B9)*('系统实绩导入'!$C$4:$C$1500=$C9)*('系统实绩导入'!$D$4:$D$1500=$D9)*('系统实绩导入'!$F$4:$F$1500="实绩毛利")*('系统实绩导入'!$G$3:$R$3&lt;=$F$1)*'系统实绩导入'!$G$4:$R$1500))</f>
        <v/>
      </c>
      <c r="L9" s="39">
        <f>IF($B9="","",IFERROR(K9/J9,""))</f>
        <v/>
      </c>
      <c r="M9" s="38">
        <f>IF($B9="","",SUMIFS('目标填报'!$S$4:$S$1500,'目标填报'!$B$4:$B$1500,$B9,'目标填报'!$C$4:$C$1500,$C9,'目标填报'!$D$4:$D$1500,$D9,'目标填报'!$F$4:$F$1500,"销售目标额"))</f>
        <v/>
      </c>
      <c r="N9" s="39">
        <f>IF($B9="","",IFERROR(J9/M9,""))</f>
        <v/>
      </c>
      <c r="O9" s="40">
        <f>IF($B9="","",J9-M9)</f>
        <v/>
      </c>
      <c r="P9" s="38">
        <f>IF($B9="","",SUMPRODUCT(('目标填报'!$B$4:$B$1500=$B9)*('目标填报'!$C$4:$C$1500=$C9)*('目标填报'!$D$4:$D$1500=$D9)*('目标填报'!$F$4:$F$1500="在手订单")*('目标填报'!$G$3:$R$3=$F$1)*'目标填报'!$G$4:$R$1500))</f>
        <v/>
      </c>
      <c r="Q9" s="38">
        <f>IF($B9="","",SUMPRODUCT(('目标填报'!$B$4:$B$1500=$B9)*('目标填报'!$C$4:$C$1500=$C9)*('目标填报'!$D$4:$D$1500=$D9)*('目标填报'!$F$4:$F$1500="在手订单目标")*('目标填报'!$G$3:$R$3=$F$1)*'目标填报'!$G$4:$R$1500))</f>
        <v/>
      </c>
      <c r="R9" s="39">
        <f>IF($B9="","",IFERROR(P9/Q9,""))</f>
        <v/>
      </c>
      <c r="S9" s="38">
        <f>IF($B9="","",SUMPRODUCT(('目标填报'!$B$4:$B$1500=$B9)*('目标填报'!$C$4:$C$1500=$C9)*('目标填报'!$D$4:$D$1500=$D9)*('目标填报'!$F$4:$F$1500="目标客户机会")*('目标填报'!$G$3:$R$3=$F$1)*'目标填报'!$G$4:$R$1500))</f>
        <v/>
      </c>
      <c r="T9" s="38">
        <f>IF($B9="","",SUMPRODUCT(('目标填报'!$B$4:$B$1500=$B9)*('目标填报'!$C$4:$C$1500=$C9)*('目标填报'!$D$4:$D$1500=$D9)*('目标填报'!$F$4:$F$1500="目标客户机会目标")*('目标填报'!$G$3:$R$3=$F$1)*'目标填报'!$G$4:$R$1500))</f>
        <v/>
      </c>
      <c r="U9" s="39">
        <f>IF($B9="","",IFERROR(S9/T9,""))</f>
        <v/>
      </c>
      <c r="V9" s="38">
        <f>IF($B9="","",P9+S9)</f>
        <v/>
      </c>
      <c r="W9" s="38">
        <f>IF($B9="","",M9-J9)</f>
        <v/>
      </c>
      <c r="X9" s="39">
        <f>IF($B9="","",IFERROR(V9/W9,""))</f>
        <v/>
      </c>
      <c r="Y9" s="40">
        <f>IF($B9="","",V9-W9)</f>
        <v/>
      </c>
    </row>
    <row r="10">
      <c r="A10" s="37">
        <f>IF($B10="","",ROW()-3)</f>
        <v/>
      </c>
      <c r="B10" s="13">
        <f>IF(6+1&gt;COUNTA('维度字典'!$C$2:$C$200)*COUNTA('维度字典'!$A$2:$A$200)*COUNTA('维度字典'!$E$2:$E$200),"",INDEX('维度字典'!$C$2:$C$200,MOD(INT(6/(COUNTA('维度字典'!$E$2:$E$200)*COUNTA('维度字典'!$A$2:$A$200))),COUNTA('维度字典'!$C$2:$C$200))+1))</f>
        <v/>
      </c>
      <c r="C10" s="13">
        <f>IF($B10="","",INDEX('维度字典'!$A$2:$A$200,MOD(INT(6/COUNTA('维度字典'!$E$2:$E$200)),COUNTA('维度字典'!$A$2:$A$200))+1))</f>
        <v/>
      </c>
      <c r="D10" s="13">
        <f>IF($B10="","",INDEX('维度字典'!$E$2:$E$200,MOD(6,COUNTA('维度字典'!$E$2:$E$200))+1))</f>
        <v/>
      </c>
      <c r="E10" s="38">
        <f>IF($B10="","",SUMPRODUCT(('系统实绩导入'!$B$4:$B$1500=$B10)*('系统实绩导入'!$C$4:$C$1500=$C10)*('系统实绩导入'!$D$4:$D$1500=$D10)*('系统实绩导入'!$F$4:$F$1500="实绩销售额")*('系统实绩导入'!$G$3:$R$3=$F$1)*'系统实绩导入'!$G$4:$R$1500))</f>
        <v/>
      </c>
      <c r="F10" s="38">
        <f>IF($B10="","",SUMPRODUCT(('系统实绩导入'!$B$4:$B$1500=$B10)*('系统实绩导入'!$C$4:$C$1500=$C10)*('系统实绩导入'!$D$4:$D$1500=$D10)*('系统实绩导入'!$F$4:$F$1500="实绩毛利")*('系统实绩导入'!$G$3:$R$3=$F$1)*'系统实绩导入'!$G$4:$R$1500))</f>
        <v/>
      </c>
      <c r="G10" s="39">
        <f>IF($B10="","",IFERROR(F10/E10,""))</f>
        <v/>
      </c>
      <c r="H10" s="38">
        <f>IF($B10="","",SUMPRODUCT(('目标填报'!$B$4:$B$1500=$B10)*('目标填报'!$C$4:$C$1500=$C10)*('目标填报'!$D$4:$D$1500=$D10)*('目标填报'!$F$4:$F$1500="销售目标额")*('目标填报'!$G$3:$R$3=$F$1)*'目标填报'!$G$4:$R$1500))</f>
        <v/>
      </c>
      <c r="I10" s="39">
        <f>IF($B10="","",IFERROR(E10/H10,""))</f>
        <v/>
      </c>
      <c r="J10" s="38">
        <f>IF($B10="","",SUMPRODUCT(('系统实绩导入'!$B$4:$B$1500=$B10)*('系统实绩导入'!$C$4:$C$1500=$C10)*('系统实绩导入'!$D$4:$D$1500=$D10)*('系统实绩导入'!$F$4:$F$1500="实绩销售额")*('系统实绩导入'!$G$3:$R$3&lt;=$F$1)*'系统实绩导入'!$G$4:$R$1500))</f>
        <v/>
      </c>
      <c r="K10" s="38">
        <f>IF($B10="","",SUMPRODUCT(('系统实绩导入'!$B$4:$B$1500=$B10)*('系统实绩导入'!$C$4:$C$1500=$C10)*('系统实绩导入'!$D$4:$D$1500=$D10)*('系统实绩导入'!$F$4:$F$1500="实绩毛利")*('系统实绩导入'!$G$3:$R$3&lt;=$F$1)*'系统实绩导入'!$G$4:$R$1500))</f>
        <v/>
      </c>
      <c r="L10" s="39">
        <f>IF($B10="","",IFERROR(K10/J10,""))</f>
        <v/>
      </c>
      <c r="M10" s="38">
        <f>IF($B10="","",SUMIFS('目标填报'!$S$4:$S$1500,'目标填报'!$B$4:$B$1500,$B10,'目标填报'!$C$4:$C$1500,$C10,'目标填报'!$D$4:$D$1500,$D10,'目标填报'!$F$4:$F$1500,"销售目标额"))</f>
        <v/>
      </c>
      <c r="N10" s="39">
        <f>IF($B10="","",IFERROR(J10/M10,""))</f>
        <v/>
      </c>
      <c r="O10" s="40">
        <f>IF($B10="","",J10-M10)</f>
        <v/>
      </c>
      <c r="P10" s="38">
        <f>IF($B10="","",SUMPRODUCT(('目标填报'!$B$4:$B$1500=$B10)*('目标填报'!$C$4:$C$1500=$C10)*('目标填报'!$D$4:$D$1500=$D10)*('目标填报'!$F$4:$F$1500="在手订单")*('目标填报'!$G$3:$R$3=$F$1)*'目标填报'!$G$4:$R$1500))</f>
        <v/>
      </c>
      <c r="Q10" s="38">
        <f>IF($B10="","",SUMPRODUCT(('目标填报'!$B$4:$B$1500=$B10)*('目标填报'!$C$4:$C$1500=$C10)*('目标填报'!$D$4:$D$1500=$D10)*('目标填报'!$F$4:$F$1500="在手订单目标")*('目标填报'!$G$3:$R$3=$F$1)*'目标填报'!$G$4:$R$1500))</f>
        <v/>
      </c>
      <c r="R10" s="39">
        <f>IF($B10="","",IFERROR(P10/Q10,""))</f>
        <v/>
      </c>
      <c r="S10" s="38">
        <f>IF($B10="","",SUMPRODUCT(('目标填报'!$B$4:$B$1500=$B10)*('目标填报'!$C$4:$C$1500=$C10)*('目标填报'!$D$4:$D$1500=$D10)*('目标填报'!$F$4:$F$1500="目标客户机会")*('目标填报'!$G$3:$R$3=$F$1)*'目标填报'!$G$4:$R$1500))</f>
        <v/>
      </c>
      <c r="T10" s="38">
        <f>IF($B10="","",SUMPRODUCT(('目标填报'!$B$4:$B$1500=$B10)*('目标填报'!$C$4:$C$1500=$C10)*('目标填报'!$D$4:$D$1500=$D10)*('目标填报'!$F$4:$F$1500="目标客户机会目标")*('目标填报'!$G$3:$R$3=$F$1)*'目标填报'!$G$4:$R$1500))</f>
        <v/>
      </c>
      <c r="U10" s="39">
        <f>IF($B10="","",IFERROR(S10/T10,""))</f>
        <v/>
      </c>
      <c r="V10" s="38">
        <f>IF($B10="","",P10+S10)</f>
        <v/>
      </c>
      <c r="W10" s="38">
        <f>IF($B10="","",M10-J10)</f>
        <v/>
      </c>
      <c r="X10" s="39">
        <f>IF($B10="","",IFERROR(V10/W10,""))</f>
        <v/>
      </c>
      <c r="Y10" s="40">
        <f>IF($B10="","",V10-W10)</f>
        <v/>
      </c>
    </row>
    <row r="11">
      <c r="A11" s="37">
        <f>IF($B11="","",ROW()-3)</f>
        <v/>
      </c>
      <c r="B11" s="13">
        <f>IF(7+1&gt;COUNTA('维度字典'!$C$2:$C$200)*COUNTA('维度字典'!$A$2:$A$200)*COUNTA('维度字典'!$E$2:$E$200),"",INDEX('维度字典'!$C$2:$C$200,MOD(INT(7/(COUNTA('维度字典'!$E$2:$E$200)*COUNTA('维度字典'!$A$2:$A$200))),COUNTA('维度字典'!$C$2:$C$200))+1))</f>
        <v/>
      </c>
      <c r="C11" s="13">
        <f>IF($B11="","",INDEX('维度字典'!$A$2:$A$200,MOD(INT(7/COUNTA('维度字典'!$E$2:$E$200)),COUNTA('维度字典'!$A$2:$A$200))+1))</f>
        <v/>
      </c>
      <c r="D11" s="13">
        <f>IF($B11="","",INDEX('维度字典'!$E$2:$E$200,MOD(7,COUNTA('维度字典'!$E$2:$E$200))+1))</f>
        <v/>
      </c>
      <c r="E11" s="38">
        <f>IF($B11="","",SUMPRODUCT(('系统实绩导入'!$B$4:$B$1500=$B11)*('系统实绩导入'!$C$4:$C$1500=$C11)*('系统实绩导入'!$D$4:$D$1500=$D11)*('系统实绩导入'!$F$4:$F$1500="实绩销售额")*('系统实绩导入'!$G$3:$R$3=$F$1)*'系统实绩导入'!$G$4:$R$1500))</f>
        <v/>
      </c>
      <c r="F11" s="38">
        <f>IF($B11="","",SUMPRODUCT(('系统实绩导入'!$B$4:$B$1500=$B11)*('系统实绩导入'!$C$4:$C$1500=$C11)*('系统实绩导入'!$D$4:$D$1500=$D11)*('系统实绩导入'!$F$4:$F$1500="实绩毛利")*('系统实绩导入'!$G$3:$R$3=$F$1)*'系统实绩导入'!$G$4:$R$1500))</f>
        <v/>
      </c>
      <c r="G11" s="39">
        <f>IF($B11="","",IFERROR(F11/E11,""))</f>
        <v/>
      </c>
      <c r="H11" s="38">
        <f>IF($B11="","",SUMPRODUCT(('目标填报'!$B$4:$B$1500=$B11)*('目标填报'!$C$4:$C$1500=$C11)*('目标填报'!$D$4:$D$1500=$D11)*('目标填报'!$F$4:$F$1500="销售目标额")*('目标填报'!$G$3:$R$3=$F$1)*'目标填报'!$G$4:$R$1500))</f>
        <v/>
      </c>
      <c r="I11" s="39">
        <f>IF($B11="","",IFERROR(E11/H11,""))</f>
        <v/>
      </c>
      <c r="J11" s="38">
        <f>IF($B11="","",SUMPRODUCT(('系统实绩导入'!$B$4:$B$1500=$B11)*('系统实绩导入'!$C$4:$C$1500=$C11)*('系统实绩导入'!$D$4:$D$1500=$D11)*('系统实绩导入'!$F$4:$F$1500="实绩销售额")*('系统实绩导入'!$G$3:$R$3&lt;=$F$1)*'系统实绩导入'!$G$4:$R$1500))</f>
        <v/>
      </c>
      <c r="K11" s="38">
        <f>IF($B11="","",SUMPRODUCT(('系统实绩导入'!$B$4:$B$1500=$B11)*('系统实绩导入'!$C$4:$C$1500=$C11)*('系统实绩导入'!$D$4:$D$1500=$D11)*('系统实绩导入'!$F$4:$F$1500="实绩毛利")*('系统实绩导入'!$G$3:$R$3&lt;=$F$1)*'系统实绩导入'!$G$4:$R$1500))</f>
        <v/>
      </c>
      <c r="L11" s="39">
        <f>IF($B11="","",IFERROR(K11/J11,""))</f>
        <v/>
      </c>
      <c r="M11" s="38">
        <f>IF($B11="","",SUMIFS('目标填报'!$S$4:$S$1500,'目标填报'!$B$4:$B$1500,$B11,'目标填报'!$C$4:$C$1500,$C11,'目标填报'!$D$4:$D$1500,$D11,'目标填报'!$F$4:$F$1500,"销售目标额"))</f>
        <v/>
      </c>
      <c r="N11" s="39">
        <f>IF($B11="","",IFERROR(J11/M11,""))</f>
        <v/>
      </c>
      <c r="O11" s="40">
        <f>IF($B11="","",J11-M11)</f>
        <v/>
      </c>
      <c r="P11" s="38">
        <f>IF($B11="","",SUMPRODUCT(('目标填报'!$B$4:$B$1500=$B11)*('目标填报'!$C$4:$C$1500=$C11)*('目标填报'!$D$4:$D$1500=$D11)*('目标填报'!$F$4:$F$1500="在手订单")*('目标填报'!$G$3:$R$3=$F$1)*'目标填报'!$G$4:$R$1500))</f>
        <v/>
      </c>
      <c r="Q11" s="38">
        <f>IF($B11="","",SUMPRODUCT(('目标填报'!$B$4:$B$1500=$B11)*('目标填报'!$C$4:$C$1500=$C11)*('目标填报'!$D$4:$D$1500=$D11)*('目标填报'!$F$4:$F$1500="在手订单目标")*('目标填报'!$G$3:$R$3=$F$1)*'目标填报'!$G$4:$R$1500))</f>
        <v/>
      </c>
      <c r="R11" s="39">
        <f>IF($B11="","",IFERROR(P11/Q11,""))</f>
        <v/>
      </c>
      <c r="S11" s="38">
        <f>IF($B11="","",SUMPRODUCT(('目标填报'!$B$4:$B$1500=$B11)*('目标填报'!$C$4:$C$1500=$C11)*('目标填报'!$D$4:$D$1500=$D11)*('目标填报'!$F$4:$F$1500="目标客户机会")*('目标填报'!$G$3:$R$3=$F$1)*'目标填报'!$G$4:$R$1500))</f>
        <v/>
      </c>
      <c r="T11" s="38">
        <f>IF($B11="","",SUMPRODUCT(('目标填报'!$B$4:$B$1500=$B11)*('目标填报'!$C$4:$C$1500=$C11)*('目标填报'!$D$4:$D$1500=$D11)*('目标填报'!$F$4:$F$1500="目标客户机会目标")*('目标填报'!$G$3:$R$3=$F$1)*'目标填报'!$G$4:$R$1500))</f>
        <v/>
      </c>
      <c r="U11" s="39">
        <f>IF($B11="","",IFERROR(S11/T11,""))</f>
        <v/>
      </c>
      <c r="V11" s="38">
        <f>IF($B11="","",P11+S11)</f>
        <v/>
      </c>
      <c r="W11" s="38">
        <f>IF($B11="","",M11-J11)</f>
        <v/>
      </c>
      <c r="X11" s="39">
        <f>IF($B11="","",IFERROR(V11/W11,""))</f>
        <v/>
      </c>
      <c r="Y11" s="40">
        <f>IF($B11="","",V11-W11)</f>
        <v/>
      </c>
    </row>
    <row r="12">
      <c r="A12" s="37">
        <f>IF($B12="","",ROW()-3)</f>
        <v/>
      </c>
      <c r="B12" s="13">
        <f>IF(8+1&gt;COUNTA('维度字典'!$C$2:$C$200)*COUNTA('维度字典'!$A$2:$A$200)*COUNTA('维度字典'!$E$2:$E$200),"",INDEX('维度字典'!$C$2:$C$200,MOD(INT(8/(COUNTA('维度字典'!$E$2:$E$200)*COUNTA('维度字典'!$A$2:$A$200))),COUNTA('维度字典'!$C$2:$C$200))+1))</f>
        <v/>
      </c>
      <c r="C12" s="13">
        <f>IF($B12="","",INDEX('维度字典'!$A$2:$A$200,MOD(INT(8/COUNTA('维度字典'!$E$2:$E$200)),COUNTA('维度字典'!$A$2:$A$200))+1))</f>
        <v/>
      </c>
      <c r="D12" s="13">
        <f>IF($B12="","",INDEX('维度字典'!$E$2:$E$200,MOD(8,COUNTA('维度字典'!$E$2:$E$200))+1))</f>
        <v/>
      </c>
      <c r="E12" s="38">
        <f>IF($B12="","",SUMPRODUCT(('系统实绩导入'!$B$4:$B$1500=$B12)*('系统实绩导入'!$C$4:$C$1500=$C12)*('系统实绩导入'!$D$4:$D$1500=$D12)*('系统实绩导入'!$F$4:$F$1500="实绩销售额")*('系统实绩导入'!$G$3:$R$3=$F$1)*'系统实绩导入'!$G$4:$R$1500))</f>
        <v/>
      </c>
      <c r="F12" s="38">
        <f>IF($B12="","",SUMPRODUCT(('系统实绩导入'!$B$4:$B$1500=$B12)*('系统实绩导入'!$C$4:$C$1500=$C12)*('系统实绩导入'!$D$4:$D$1500=$D12)*('系统实绩导入'!$F$4:$F$1500="实绩毛利")*('系统实绩导入'!$G$3:$R$3=$F$1)*'系统实绩导入'!$G$4:$R$1500))</f>
        <v/>
      </c>
      <c r="G12" s="39">
        <f>IF($B12="","",IFERROR(F12/E12,""))</f>
        <v/>
      </c>
      <c r="H12" s="38">
        <f>IF($B12="","",SUMPRODUCT(('目标填报'!$B$4:$B$1500=$B12)*('目标填报'!$C$4:$C$1500=$C12)*('目标填报'!$D$4:$D$1500=$D12)*('目标填报'!$F$4:$F$1500="销售目标额")*('目标填报'!$G$3:$R$3=$F$1)*'目标填报'!$G$4:$R$1500))</f>
        <v/>
      </c>
      <c r="I12" s="39">
        <f>IF($B12="","",IFERROR(E12/H12,""))</f>
        <v/>
      </c>
      <c r="J12" s="38">
        <f>IF($B12="","",SUMPRODUCT(('系统实绩导入'!$B$4:$B$1500=$B12)*('系统实绩导入'!$C$4:$C$1500=$C12)*('系统实绩导入'!$D$4:$D$1500=$D12)*('系统实绩导入'!$F$4:$F$1500="实绩销售额")*('系统实绩导入'!$G$3:$R$3&lt;=$F$1)*'系统实绩导入'!$G$4:$R$1500))</f>
        <v/>
      </c>
      <c r="K12" s="38">
        <f>IF($B12="","",SUMPRODUCT(('系统实绩导入'!$B$4:$B$1500=$B12)*('系统实绩导入'!$C$4:$C$1500=$C12)*('系统实绩导入'!$D$4:$D$1500=$D12)*('系统实绩导入'!$F$4:$F$1500="实绩毛利")*('系统实绩导入'!$G$3:$R$3&lt;=$F$1)*'系统实绩导入'!$G$4:$R$1500))</f>
        <v/>
      </c>
      <c r="L12" s="39">
        <f>IF($B12="","",IFERROR(K12/J12,""))</f>
        <v/>
      </c>
      <c r="M12" s="38">
        <f>IF($B12="","",SUMIFS('目标填报'!$S$4:$S$1500,'目标填报'!$B$4:$B$1500,$B12,'目标填报'!$C$4:$C$1500,$C12,'目标填报'!$D$4:$D$1500,$D12,'目标填报'!$F$4:$F$1500,"销售目标额"))</f>
        <v/>
      </c>
      <c r="N12" s="39">
        <f>IF($B12="","",IFERROR(J12/M12,""))</f>
        <v/>
      </c>
      <c r="O12" s="40">
        <f>IF($B12="","",J12-M12)</f>
        <v/>
      </c>
      <c r="P12" s="38">
        <f>IF($B12="","",SUMPRODUCT(('目标填报'!$B$4:$B$1500=$B12)*('目标填报'!$C$4:$C$1500=$C12)*('目标填报'!$D$4:$D$1500=$D12)*('目标填报'!$F$4:$F$1500="在手订单")*('目标填报'!$G$3:$R$3=$F$1)*'目标填报'!$G$4:$R$1500))</f>
        <v/>
      </c>
      <c r="Q12" s="38">
        <f>IF($B12="","",SUMPRODUCT(('目标填报'!$B$4:$B$1500=$B12)*('目标填报'!$C$4:$C$1500=$C12)*('目标填报'!$D$4:$D$1500=$D12)*('目标填报'!$F$4:$F$1500="在手订单目标")*('目标填报'!$G$3:$R$3=$F$1)*'目标填报'!$G$4:$R$1500))</f>
        <v/>
      </c>
      <c r="R12" s="39">
        <f>IF($B12="","",IFERROR(P12/Q12,""))</f>
        <v/>
      </c>
      <c r="S12" s="38">
        <f>IF($B12="","",SUMPRODUCT(('目标填报'!$B$4:$B$1500=$B12)*('目标填报'!$C$4:$C$1500=$C12)*('目标填报'!$D$4:$D$1500=$D12)*('目标填报'!$F$4:$F$1500="目标客户机会")*('目标填报'!$G$3:$R$3=$F$1)*'目标填报'!$G$4:$R$1500))</f>
        <v/>
      </c>
      <c r="T12" s="38">
        <f>IF($B12="","",SUMPRODUCT(('目标填报'!$B$4:$B$1500=$B12)*('目标填报'!$C$4:$C$1500=$C12)*('目标填报'!$D$4:$D$1500=$D12)*('目标填报'!$F$4:$F$1500="目标客户机会目标")*('目标填报'!$G$3:$R$3=$F$1)*'目标填报'!$G$4:$R$1500))</f>
        <v/>
      </c>
      <c r="U12" s="39">
        <f>IF($B12="","",IFERROR(S12/T12,""))</f>
        <v/>
      </c>
      <c r="V12" s="38">
        <f>IF($B12="","",P12+S12)</f>
        <v/>
      </c>
      <c r="W12" s="38">
        <f>IF($B12="","",M12-J12)</f>
        <v/>
      </c>
      <c r="X12" s="39">
        <f>IF($B12="","",IFERROR(V12/W12,""))</f>
        <v/>
      </c>
      <c r="Y12" s="40">
        <f>IF($B12="","",V12-W12)</f>
        <v/>
      </c>
    </row>
    <row r="13">
      <c r="A13" s="37">
        <f>IF($B13="","",ROW()-3)</f>
        <v/>
      </c>
      <c r="B13" s="13">
        <f>IF(9+1&gt;COUNTA('维度字典'!$C$2:$C$200)*COUNTA('维度字典'!$A$2:$A$200)*COUNTA('维度字典'!$E$2:$E$200),"",INDEX('维度字典'!$C$2:$C$200,MOD(INT(9/(COUNTA('维度字典'!$E$2:$E$200)*COUNTA('维度字典'!$A$2:$A$200))),COUNTA('维度字典'!$C$2:$C$200))+1))</f>
        <v/>
      </c>
      <c r="C13" s="13">
        <f>IF($B13="","",INDEX('维度字典'!$A$2:$A$200,MOD(INT(9/COUNTA('维度字典'!$E$2:$E$200)),COUNTA('维度字典'!$A$2:$A$200))+1))</f>
        <v/>
      </c>
      <c r="D13" s="13">
        <f>IF($B13="","",INDEX('维度字典'!$E$2:$E$200,MOD(9,COUNTA('维度字典'!$E$2:$E$200))+1))</f>
        <v/>
      </c>
      <c r="E13" s="38">
        <f>IF($B13="","",SUMPRODUCT(('系统实绩导入'!$B$4:$B$1500=$B13)*('系统实绩导入'!$C$4:$C$1500=$C13)*('系统实绩导入'!$D$4:$D$1500=$D13)*('系统实绩导入'!$F$4:$F$1500="实绩销售额")*('系统实绩导入'!$G$3:$R$3=$F$1)*'系统实绩导入'!$G$4:$R$1500))</f>
        <v/>
      </c>
      <c r="F13" s="38">
        <f>IF($B13="","",SUMPRODUCT(('系统实绩导入'!$B$4:$B$1500=$B13)*('系统实绩导入'!$C$4:$C$1500=$C13)*('系统实绩导入'!$D$4:$D$1500=$D13)*('系统实绩导入'!$F$4:$F$1500="实绩毛利")*('系统实绩导入'!$G$3:$R$3=$F$1)*'系统实绩导入'!$G$4:$R$1500))</f>
        <v/>
      </c>
      <c r="G13" s="39">
        <f>IF($B13="","",IFERROR(F13/E13,""))</f>
        <v/>
      </c>
      <c r="H13" s="38">
        <f>IF($B13="","",SUMPRODUCT(('目标填报'!$B$4:$B$1500=$B13)*('目标填报'!$C$4:$C$1500=$C13)*('目标填报'!$D$4:$D$1500=$D13)*('目标填报'!$F$4:$F$1500="销售目标额")*('目标填报'!$G$3:$R$3=$F$1)*'目标填报'!$G$4:$R$1500))</f>
        <v/>
      </c>
      <c r="I13" s="39">
        <f>IF($B13="","",IFERROR(E13/H13,""))</f>
        <v/>
      </c>
      <c r="J13" s="38">
        <f>IF($B13="","",SUMPRODUCT(('系统实绩导入'!$B$4:$B$1500=$B13)*('系统实绩导入'!$C$4:$C$1500=$C13)*('系统实绩导入'!$D$4:$D$1500=$D13)*('系统实绩导入'!$F$4:$F$1500="实绩销售额")*('系统实绩导入'!$G$3:$R$3&lt;=$F$1)*'系统实绩导入'!$G$4:$R$1500))</f>
        <v/>
      </c>
      <c r="K13" s="38">
        <f>IF($B13="","",SUMPRODUCT(('系统实绩导入'!$B$4:$B$1500=$B13)*('系统实绩导入'!$C$4:$C$1500=$C13)*('系统实绩导入'!$D$4:$D$1500=$D13)*('系统实绩导入'!$F$4:$F$1500="实绩毛利")*('系统实绩导入'!$G$3:$R$3&lt;=$F$1)*'系统实绩导入'!$G$4:$R$1500))</f>
        <v/>
      </c>
      <c r="L13" s="39">
        <f>IF($B13="","",IFERROR(K13/J13,""))</f>
        <v/>
      </c>
      <c r="M13" s="38">
        <f>IF($B13="","",SUMIFS('目标填报'!$S$4:$S$1500,'目标填报'!$B$4:$B$1500,$B13,'目标填报'!$C$4:$C$1500,$C13,'目标填报'!$D$4:$D$1500,$D13,'目标填报'!$F$4:$F$1500,"销售目标额"))</f>
        <v/>
      </c>
      <c r="N13" s="39">
        <f>IF($B13="","",IFERROR(J13/M13,""))</f>
        <v/>
      </c>
      <c r="O13" s="40">
        <f>IF($B13="","",J13-M13)</f>
        <v/>
      </c>
      <c r="P13" s="38">
        <f>IF($B13="","",SUMPRODUCT(('目标填报'!$B$4:$B$1500=$B13)*('目标填报'!$C$4:$C$1500=$C13)*('目标填报'!$D$4:$D$1500=$D13)*('目标填报'!$F$4:$F$1500="在手订单")*('目标填报'!$G$3:$R$3=$F$1)*'目标填报'!$G$4:$R$1500))</f>
        <v/>
      </c>
      <c r="Q13" s="38">
        <f>IF($B13="","",SUMPRODUCT(('目标填报'!$B$4:$B$1500=$B13)*('目标填报'!$C$4:$C$1500=$C13)*('目标填报'!$D$4:$D$1500=$D13)*('目标填报'!$F$4:$F$1500="在手订单目标")*('目标填报'!$G$3:$R$3=$F$1)*'目标填报'!$G$4:$R$1500))</f>
        <v/>
      </c>
      <c r="R13" s="39">
        <f>IF($B13="","",IFERROR(P13/Q13,""))</f>
        <v/>
      </c>
      <c r="S13" s="38">
        <f>IF($B13="","",SUMPRODUCT(('目标填报'!$B$4:$B$1500=$B13)*('目标填报'!$C$4:$C$1500=$C13)*('目标填报'!$D$4:$D$1500=$D13)*('目标填报'!$F$4:$F$1500="目标客户机会")*('目标填报'!$G$3:$R$3=$F$1)*'目标填报'!$G$4:$R$1500))</f>
        <v/>
      </c>
      <c r="T13" s="38">
        <f>IF($B13="","",SUMPRODUCT(('目标填报'!$B$4:$B$1500=$B13)*('目标填报'!$C$4:$C$1500=$C13)*('目标填报'!$D$4:$D$1500=$D13)*('目标填报'!$F$4:$F$1500="目标客户机会目标")*('目标填报'!$G$3:$R$3=$F$1)*'目标填报'!$G$4:$R$1500))</f>
        <v/>
      </c>
      <c r="U13" s="39">
        <f>IF($B13="","",IFERROR(S13/T13,""))</f>
        <v/>
      </c>
      <c r="V13" s="38">
        <f>IF($B13="","",P13+S13)</f>
        <v/>
      </c>
      <c r="W13" s="38">
        <f>IF($B13="","",M13-J13)</f>
        <v/>
      </c>
      <c r="X13" s="39">
        <f>IF($B13="","",IFERROR(V13/W13,""))</f>
        <v/>
      </c>
      <c r="Y13" s="40">
        <f>IF($B13="","",V13-W13)</f>
        <v/>
      </c>
    </row>
    <row r="14">
      <c r="A14" s="37">
        <f>IF($B14="","",ROW()-3)</f>
        <v/>
      </c>
      <c r="B14" s="13">
        <f>IF(10+1&gt;COUNTA('维度字典'!$C$2:$C$200)*COUNTA('维度字典'!$A$2:$A$200)*COUNTA('维度字典'!$E$2:$E$200),"",INDEX('维度字典'!$C$2:$C$200,MOD(INT(10/(COUNTA('维度字典'!$E$2:$E$200)*COUNTA('维度字典'!$A$2:$A$200))),COUNTA('维度字典'!$C$2:$C$200))+1))</f>
        <v/>
      </c>
      <c r="C14" s="13">
        <f>IF($B14="","",INDEX('维度字典'!$A$2:$A$200,MOD(INT(10/COUNTA('维度字典'!$E$2:$E$200)),COUNTA('维度字典'!$A$2:$A$200))+1))</f>
        <v/>
      </c>
      <c r="D14" s="13">
        <f>IF($B14="","",INDEX('维度字典'!$E$2:$E$200,MOD(10,COUNTA('维度字典'!$E$2:$E$200))+1))</f>
        <v/>
      </c>
      <c r="E14" s="38">
        <f>IF($B14="","",SUMPRODUCT(('系统实绩导入'!$B$4:$B$1500=$B14)*('系统实绩导入'!$C$4:$C$1500=$C14)*('系统实绩导入'!$D$4:$D$1500=$D14)*('系统实绩导入'!$F$4:$F$1500="实绩销售额")*('系统实绩导入'!$G$3:$R$3=$F$1)*'系统实绩导入'!$G$4:$R$1500))</f>
        <v/>
      </c>
      <c r="F14" s="38">
        <f>IF($B14="","",SUMPRODUCT(('系统实绩导入'!$B$4:$B$1500=$B14)*('系统实绩导入'!$C$4:$C$1500=$C14)*('系统实绩导入'!$D$4:$D$1500=$D14)*('系统实绩导入'!$F$4:$F$1500="实绩毛利")*('系统实绩导入'!$G$3:$R$3=$F$1)*'系统实绩导入'!$G$4:$R$1500))</f>
        <v/>
      </c>
      <c r="G14" s="39">
        <f>IF($B14="","",IFERROR(F14/E14,""))</f>
        <v/>
      </c>
      <c r="H14" s="38">
        <f>IF($B14="","",SUMPRODUCT(('目标填报'!$B$4:$B$1500=$B14)*('目标填报'!$C$4:$C$1500=$C14)*('目标填报'!$D$4:$D$1500=$D14)*('目标填报'!$F$4:$F$1500="销售目标额")*('目标填报'!$G$3:$R$3=$F$1)*'目标填报'!$G$4:$R$1500))</f>
        <v/>
      </c>
      <c r="I14" s="39">
        <f>IF($B14="","",IFERROR(E14/H14,""))</f>
        <v/>
      </c>
      <c r="J14" s="38">
        <f>IF($B14="","",SUMPRODUCT(('系统实绩导入'!$B$4:$B$1500=$B14)*('系统实绩导入'!$C$4:$C$1500=$C14)*('系统实绩导入'!$D$4:$D$1500=$D14)*('系统实绩导入'!$F$4:$F$1500="实绩销售额")*('系统实绩导入'!$G$3:$R$3&lt;=$F$1)*'系统实绩导入'!$G$4:$R$1500))</f>
        <v/>
      </c>
      <c r="K14" s="38">
        <f>IF($B14="","",SUMPRODUCT(('系统实绩导入'!$B$4:$B$1500=$B14)*('系统实绩导入'!$C$4:$C$1500=$C14)*('系统实绩导入'!$D$4:$D$1500=$D14)*('系统实绩导入'!$F$4:$F$1500="实绩毛利")*('系统实绩导入'!$G$3:$R$3&lt;=$F$1)*'系统实绩导入'!$G$4:$R$1500))</f>
        <v/>
      </c>
      <c r="L14" s="39">
        <f>IF($B14="","",IFERROR(K14/J14,""))</f>
        <v/>
      </c>
      <c r="M14" s="38">
        <f>IF($B14="","",SUMIFS('目标填报'!$S$4:$S$1500,'目标填报'!$B$4:$B$1500,$B14,'目标填报'!$C$4:$C$1500,$C14,'目标填报'!$D$4:$D$1500,$D14,'目标填报'!$F$4:$F$1500,"销售目标额"))</f>
        <v/>
      </c>
      <c r="N14" s="39">
        <f>IF($B14="","",IFERROR(J14/M14,""))</f>
        <v/>
      </c>
      <c r="O14" s="40">
        <f>IF($B14="","",J14-M14)</f>
        <v/>
      </c>
      <c r="P14" s="38">
        <f>IF($B14="","",SUMPRODUCT(('目标填报'!$B$4:$B$1500=$B14)*('目标填报'!$C$4:$C$1500=$C14)*('目标填报'!$D$4:$D$1500=$D14)*('目标填报'!$F$4:$F$1500="在手订单")*('目标填报'!$G$3:$R$3=$F$1)*'目标填报'!$G$4:$R$1500))</f>
        <v/>
      </c>
      <c r="Q14" s="38">
        <f>IF($B14="","",SUMPRODUCT(('目标填报'!$B$4:$B$1500=$B14)*('目标填报'!$C$4:$C$1500=$C14)*('目标填报'!$D$4:$D$1500=$D14)*('目标填报'!$F$4:$F$1500="在手订单目标")*('目标填报'!$G$3:$R$3=$F$1)*'目标填报'!$G$4:$R$1500))</f>
        <v/>
      </c>
      <c r="R14" s="39">
        <f>IF($B14="","",IFERROR(P14/Q14,""))</f>
        <v/>
      </c>
      <c r="S14" s="38">
        <f>IF($B14="","",SUMPRODUCT(('目标填报'!$B$4:$B$1500=$B14)*('目标填报'!$C$4:$C$1500=$C14)*('目标填报'!$D$4:$D$1500=$D14)*('目标填报'!$F$4:$F$1500="目标客户机会")*('目标填报'!$G$3:$R$3=$F$1)*'目标填报'!$G$4:$R$1500))</f>
        <v/>
      </c>
      <c r="T14" s="38">
        <f>IF($B14="","",SUMPRODUCT(('目标填报'!$B$4:$B$1500=$B14)*('目标填报'!$C$4:$C$1500=$C14)*('目标填报'!$D$4:$D$1500=$D14)*('目标填报'!$F$4:$F$1500="目标客户机会目标")*('目标填报'!$G$3:$R$3=$F$1)*'目标填报'!$G$4:$R$1500))</f>
        <v/>
      </c>
      <c r="U14" s="39">
        <f>IF($B14="","",IFERROR(S14/T14,""))</f>
        <v/>
      </c>
      <c r="V14" s="38">
        <f>IF($B14="","",P14+S14)</f>
        <v/>
      </c>
      <c r="W14" s="38">
        <f>IF($B14="","",M14-J14)</f>
        <v/>
      </c>
      <c r="X14" s="39">
        <f>IF($B14="","",IFERROR(V14/W14,""))</f>
        <v/>
      </c>
      <c r="Y14" s="40">
        <f>IF($B14="","",V14-W14)</f>
        <v/>
      </c>
    </row>
    <row r="15">
      <c r="A15" s="37">
        <f>IF($B15="","",ROW()-3)</f>
        <v/>
      </c>
      <c r="B15" s="13">
        <f>IF(11+1&gt;COUNTA('维度字典'!$C$2:$C$200)*COUNTA('维度字典'!$A$2:$A$200)*COUNTA('维度字典'!$E$2:$E$200),"",INDEX('维度字典'!$C$2:$C$200,MOD(INT(11/(COUNTA('维度字典'!$E$2:$E$200)*COUNTA('维度字典'!$A$2:$A$200))),COUNTA('维度字典'!$C$2:$C$200))+1))</f>
        <v/>
      </c>
      <c r="C15" s="13">
        <f>IF($B15="","",INDEX('维度字典'!$A$2:$A$200,MOD(INT(11/COUNTA('维度字典'!$E$2:$E$200)),COUNTA('维度字典'!$A$2:$A$200))+1))</f>
        <v/>
      </c>
      <c r="D15" s="13">
        <f>IF($B15="","",INDEX('维度字典'!$E$2:$E$200,MOD(11,COUNTA('维度字典'!$E$2:$E$200))+1))</f>
        <v/>
      </c>
      <c r="E15" s="38">
        <f>IF($B15="","",SUMPRODUCT(('系统实绩导入'!$B$4:$B$1500=$B15)*('系统实绩导入'!$C$4:$C$1500=$C15)*('系统实绩导入'!$D$4:$D$1500=$D15)*('系统实绩导入'!$F$4:$F$1500="实绩销售额")*('系统实绩导入'!$G$3:$R$3=$F$1)*'系统实绩导入'!$G$4:$R$1500))</f>
        <v/>
      </c>
      <c r="F15" s="38">
        <f>IF($B15="","",SUMPRODUCT(('系统实绩导入'!$B$4:$B$1500=$B15)*('系统实绩导入'!$C$4:$C$1500=$C15)*('系统实绩导入'!$D$4:$D$1500=$D15)*('系统实绩导入'!$F$4:$F$1500="实绩毛利")*('系统实绩导入'!$G$3:$R$3=$F$1)*'系统实绩导入'!$G$4:$R$1500))</f>
        <v/>
      </c>
      <c r="G15" s="39">
        <f>IF($B15="","",IFERROR(F15/E15,""))</f>
        <v/>
      </c>
      <c r="H15" s="38">
        <f>IF($B15="","",SUMPRODUCT(('目标填报'!$B$4:$B$1500=$B15)*('目标填报'!$C$4:$C$1500=$C15)*('目标填报'!$D$4:$D$1500=$D15)*('目标填报'!$F$4:$F$1500="销售目标额")*('目标填报'!$G$3:$R$3=$F$1)*'目标填报'!$G$4:$R$1500))</f>
        <v/>
      </c>
      <c r="I15" s="39">
        <f>IF($B15="","",IFERROR(E15/H15,""))</f>
        <v/>
      </c>
      <c r="J15" s="38">
        <f>IF($B15="","",SUMPRODUCT(('系统实绩导入'!$B$4:$B$1500=$B15)*('系统实绩导入'!$C$4:$C$1500=$C15)*('系统实绩导入'!$D$4:$D$1500=$D15)*('系统实绩导入'!$F$4:$F$1500="实绩销售额")*('系统实绩导入'!$G$3:$R$3&lt;=$F$1)*'系统实绩导入'!$G$4:$R$1500))</f>
        <v/>
      </c>
      <c r="K15" s="38">
        <f>IF($B15="","",SUMPRODUCT(('系统实绩导入'!$B$4:$B$1500=$B15)*('系统实绩导入'!$C$4:$C$1500=$C15)*('系统实绩导入'!$D$4:$D$1500=$D15)*('系统实绩导入'!$F$4:$F$1500="实绩毛利")*('系统实绩导入'!$G$3:$R$3&lt;=$F$1)*'系统实绩导入'!$G$4:$R$1500))</f>
        <v/>
      </c>
      <c r="L15" s="39">
        <f>IF($B15="","",IFERROR(K15/J15,""))</f>
        <v/>
      </c>
      <c r="M15" s="38">
        <f>IF($B15="","",SUMIFS('目标填报'!$S$4:$S$1500,'目标填报'!$B$4:$B$1500,$B15,'目标填报'!$C$4:$C$1500,$C15,'目标填报'!$D$4:$D$1500,$D15,'目标填报'!$F$4:$F$1500,"销售目标额"))</f>
        <v/>
      </c>
      <c r="N15" s="39">
        <f>IF($B15="","",IFERROR(J15/M15,""))</f>
        <v/>
      </c>
      <c r="O15" s="40">
        <f>IF($B15="","",J15-M15)</f>
        <v/>
      </c>
      <c r="P15" s="38">
        <f>IF($B15="","",SUMPRODUCT(('目标填报'!$B$4:$B$1500=$B15)*('目标填报'!$C$4:$C$1500=$C15)*('目标填报'!$D$4:$D$1500=$D15)*('目标填报'!$F$4:$F$1500="在手订单")*('目标填报'!$G$3:$R$3=$F$1)*'目标填报'!$G$4:$R$1500))</f>
        <v/>
      </c>
      <c r="Q15" s="38">
        <f>IF($B15="","",SUMPRODUCT(('目标填报'!$B$4:$B$1500=$B15)*('目标填报'!$C$4:$C$1500=$C15)*('目标填报'!$D$4:$D$1500=$D15)*('目标填报'!$F$4:$F$1500="在手订单目标")*('目标填报'!$G$3:$R$3=$F$1)*'目标填报'!$G$4:$R$1500))</f>
        <v/>
      </c>
      <c r="R15" s="39">
        <f>IF($B15="","",IFERROR(P15/Q15,""))</f>
        <v/>
      </c>
      <c r="S15" s="38">
        <f>IF($B15="","",SUMPRODUCT(('目标填报'!$B$4:$B$1500=$B15)*('目标填报'!$C$4:$C$1500=$C15)*('目标填报'!$D$4:$D$1500=$D15)*('目标填报'!$F$4:$F$1500="目标客户机会")*('目标填报'!$G$3:$R$3=$F$1)*'目标填报'!$G$4:$R$1500))</f>
        <v/>
      </c>
      <c r="T15" s="38">
        <f>IF($B15="","",SUMPRODUCT(('目标填报'!$B$4:$B$1500=$B15)*('目标填报'!$C$4:$C$1500=$C15)*('目标填报'!$D$4:$D$1500=$D15)*('目标填报'!$F$4:$F$1500="目标客户机会目标")*('目标填报'!$G$3:$R$3=$F$1)*'目标填报'!$G$4:$R$1500))</f>
        <v/>
      </c>
      <c r="U15" s="39">
        <f>IF($B15="","",IFERROR(S15/T15,""))</f>
        <v/>
      </c>
      <c r="V15" s="38">
        <f>IF($B15="","",P15+S15)</f>
        <v/>
      </c>
      <c r="W15" s="38">
        <f>IF($B15="","",M15-J15)</f>
        <v/>
      </c>
      <c r="X15" s="39">
        <f>IF($B15="","",IFERROR(V15/W15,""))</f>
        <v/>
      </c>
      <c r="Y15" s="40">
        <f>IF($B15="","",V15-W15)</f>
        <v/>
      </c>
    </row>
    <row r="16">
      <c r="A16" s="37">
        <f>IF($B16="","",ROW()-3)</f>
        <v/>
      </c>
      <c r="B16" s="13">
        <f>IF(12+1&gt;COUNTA('维度字典'!$C$2:$C$200)*COUNTA('维度字典'!$A$2:$A$200)*COUNTA('维度字典'!$E$2:$E$200),"",INDEX('维度字典'!$C$2:$C$200,MOD(INT(12/(COUNTA('维度字典'!$E$2:$E$200)*COUNTA('维度字典'!$A$2:$A$200))),COUNTA('维度字典'!$C$2:$C$200))+1))</f>
        <v/>
      </c>
      <c r="C16" s="13">
        <f>IF($B16="","",INDEX('维度字典'!$A$2:$A$200,MOD(INT(12/COUNTA('维度字典'!$E$2:$E$200)),COUNTA('维度字典'!$A$2:$A$200))+1))</f>
        <v/>
      </c>
      <c r="D16" s="13">
        <f>IF($B16="","",INDEX('维度字典'!$E$2:$E$200,MOD(12,COUNTA('维度字典'!$E$2:$E$200))+1))</f>
        <v/>
      </c>
      <c r="E16" s="38">
        <f>IF($B16="","",SUMPRODUCT(('系统实绩导入'!$B$4:$B$1500=$B16)*('系统实绩导入'!$C$4:$C$1500=$C16)*('系统实绩导入'!$D$4:$D$1500=$D16)*('系统实绩导入'!$F$4:$F$1500="实绩销售额")*('系统实绩导入'!$G$3:$R$3=$F$1)*'系统实绩导入'!$G$4:$R$1500))</f>
        <v/>
      </c>
      <c r="F16" s="38">
        <f>IF($B16="","",SUMPRODUCT(('系统实绩导入'!$B$4:$B$1500=$B16)*('系统实绩导入'!$C$4:$C$1500=$C16)*('系统实绩导入'!$D$4:$D$1500=$D16)*('系统实绩导入'!$F$4:$F$1500="实绩毛利")*('系统实绩导入'!$G$3:$R$3=$F$1)*'系统实绩导入'!$G$4:$R$1500))</f>
        <v/>
      </c>
      <c r="G16" s="39">
        <f>IF($B16="","",IFERROR(F16/E16,""))</f>
        <v/>
      </c>
      <c r="H16" s="38">
        <f>IF($B16="","",SUMPRODUCT(('目标填报'!$B$4:$B$1500=$B16)*('目标填报'!$C$4:$C$1500=$C16)*('目标填报'!$D$4:$D$1500=$D16)*('目标填报'!$F$4:$F$1500="销售目标额")*('目标填报'!$G$3:$R$3=$F$1)*'目标填报'!$G$4:$R$1500))</f>
        <v/>
      </c>
      <c r="I16" s="39">
        <f>IF($B16="","",IFERROR(E16/H16,""))</f>
        <v/>
      </c>
      <c r="J16" s="38">
        <f>IF($B16="","",SUMPRODUCT(('系统实绩导入'!$B$4:$B$1500=$B16)*('系统实绩导入'!$C$4:$C$1500=$C16)*('系统实绩导入'!$D$4:$D$1500=$D16)*('系统实绩导入'!$F$4:$F$1500="实绩销售额")*('系统实绩导入'!$G$3:$R$3&lt;=$F$1)*'系统实绩导入'!$G$4:$R$1500))</f>
        <v/>
      </c>
      <c r="K16" s="38">
        <f>IF($B16="","",SUMPRODUCT(('系统实绩导入'!$B$4:$B$1500=$B16)*('系统实绩导入'!$C$4:$C$1500=$C16)*('系统实绩导入'!$D$4:$D$1500=$D16)*('系统实绩导入'!$F$4:$F$1500="实绩毛利")*('系统实绩导入'!$G$3:$R$3&lt;=$F$1)*'系统实绩导入'!$G$4:$R$1500))</f>
        <v/>
      </c>
      <c r="L16" s="39">
        <f>IF($B16="","",IFERROR(K16/J16,""))</f>
        <v/>
      </c>
      <c r="M16" s="38">
        <f>IF($B16="","",SUMIFS('目标填报'!$S$4:$S$1500,'目标填报'!$B$4:$B$1500,$B16,'目标填报'!$C$4:$C$1500,$C16,'目标填报'!$D$4:$D$1500,$D16,'目标填报'!$F$4:$F$1500,"销售目标额"))</f>
        <v/>
      </c>
      <c r="N16" s="39">
        <f>IF($B16="","",IFERROR(J16/M16,""))</f>
        <v/>
      </c>
      <c r="O16" s="40">
        <f>IF($B16="","",J16-M16)</f>
        <v/>
      </c>
      <c r="P16" s="38">
        <f>IF($B16="","",SUMPRODUCT(('目标填报'!$B$4:$B$1500=$B16)*('目标填报'!$C$4:$C$1500=$C16)*('目标填报'!$D$4:$D$1500=$D16)*('目标填报'!$F$4:$F$1500="在手订单")*('目标填报'!$G$3:$R$3=$F$1)*'目标填报'!$G$4:$R$1500))</f>
        <v/>
      </c>
      <c r="Q16" s="38">
        <f>IF($B16="","",SUMPRODUCT(('目标填报'!$B$4:$B$1500=$B16)*('目标填报'!$C$4:$C$1500=$C16)*('目标填报'!$D$4:$D$1500=$D16)*('目标填报'!$F$4:$F$1500="在手订单目标")*('目标填报'!$G$3:$R$3=$F$1)*'目标填报'!$G$4:$R$1500))</f>
        <v/>
      </c>
      <c r="R16" s="39">
        <f>IF($B16="","",IFERROR(P16/Q16,""))</f>
        <v/>
      </c>
      <c r="S16" s="38">
        <f>IF($B16="","",SUMPRODUCT(('目标填报'!$B$4:$B$1500=$B16)*('目标填报'!$C$4:$C$1500=$C16)*('目标填报'!$D$4:$D$1500=$D16)*('目标填报'!$F$4:$F$1500="目标客户机会")*('目标填报'!$G$3:$R$3=$F$1)*'目标填报'!$G$4:$R$1500))</f>
        <v/>
      </c>
      <c r="T16" s="38">
        <f>IF($B16="","",SUMPRODUCT(('目标填报'!$B$4:$B$1500=$B16)*('目标填报'!$C$4:$C$1500=$C16)*('目标填报'!$D$4:$D$1500=$D16)*('目标填报'!$F$4:$F$1500="目标客户机会目标")*('目标填报'!$G$3:$R$3=$F$1)*'目标填报'!$G$4:$R$1500))</f>
        <v/>
      </c>
      <c r="U16" s="39">
        <f>IF($B16="","",IFERROR(S16/T16,""))</f>
        <v/>
      </c>
      <c r="V16" s="38">
        <f>IF($B16="","",P16+S16)</f>
        <v/>
      </c>
      <c r="W16" s="38">
        <f>IF($B16="","",M16-J16)</f>
        <v/>
      </c>
      <c r="X16" s="39">
        <f>IF($B16="","",IFERROR(V16/W16,""))</f>
        <v/>
      </c>
      <c r="Y16" s="40">
        <f>IF($B16="","",V16-W16)</f>
        <v/>
      </c>
    </row>
    <row r="17">
      <c r="A17" s="37">
        <f>IF($B17="","",ROW()-3)</f>
        <v/>
      </c>
      <c r="B17" s="13">
        <f>IF(13+1&gt;COUNTA('维度字典'!$C$2:$C$200)*COUNTA('维度字典'!$A$2:$A$200)*COUNTA('维度字典'!$E$2:$E$200),"",INDEX('维度字典'!$C$2:$C$200,MOD(INT(13/(COUNTA('维度字典'!$E$2:$E$200)*COUNTA('维度字典'!$A$2:$A$200))),COUNTA('维度字典'!$C$2:$C$200))+1))</f>
        <v/>
      </c>
      <c r="C17" s="13">
        <f>IF($B17="","",INDEX('维度字典'!$A$2:$A$200,MOD(INT(13/COUNTA('维度字典'!$E$2:$E$200)),COUNTA('维度字典'!$A$2:$A$200))+1))</f>
        <v/>
      </c>
      <c r="D17" s="13">
        <f>IF($B17="","",INDEX('维度字典'!$E$2:$E$200,MOD(13,COUNTA('维度字典'!$E$2:$E$200))+1))</f>
        <v/>
      </c>
      <c r="E17" s="38">
        <f>IF($B17="","",SUMPRODUCT(('系统实绩导入'!$B$4:$B$1500=$B17)*('系统实绩导入'!$C$4:$C$1500=$C17)*('系统实绩导入'!$D$4:$D$1500=$D17)*('系统实绩导入'!$F$4:$F$1500="实绩销售额")*('系统实绩导入'!$G$3:$R$3=$F$1)*'系统实绩导入'!$G$4:$R$1500))</f>
        <v/>
      </c>
      <c r="F17" s="38">
        <f>IF($B17="","",SUMPRODUCT(('系统实绩导入'!$B$4:$B$1500=$B17)*('系统实绩导入'!$C$4:$C$1500=$C17)*('系统实绩导入'!$D$4:$D$1500=$D17)*('系统实绩导入'!$F$4:$F$1500="实绩毛利")*('系统实绩导入'!$G$3:$R$3=$F$1)*'系统实绩导入'!$G$4:$R$1500))</f>
        <v/>
      </c>
      <c r="G17" s="39">
        <f>IF($B17="","",IFERROR(F17/E17,""))</f>
        <v/>
      </c>
      <c r="H17" s="38">
        <f>IF($B17="","",SUMPRODUCT(('目标填报'!$B$4:$B$1500=$B17)*('目标填报'!$C$4:$C$1500=$C17)*('目标填报'!$D$4:$D$1500=$D17)*('目标填报'!$F$4:$F$1500="销售目标额")*('目标填报'!$G$3:$R$3=$F$1)*'目标填报'!$G$4:$R$1500))</f>
        <v/>
      </c>
      <c r="I17" s="39">
        <f>IF($B17="","",IFERROR(E17/H17,""))</f>
        <v/>
      </c>
      <c r="J17" s="38">
        <f>IF($B17="","",SUMPRODUCT(('系统实绩导入'!$B$4:$B$1500=$B17)*('系统实绩导入'!$C$4:$C$1500=$C17)*('系统实绩导入'!$D$4:$D$1500=$D17)*('系统实绩导入'!$F$4:$F$1500="实绩销售额")*('系统实绩导入'!$G$3:$R$3&lt;=$F$1)*'系统实绩导入'!$G$4:$R$1500))</f>
        <v/>
      </c>
      <c r="K17" s="38">
        <f>IF($B17="","",SUMPRODUCT(('系统实绩导入'!$B$4:$B$1500=$B17)*('系统实绩导入'!$C$4:$C$1500=$C17)*('系统实绩导入'!$D$4:$D$1500=$D17)*('系统实绩导入'!$F$4:$F$1500="实绩毛利")*('系统实绩导入'!$G$3:$R$3&lt;=$F$1)*'系统实绩导入'!$G$4:$R$1500))</f>
        <v/>
      </c>
      <c r="L17" s="39">
        <f>IF($B17="","",IFERROR(K17/J17,""))</f>
        <v/>
      </c>
      <c r="M17" s="38">
        <f>IF($B17="","",SUMIFS('目标填报'!$S$4:$S$1500,'目标填报'!$B$4:$B$1500,$B17,'目标填报'!$C$4:$C$1500,$C17,'目标填报'!$D$4:$D$1500,$D17,'目标填报'!$F$4:$F$1500,"销售目标额"))</f>
        <v/>
      </c>
      <c r="N17" s="39">
        <f>IF($B17="","",IFERROR(J17/M17,""))</f>
        <v/>
      </c>
      <c r="O17" s="40">
        <f>IF($B17="","",J17-M17)</f>
        <v/>
      </c>
      <c r="P17" s="38">
        <f>IF($B17="","",SUMPRODUCT(('目标填报'!$B$4:$B$1500=$B17)*('目标填报'!$C$4:$C$1500=$C17)*('目标填报'!$D$4:$D$1500=$D17)*('目标填报'!$F$4:$F$1500="在手订单")*('目标填报'!$G$3:$R$3=$F$1)*'目标填报'!$G$4:$R$1500))</f>
        <v/>
      </c>
      <c r="Q17" s="38">
        <f>IF($B17="","",SUMPRODUCT(('目标填报'!$B$4:$B$1500=$B17)*('目标填报'!$C$4:$C$1500=$C17)*('目标填报'!$D$4:$D$1500=$D17)*('目标填报'!$F$4:$F$1500="在手订单目标")*('目标填报'!$G$3:$R$3=$F$1)*'目标填报'!$G$4:$R$1500))</f>
        <v/>
      </c>
      <c r="R17" s="39">
        <f>IF($B17="","",IFERROR(P17/Q17,""))</f>
        <v/>
      </c>
      <c r="S17" s="38">
        <f>IF($B17="","",SUMPRODUCT(('目标填报'!$B$4:$B$1500=$B17)*('目标填报'!$C$4:$C$1500=$C17)*('目标填报'!$D$4:$D$1500=$D17)*('目标填报'!$F$4:$F$1500="目标客户机会")*('目标填报'!$G$3:$R$3=$F$1)*'目标填报'!$G$4:$R$1500))</f>
        <v/>
      </c>
      <c r="T17" s="38">
        <f>IF($B17="","",SUMPRODUCT(('目标填报'!$B$4:$B$1500=$B17)*('目标填报'!$C$4:$C$1500=$C17)*('目标填报'!$D$4:$D$1500=$D17)*('目标填报'!$F$4:$F$1500="目标客户机会目标")*('目标填报'!$G$3:$R$3=$F$1)*'目标填报'!$G$4:$R$1500))</f>
        <v/>
      </c>
      <c r="U17" s="39">
        <f>IF($B17="","",IFERROR(S17/T17,""))</f>
        <v/>
      </c>
      <c r="V17" s="38">
        <f>IF($B17="","",P17+S17)</f>
        <v/>
      </c>
      <c r="W17" s="38">
        <f>IF($B17="","",M17-J17)</f>
        <v/>
      </c>
      <c r="X17" s="39">
        <f>IF($B17="","",IFERROR(V17/W17,""))</f>
        <v/>
      </c>
      <c r="Y17" s="40">
        <f>IF($B17="","",V17-W17)</f>
        <v/>
      </c>
    </row>
    <row r="18">
      <c r="A18" s="37">
        <f>IF($B18="","",ROW()-3)</f>
        <v/>
      </c>
      <c r="B18" s="13">
        <f>IF(14+1&gt;COUNTA('维度字典'!$C$2:$C$200)*COUNTA('维度字典'!$A$2:$A$200)*COUNTA('维度字典'!$E$2:$E$200),"",INDEX('维度字典'!$C$2:$C$200,MOD(INT(14/(COUNTA('维度字典'!$E$2:$E$200)*COUNTA('维度字典'!$A$2:$A$200))),COUNTA('维度字典'!$C$2:$C$200))+1))</f>
        <v/>
      </c>
      <c r="C18" s="13">
        <f>IF($B18="","",INDEX('维度字典'!$A$2:$A$200,MOD(INT(14/COUNTA('维度字典'!$E$2:$E$200)),COUNTA('维度字典'!$A$2:$A$200))+1))</f>
        <v/>
      </c>
      <c r="D18" s="13">
        <f>IF($B18="","",INDEX('维度字典'!$E$2:$E$200,MOD(14,COUNTA('维度字典'!$E$2:$E$200))+1))</f>
        <v/>
      </c>
      <c r="E18" s="38">
        <f>IF($B18="","",SUMPRODUCT(('系统实绩导入'!$B$4:$B$1500=$B18)*('系统实绩导入'!$C$4:$C$1500=$C18)*('系统实绩导入'!$D$4:$D$1500=$D18)*('系统实绩导入'!$F$4:$F$1500="实绩销售额")*('系统实绩导入'!$G$3:$R$3=$F$1)*'系统实绩导入'!$G$4:$R$1500))</f>
        <v/>
      </c>
      <c r="F18" s="38">
        <f>IF($B18="","",SUMPRODUCT(('系统实绩导入'!$B$4:$B$1500=$B18)*('系统实绩导入'!$C$4:$C$1500=$C18)*('系统实绩导入'!$D$4:$D$1500=$D18)*('系统实绩导入'!$F$4:$F$1500="实绩毛利")*('系统实绩导入'!$G$3:$R$3=$F$1)*'系统实绩导入'!$G$4:$R$1500))</f>
        <v/>
      </c>
      <c r="G18" s="39">
        <f>IF($B18="","",IFERROR(F18/E18,""))</f>
        <v/>
      </c>
      <c r="H18" s="38">
        <f>IF($B18="","",SUMPRODUCT(('目标填报'!$B$4:$B$1500=$B18)*('目标填报'!$C$4:$C$1500=$C18)*('目标填报'!$D$4:$D$1500=$D18)*('目标填报'!$F$4:$F$1500="销售目标额")*('目标填报'!$G$3:$R$3=$F$1)*'目标填报'!$G$4:$R$1500))</f>
        <v/>
      </c>
      <c r="I18" s="39">
        <f>IF($B18="","",IFERROR(E18/H18,""))</f>
        <v/>
      </c>
      <c r="J18" s="38">
        <f>IF($B18="","",SUMPRODUCT(('系统实绩导入'!$B$4:$B$1500=$B18)*('系统实绩导入'!$C$4:$C$1500=$C18)*('系统实绩导入'!$D$4:$D$1500=$D18)*('系统实绩导入'!$F$4:$F$1500="实绩销售额")*('系统实绩导入'!$G$3:$R$3&lt;=$F$1)*'系统实绩导入'!$G$4:$R$1500))</f>
        <v/>
      </c>
      <c r="K18" s="38">
        <f>IF($B18="","",SUMPRODUCT(('系统实绩导入'!$B$4:$B$1500=$B18)*('系统实绩导入'!$C$4:$C$1500=$C18)*('系统实绩导入'!$D$4:$D$1500=$D18)*('系统实绩导入'!$F$4:$F$1500="实绩毛利")*('系统实绩导入'!$G$3:$R$3&lt;=$F$1)*'系统实绩导入'!$G$4:$R$1500))</f>
        <v/>
      </c>
      <c r="L18" s="39">
        <f>IF($B18="","",IFERROR(K18/J18,""))</f>
        <v/>
      </c>
      <c r="M18" s="38">
        <f>IF($B18="","",SUMIFS('目标填报'!$S$4:$S$1500,'目标填报'!$B$4:$B$1500,$B18,'目标填报'!$C$4:$C$1500,$C18,'目标填报'!$D$4:$D$1500,$D18,'目标填报'!$F$4:$F$1500,"销售目标额"))</f>
        <v/>
      </c>
      <c r="N18" s="39">
        <f>IF($B18="","",IFERROR(J18/M18,""))</f>
        <v/>
      </c>
      <c r="O18" s="40">
        <f>IF($B18="","",J18-M18)</f>
        <v/>
      </c>
      <c r="P18" s="38">
        <f>IF($B18="","",SUMPRODUCT(('目标填报'!$B$4:$B$1500=$B18)*('目标填报'!$C$4:$C$1500=$C18)*('目标填报'!$D$4:$D$1500=$D18)*('目标填报'!$F$4:$F$1500="在手订单")*('目标填报'!$G$3:$R$3=$F$1)*'目标填报'!$G$4:$R$1500))</f>
        <v/>
      </c>
      <c r="Q18" s="38">
        <f>IF($B18="","",SUMPRODUCT(('目标填报'!$B$4:$B$1500=$B18)*('目标填报'!$C$4:$C$1500=$C18)*('目标填报'!$D$4:$D$1500=$D18)*('目标填报'!$F$4:$F$1500="在手订单目标")*('目标填报'!$G$3:$R$3=$F$1)*'目标填报'!$G$4:$R$1500))</f>
        <v/>
      </c>
      <c r="R18" s="39">
        <f>IF($B18="","",IFERROR(P18/Q18,""))</f>
        <v/>
      </c>
      <c r="S18" s="38">
        <f>IF($B18="","",SUMPRODUCT(('目标填报'!$B$4:$B$1500=$B18)*('目标填报'!$C$4:$C$1500=$C18)*('目标填报'!$D$4:$D$1500=$D18)*('目标填报'!$F$4:$F$1500="目标客户机会")*('目标填报'!$G$3:$R$3=$F$1)*'目标填报'!$G$4:$R$1500))</f>
        <v/>
      </c>
      <c r="T18" s="38">
        <f>IF($B18="","",SUMPRODUCT(('目标填报'!$B$4:$B$1500=$B18)*('目标填报'!$C$4:$C$1500=$C18)*('目标填报'!$D$4:$D$1500=$D18)*('目标填报'!$F$4:$F$1500="目标客户机会目标")*('目标填报'!$G$3:$R$3=$F$1)*'目标填报'!$G$4:$R$1500))</f>
        <v/>
      </c>
      <c r="U18" s="39">
        <f>IF($B18="","",IFERROR(S18/T18,""))</f>
        <v/>
      </c>
      <c r="V18" s="38">
        <f>IF($B18="","",P18+S18)</f>
        <v/>
      </c>
      <c r="W18" s="38">
        <f>IF($B18="","",M18-J18)</f>
        <v/>
      </c>
      <c r="X18" s="39">
        <f>IF($B18="","",IFERROR(V18/W18,""))</f>
        <v/>
      </c>
      <c r="Y18" s="40">
        <f>IF($B18="","",V18-W18)</f>
        <v/>
      </c>
    </row>
    <row r="19">
      <c r="A19" s="37">
        <f>IF($B19="","",ROW()-3)</f>
        <v/>
      </c>
      <c r="B19" s="13">
        <f>IF(15+1&gt;COUNTA('维度字典'!$C$2:$C$200)*COUNTA('维度字典'!$A$2:$A$200)*COUNTA('维度字典'!$E$2:$E$200),"",INDEX('维度字典'!$C$2:$C$200,MOD(INT(15/(COUNTA('维度字典'!$E$2:$E$200)*COUNTA('维度字典'!$A$2:$A$200))),COUNTA('维度字典'!$C$2:$C$200))+1))</f>
        <v/>
      </c>
      <c r="C19" s="13">
        <f>IF($B19="","",INDEX('维度字典'!$A$2:$A$200,MOD(INT(15/COUNTA('维度字典'!$E$2:$E$200)),COUNTA('维度字典'!$A$2:$A$200))+1))</f>
        <v/>
      </c>
      <c r="D19" s="13">
        <f>IF($B19="","",INDEX('维度字典'!$E$2:$E$200,MOD(15,COUNTA('维度字典'!$E$2:$E$200))+1))</f>
        <v/>
      </c>
      <c r="E19" s="38">
        <f>IF($B19="","",SUMPRODUCT(('系统实绩导入'!$B$4:$B$1500=$B19)*('系统实绩导入'!$C$4:$C$1500=$C19)*('系统实绩导入'!$D$4:$D$1500=$D19)*('系统实绩导入'!$F$4:$F$1500="实绩销售额")*('系统实绩导入'!$G$3:$R$3=$F$1)*'系统实绩导入'!$G$4:$R$1500))</f>
        <v/>
      </c>
      <c r="F19" s="38">
        <f>IF($B19="","",SUMPRODUCT(('系统实绩导入'!$B$4:$B$1500=$B19)*('系统实绩导入'!$C$4:$C$1500=$C19)*('系统实绩导入'!$D$4:$D$1500=$D19)*('系统实绩导入'!$F$4:$F$1500="实绩毛利")*('系统实绩导入'!$G$3:$R$3=$F$1)*'系统实绩导入'!$G$4:$R$1500))</f>
        <v/>
      </c>
      <c r="G19" s="39">
        <f>IF($B19="","",IFERROR(F19/E19,""))</f>
        <v/>
      </c>
      <c r="H19" s="38">
        <f>IF($B19="","",SUMPRODUCT(('目标填报'!$B$4:$B$1500=$B19)*('目标填报'!$C$4:$C$1500=$C19)*('目标填报'!$D$4:$D$1500=$D19)*('目标填报'!$F$4:$F$1500="销售目标额")*('目标填报'!$G$3:$R$3=$F$1)*'目标填报'!$G$4:$R$1500))</f>
        <v/>
      </c>
      <c r="I19" s="39">
        <f>IF($B19="","",IFERROR(E19/H19,""))</f>
        <v/>
      </c>
      <c r="J19" s="38">
        <f>IF($B19="","",SUMPRODUCT(('系统实绩导入'!$B$4:$B$1500=$B19)*('系统实绩导入'!$C$4:$C$1500=$C19)*('系统实绩导入'!$D$4:$D$1500=$D19)*('系统实绩导入'!$F$4:$F$1500="实绩销售额")*('系统实绩导入'!$G$3:$R$3&lt;=$F$1)*'系统实绩导入'!$G$4:$R$1500))</f>
        <v/>
      </c>
      <c r="K19" s="38">
        <f>IF($B19="","",SUMPRODUCT(('系统实绩导入'!$B$4:$B$1500=$B19)*('系统实绩导入'!$C$4:$C$1500=$C19)*('系统实绩导入'!$D$4:$D$1500=$D19)*('系统实绩导入'!$F$4:$F$1500="实绩毛利")*('系统实绩导入'!$G$3:$R$3&lt;=$F$1)*'系统实绩导入'!$G$4:$R$1500))</f>
        <v/>
      </c>
      <c r="L19" s="39">
        <f>IF($B19="","",IFERROR(K19/J19,""))</f>
        <v/>
      </c>
      <c r="M19" s="38">
        <f>IF($B19="","",SUMIFS('目标填报'!$S$4:$S$1500,'目标填报'!$B$4:$B$1500,$B19,'目标填报'!$C$4:$C$1500,$C19,'目标填报'!$D$4:$D$1500,$D19,'目标填报'!$F$4:$F$1500,"销售目标额"))</f>
        <v/>
      </c>
      <c r="N19" s="39">
        <f>IF($B19="","",IFERROR(J19/M19,""))</f>
        <v/>
      </c>
      <c r="O19" s="40">
        <f>IF($B19="","",J19-M19)</f>
        <v/>
      </c>
      <c r="P19" s="38">
        <f>IF($B19="","",SUMPRODUCT(('目标填报'!$B$4:$B$1500=$B19)*('目标填报'!$C$4:$C$1500=$C19)*('目标填报'!$D$4:$D$1500=$D19)*('目标填报'!$F$4:$F$1500="在手订单")*('目标填报'!$G$3:$R$3=$F$1)*'目标填报'!$G$4:$R$1500))</f>
        <v/>
      </c>
      <c r="Q19" s="38">
        <f>IF($B19="","",SUMPRODUCT(('目标填报'!$B$4:$B$1500=$B19)*('目标填报'!$C$4:$C$1500=$C19)*('目标填报'!$D$4:$D$1500=$D19)*('目标填报'!$F$4:$F$1500="在手订单目标")*('目标填报'!$G$3:$R$3=$F$1)*'目标填报'!$G$4:$R$1500))</f>
        <v/>
      </c>
      <c r="R19" s="39">
        <f>IF($B19="","",IFERROR(P19/Q19,""))</f>
        <v/>
      </c>
      <c r="S19" s="38">
        <f>IF($B19="","",SUMPRODUCT(('目标填报'!$B$4:$B$1500=$B19)*('目标填报'!$C$4:$C$1500=$C19)*('目标填报'!$D$4:$D$1500=$D19)*('目标填报'!$F$4:$F$1500="目标客户机会")*('目标填报'!$G$3:$R$3=$F$1)*'目标填报'!$G$4:$R$1500))</f>
        <v/>
      </c>
      <c r="T19" s="38">
        <f>IF($B19="","",SUMPRODUCT(('目标填报'!$B$4:$B$1500=$B19)*('目标填报'!$C$4:$C$1500=$C19)*('目标填报'!$D$4:$D$1500=$D19)*('目标填报'!$F$4:$F$1500="目标客户机会目标")*('目标填报'!$G$3:$R$3=$F$1)*'目标填报'!$G$4:$R$1500))</f>
        <v/>
      </c>
      <c r="U19" s="39">
        <f>IF($B19="","",IFERROR(S19/T19,""))</f>
        <v/>
      </c>
      <c r="V19" s="38">
        <f>IF($B19="","",P19+S19)</f>
        <v/>
      </c>
      <c r="W19" s="38">
        <f>IF($B19="","",M19-J19)</f>
        <v/>
      </c>
      <c r="X19" s="39">
        <f>IF($B19="","",IFERROR(V19/W19,""))</f>
        <v/>
      </c>
      <c r="Y19" s="40">
        <f>IF($B19="","",V19-W19)</f>
        <v/>
      </c>
    </row>
    <row r="20">
      <c r="A20" s="37">
        <f>IF($B20="","",ROW()-3)</f>
        <v/>
      </c>
      <c r="B20" s="13">
        <f>IF(16+1&gt;COUNTA('维度字典'!$C$2:$C$200)*COUNTA('维度字典'!$A$2:$A$200)*COUNTA('维度字典'!$E$2:$E$200),"",INDEX('维度字典'!$C$2:$C$200,MOD(INT(16/(COUNTA('维度字典'!$E$2:$E$200)*COUNTA('维度字典'!$A$2:$A$200))),COUNTA('维度字典'!$C$2:$C$200))+1))</f>
        <v/>
      </c>
      <c r="C20" s="13">
        <f>IF($B20="","",INDEX('维度字典'!$A$2:$A$200,MOD(INT(16/COUNTA('维度字典'!$E$2:$E$200)),COUNTA('维度字典'!$A$2:$A$200))+1))</f>
        <v/>
      </c>
      <c r="D20" s="13">
        <f>IF($B20="","",INDEX('维度字典'!$E$2:$E$200,MOD(16,COUNTA('维度字典'!$E$2:$E$200))+1))</f>
        <v/>
      </c>
      <c r="E20" s="38">
        <f>IF($B20="","",SUMPRODUCT(('系统实绩导入'!$B$4:$B$1500=$B20)*('系统实绩导入'!$C$4:$C$1500=$C20)*('系统实绩导入'!$D$4:$D$1500=$D20)*('系统实绩导入'!$F$4:$F$1500="实绩销售额")*('系统实绩导入'!$G$3:$R$3=$F$1)*'系统实绩导入'!$G$4:$R$1500))</f>
        <v/>
      </c>
      <c r="F20" s="38">
        <f>IF($B20="","",SUMPRODUCT(('系统实绩导入'!$B$4:$B$1500=$B20)*('系统实绩导入'!$C$4:$C$1500=$C20)*('系统实绩导入'!$D$4:$D$1500=$D20)*('系统实绩导入'!$F$4:$F$1500="实绩毛利")*('系统实绩导入'!$G$3:$R$3=$F$1)*'系统实绩导入'!$G$4:$R$1500))</f>
        <v/>
      </c>
      <c r="G20" s="39">
        <f>IF($B20="","",IFERROR(F20/E20,""))</f>
        <v/>
      </c>
      <c r="H20" s="38">
        <f>IF($B20="","",SUMPRODUCT(('目标填报'!$B$4:$B$1500=$B20)*('目标填报'!$C$4:$C$1500=$C20)*('目标填报'!$D$4:$D$1500=$D20)*('目标填报'!$F$4:$F$1500="销售目标额")*('目标填报'!$G$3:$R$3=$F$1)*'目标填报'!$G$4:$R$1500))</f>
        <v/>
      </c>
      <c r="I20" s="39">
        <f>IF($B20="","",IFERROR(E20/H20,""))</f>
        <v/>
      </c>
      <c r="J20" s="38">
        <f>IF($B20="","",SUMPRODUCT(('系统实绩导入'!$B$4:$B$1500=$B20)*('系统实绩导入'!$C$4:$C$1500=$C20)*('系统实绩导入'!$D$4:$D$1500=$D20)*('系统实绩导入'!$F$4:$F$1500="实绩销售额")*('系统实绩导入'!$G$3:$R$3&lt;=$F$1)*'系统实绩导入'!$G$4:$R$1500))</f>
        <v/>
      </c>
      <c r="K20" s="38">
        <f>IF($B20="","",SUMPRODUCT(('系统实绩导入'!$B$4:$B$1500=$B20)*('系统实绩导入'!$C$4:$C$1500=$C20)*('系统实绩导入'!$D$4:$D$1500=$D20)*('系统实绩导入'!$F$4:$F$1500="实绩毛利")*('系统实绩导入'!$G$3:$R$3&lt;=$F$1)*'系统实绩导入'!$G$4:$R$1500))</f>
        <v/>
      </c>
      <c r="L20" s="39">
        <f>IF($B20="","",IFERROR(K20/J20,""))</f>
        <v/>
      </c>
      <c r="M20" s="38">
        <f>IF($B20="","",SUMIFS('目标填报'!$S$4:$S$1500,'目标填报'!$B$4:$B$1500,$B20,'目标填报'!$C$4:$C$1500,$C20,'目标填报'!$D$4:$D$1500,$D20,'目标填报'!$F$4:$F$1500,"销售目标额"))</f>
        <v/>
      </c>
      <c r="N20" s="39">
        <f>IF($B20="","",IFERROR(J20/M20,""))</f>
        <v/>
      </c>
      <c r="O20" s="40">
        <f>IF($B20="","",J20-M20)</f>
        <v/>
      </c>
      <c r="P20" s="38">
        <f>IF($B20="","",SUMPRODUCT(('目标填报'!$B$4:$B$1500=$B20)*('目标填报'!$C$4:$C$1500=$C20)*('目标填报'!$D$4:$D$1500=$D20)*('目标填报'!$F$4:$F$1500="在手订单")*('目标填报'!$G$3:$R$3=$F$1)*'目标填报'!$G$4:$R$1500))</f>
        <v/>
      </c>
      <c r="Q20" s="38">
        <f>IF($B20="","",SUMPRODUCT(('目标填报'!$B$4:$B$1500=$B20)*('目标填报'!$C$4:$C$1500=$C20)*('目标填报'!$D$4:$D$1500=$D20)*('目标填报'!$F$4:$F$1500="在手订单目标")*('目标填报'!$G$3:$R$3=$F$1)*'目标填报'!$G$4:$R$1500))</f>
        <v/>
      </c>
      <c r="R20" s="39">
        <f>IF($B20="","",IFERROR(P20/Q20,""))</f>
        <v/>
      </c>
      <c r="S20" s="38">
        <f>IF($B20="","",SUMPRODUCT(('目标填报'!$B$4:$B$1500=$B20)*('目标填报'!$C$4:$C$1500=$C20)*('目标填报'!$D$4:$D$1500=$D20)*('目标填报'!$F$4:$F$1500="目标客户机会")*('目标填报'!$G$3:$R$3=$F$1)*'目标填报'!$G$4:$R$1500))</f>
        <v/>
      </c>
      <c r="T20" s="38">
        <f>IF($B20="","",SUMPRODUCT(('目标填报'!$B$4:$B$1500=$B20)*('目标填报'!$C$4:$C$1500=$C20)*('目标填报'!$D$4:$D$1500=$D20)*('目标填报'!$F$4:$F$1500="目标客户机会目标")*('目标填报'!$G$3:$R$3=$F$1)*'目标填报'!$G$4:$R$1500))</f>
        <v/>
      </c>
      <c r="U20" s="39">
        <f>IF($B20="","",IFERROR(S20/T20,""))</f>
        <v/>
      </c>
      <c r="V20" s="38">
        <f>IF($B20="","",P20+S20)</f>
        <v/>
      </c>
      <c r="W20" s="38">
        <f>IF($B20="","",M20-J20)</f>
        <v/>
      </c>
      <c r="X20" s="39">
        <f>IF($B20="","",IFERROR(V20/W20,""))</f>
        <v/>
      </c>
      <c r="Y20" s="40">
        <f>IF($B20="","",V20-W20)</f>
        <v/>
      </c>
    </row>
    <row r="21">
      <c r="A21" s="37">
        <f>IF($B21="","",ROW()-3)</f>
        <v/>
      </c>
      <c r="B21" s="13">
        <f>IF(17+1&gt;COUNTA('维度字典'!$C$2:$C$200)*COUNTA('维度字典'!$A$2:$A$200)*COUNTA('维度字典'!$E$2:$E$200),"",INDEX('维度字典'!$C$2:$C$200,MOD(INT(17/(COUNTA('维度字典'!$E$2:$E$200)*COUNTA('维度字典'!$A$2:$A$200))),COUNTA('维度字典'!$C$2:$C$200))+1))</f>
        <v/>
      </c>
      <c r="C21" s="13">
        <f>IF($B21="","",INDEX('维度字典'!$A$2:$A$200,MOD(INT(17/COUNTA('维度字典'!$E$2:$E$200)),COUNTA('维度字典'!$A$2:$A$200))+1))</f>
        <v/>
      </c>
      <c r="D21" s="13">
        <f>IF($B21="","",INDEX('维度字典'!$E$2:$E$200,MOD(17,COUNTA('维度字典'!$E$2:$E$200))+1))</f>
        <v/>
      </c>
      <c r="E21" s="38">
        <f>IF($B21="","",SUMPRODUCT(('系统实绩导入'!$B$4:$B$1500=$B21)*('系统实绩导入'!$C$4:$C$1500=$C21)*('系统实绩导入'!$D$4:$D$1500=$D21)*('系统实绩导入'!$F$4:$F$1500="实绩销售额")*('系统实绩导入'!$G$3:$R$3=$F$1)*'系统实绩导入'!$G$4:$R$1500))</f>
        <v/>
      </c>
      <c r="F21" s="38">
        <f>IF($B21="","",SUMPRODUCT(('系统实绩导入'!$B$4:$B$1500=$B21)*('系统实绩导入'!$C$4:$C$1500=$C21)*('系统实绩导入'!$D$4:$D$1500=$D21)*('系统实绩导入'!$F$4:$F$1500="实绩毛利")*('系统实绩导入'!$G$3:$R$3=$F$1)*'系统实绩导入'!$G$4:$R$1500))</f>
        <v/>
      </c>
      <c r="G21" s="39">
        <f>IF($B21="","",IFERROR(F21/E21,""))</f>
        <v/>
      </c>
      <c r="H21" s="38">
        <f>IF($B21="","",SUMPRODUCT(('目标填报'!$B$4:$B$1500=$B21)*('目标填报'!$C$4:$C$1500=$C21)*('目标填报'!$D$4:$D$1500=$D21)*('目标填报'!$F$4:$F$1500="销售目标额")*('目标填报'!$G$3:$R$3=$F$1)*'目标填报'!$G$4:$R$1500))</f>
        <v/>
      </c>
      <c r="I21" s="39">
        <f>IF($B21="","",IFERROR(E21/H21,""))</f>
        <v/>
      </c>
      <c r="J21" s="38">
        <f>IF($B21="","",SUMPRODUCT(('系统实绩导入'!$B$4:$B$1500=$B21)*('系统实绩导入'!$C$4:$C$1500=$C21)*('系统实绩导入'!$D$4:$D$1500=$D21)*('系统实绩导入'!$F$4:$F$1500="实绩销售额")*('系统实绩导入'!$G$3:$R$3&lt;=$F$1)*'系统实绩导入'!$G$4:$R$1500))</f>
        <v/>
      </c>
      <c r="K21" s="38">
        <f>IF($B21="","",SUMPRODUCT(('系统实绩导入'!$B$4:$B$1500=$B21)*('系统实绩导入'!$C$4:$C$1500=$C21)*('系统实绩导入'!$D$4:$D$1500=$D21)*('系统实绩导入'!$F$4:$F$1500="实绩毛利")*('系统实绩导入'!$G$3:$R$3&lt;=$F$1)*'系统实绩导入'!$G$4:$R$1500))</f>
        <v/>
      </c>
      <c r="L21" s="39">
        <f>IF($B21="","",IFERROR(K21/J21,""))</f>
        <v/>
      </c>
      <c r="M21" s="38">
        <f>IF($B21="","",SUMIFS('目标填报'!$S$4:$S$1500,'目标填报'!$B$4:$B$1500,$B21,'目标填报'!$C$4:$C$1500,$C21,'目标填报'!$D$4:$D$1500,$D21,'目标填报'!$F$4:$F$1500,"销售目标额"))</f>
        <v/>
      </c>
      <c r="N21" s="39">
        <f>IF($B21="","",IFERROR(J21/M21,""))</f>
        <v/>
      </c>
      <c r="O21" s="40">
        <f>IF($B21="","",J21-M21)</f>
        <v/>
      </c>
      <c r="P21" s="38">
        <f>IF($B21="","",SUMPRODUCT(('目标填报'!$B$4:$B$1500=$B21)*('目标填报'!$C$4:$C$1500=$C21)*('目标填报'!$D$4:$D$1500=$D21)*('目标填报'!$F$4:$F$1500="在手订单")*('目标填报'!$G$3:$R$3=$F$1)*'目标填报'!$G$4:$R$1500))</f>
        <v/>
      </c>
      <c r="Q21" s="38">
        <f>IF($B21="","",SUMPRODUCT(('目标填报'!$B$4:$B$1500=$B21)*('目标填报'!$C$4:$C$1500=$C21)*('目标填报'!$D$4:$D$1500=$D21)*('目标填报'!$F$4:$F$1500="在手订单目标")*('目标填报'!$G$3:$R$3=$F$1)*'目标填报'!$G$4:$R$1500))</f>
        <v/>
      </c>
      <c r="R21" s="39">
        <f>IF($B21="","",IFERROR(P21/Q21,""))</f>
        <v/>
      </c>
      <c r="S21" s="38">
        <f>IF($B21="","",SUMPRODUCT(('目标填报'!$B$4:$B$1500=$B21)*('目标填报'!$C$4:$C$1500=$C21)*('目标填报'!$D$4:$D$1500=$D21)*('目标填报'!$F$4:$F$1500="目标客户机会")*('目标填报'!$G$3:$R$3=$F$1)*'目标填报'!$G$4:$R$1500))</f>
        <v/>
      </c>
      <c r="T21" s="38">
        <f>IF($B21="","",SUMPRODUCT(('目标填报'!$B$4:$B$1500=$B21)*('目标填报'!$C$4:$C$1500=$C21)*('目标填报'!$D$4:$D$1500=$D21)*('目标填报'!$F$4:$F$1500="目标客户机会目标")*('目标填报'!$G$3:$R$3=$F$1)*'目标填报'!$G$4:$R$1500))</f>
        <v/>
      </c>
      <c r="U21" s="39">
        <f>IF($B21="","",IFERROR(S21/T21,""))</f>
        <v/>
      </c>
      <c r="V21" s="38">
        <f>IF($B21="","",P21+S21)</f>
        <v/>
      </c>
      <c r="W21" s="38">
        <f>IF($B21="","",M21-J21)</f>
        <v/>
      </c>
      <c r="X21" s="39">
        <f>IF($B21="","",IFERROR(V21/W21,""))</f>
        <v/>
      </c>
      <c r="Y21" s="40">
        <f>IF($B21="","",V21-W21)</f>
        <v/>
      </c>
    </row>
    <row r="22">
      <c r="A22" s="37">
        <f>IF($B22="","",ROW()-3)</f>
        <v/>
      </c>
      <c r="B22" s="13">
        <f>IF(18+1&gt;COUNTA('维度字典'!$C$2:$C$200)*COUNTA('维度字典'!$A$2:$A$200)*COUNTA('维度字典'!$E$2:$E$200),"",INDEX('维度字典'!$C$2:$C$200,MOD(INT(18/(COUNTA('维度字典'!$E$2:$E$200)*COUNTA('维度字典'!$A$2:$A$200))),COUNTA('维度字典'!$C$2:$C$200))+1))</f>
        <v/>
      </c>
      <c r="C22" s="13">
        <f>IF($B22="","",INDEX('维度字典'!$A$2:$A$200,MOD(INT(18/COUNTA('维度字典'!$E$2:$E$200)),COUNTA('维度字典'!$A$2:$A$200))+1))</f>
        <v/>
      </c>
      <c r="D22" s="13">
        <f>IF($B22="","",INDEX('维度字典'!$E$2:$E$200,MOD(18,COUNTA('维度字典'!$E$2:$E$200))+1))</f>
        <v/>
      </c>
      <c r="E22" s="38">
        <f>IF($B22="","",SUMPRODUCT(('系统实绩导入'!$B$4:$B$1500=$B22)*('系统实绩导入'!$C$4:$C$1500=$C22)*('系统实绩导入'!$D$4:$D$1500=$D22)*('系统实绩导入'!$F$4:$F$1500="实绩销售额")*('系统实绩导入'!$G$3:$R$3=$F$1)*'系统实绩导入'!$G$4:$R$1500))</f>
        <v/>
      </c>
      <c r="F22" s="38">
        <f>IF($B22="","",SUMPRODUCT(('系统实绩导入'!$B$4:$B$1500=$B22)*('系统实绩导入'!$C$4:$C$1500=$C22)*('系统实绩导入'!$D$4:$D$1500=$D22)*('系统实绩导入'!$F$4:$F$1500="实绩毛利")*('系统实绩导入'!$G$3:$R$3=$F$1)*'系统实绩导入'!$G$4:$R$1500))</f>
        <v/>
      </c>
      <c r="G22" s="39">
        <f>IF($B22="","",IFERROR(F22/E22,""))</f>
        <v/>
      </c>
      <c r="H22" s="38">
        <f>IF($B22="","",SUMPRODUCT(('目标填报'!$B$4:$B$1500=$B22)*('目标填报'!$C$4:$C$1500=$C22)*('目标填报'!$D$4:$D$1500=$D22)*('目标填报'!$F$4:$F$1500="销售目标额")*('目标填报'!$G$3:$R$3=$F$1)*'目标填报'!$G$4:$R$1500))</f>
        <v/>
      </c>
      <c r="I22" s="39">
        <f>IF($B22="","",IFERROR(E22/H22,""))</f>
        <v/>
      </c>
      <c r="J22" s="38">
        <f>IF($B22="","",SUMPRODUCT(('系统实绩导入'!$B$4:$B$1500=$B22)*('系统实绩导入'!$C$4:$C$1500=$C22)*('系统实绩导入'!$D$4:$D$1500=$D22)*('系统实绩导入'!$F$4:$F$1500="实绩销售额")*('系统实绩导入'!$G$3:$R$3&lt;=$F$1)*'系统实绩导入'!$G$4:$R$1500))</f>
        <v/>
      </c>
      <c r="K22" s="38">
        <f>IF($B22="","",SUMPRODUCT(('系统实绩导入'!$B$4:$B$1500=$B22)*('系统实绩导入'!$C$4:$C$1500=$C22)*('系统实绩导入'!$D$4:$D$1500=$D22)*('系统实绩导入'!$F$4:$F$1500="实绩毛利")*('系统实绩导入'!$G$3:$R$3&lt;=$F$1)*'系统实绩导入'!$G$4:$R$1500))</f>
        <v/>
      </c>
      <c r="L22" s="39">
        <f>IF($B22="","",IFERROR(K22/J22,""))</f>
        <v/>
      </c>
      <c r="M22" s="38">
        <f>IF($B22="","",SUMIFS('目标填报'!$S$4:$S$1500,'目标填报'!$B$4:$B$1500,$B22,'目标填报'!$C$4:$C$1500,$C22,'目标填报'!$D$4:$D$1500,$D22,'目标填报'!$F$4:$F$1500,"销售目标额"))</f>
        <v/>
      </c>
      <c r="N22" s="39">
        <f>IF($B22="","",IFERROR(J22/M22,""))</f>
        <v/>
      </c>
      <c r="O22" s="40">
        <f>IF($B22="","",J22-M22)</f>
        <v/>
      </c>
      <c r="P22" s="38">
        <f>IF($B22="","",SUMPRODUCT(('目标填报'!$B$4:$B$1500=$B22)*('目标填报'!$C$4:$C$1500=$C22)*('目标填报'!$D$4:$D$1500=$D22)*('目标填报'!$F$4:$F$1500="在手订单")*('目标填报'!$G$3:$R$3=$F$1)*'目标填报'!$G$4:$R$1500))</f>
        <v/>
      </c>
      <c r="Q22" s="38">
        <f>IF($B22="","",SUMPRODUCT(('目标填报'!$B$4:$B$1500=$B22)*('目标填报'!$C$4:$C$1500=$C22)*('目标填报'!$D$4:$D$1500=$D22)*('目标填报'!$F$4:$F$1500="在手订单目标")*('目标填报'!$G$3:$R$3=$F$1)*'目标填报'!$G$4:$R$1500))</f>
        <v/>
      </c>
      <c r="R22" s="39">
        <f>IF($B22="","",IFERROR(P22/Q22,""))</f>
        <v/>
      </c>
      <c r="S22" s="38">
        <f>IF($B22="","",SUMPRODUCT(('目标填报'!$B$4:$B$1500=$B22)*('目标填报'!$C$4:$C$1500=$C22)*('目标填报'!$D$4:$D$1500=$D22)*('目标填报'!$F$4:$F$1500="目标客户机会")*('目标填报'!$G$3:$R$3=$F$1)*'目标填报'!$G$4:$R$1500))</f>
        <v/>
      </c>
      <c r="T22" s="38">
        <f>IF($B22="","",SUMPRODUCT(('目标填报'!$B$4:$B$1500=$B22)*('目标填报'!$C$4:$C$1500=$C22)*('目标填报'!$D$4:$D$1500=$D22)*('目标填报'!$F$4:$F$1500="目标客户机会目标")*('目标填报'!$G$3:$R$3=$F$1)*'目标填报'!$G$4:$R$1500))</f>
        <v/>
      </c>
      <c r="U22" s="39">
        <f>IF($B22="","",IFERROR(S22/T22,""))</f>
        <v/>
      </c>
      <c r="V22" s="38">
        <f>IF($B22="","",P22+S22)</f>
        <v/>
      </c>
      <c r="W22" s="38">
        <f>IF($B22="","",M22-J22)</f>
        <v/>
      </c>
      <c r="X22" s="39">
        <f>IF($B22="","",IFERROR(V22/W22,""))</f>
        <v/>
      </c>
      <c r="Y22" s="40">
        <f>IF($B22="","",V22-W22)</f>
        <v/>
      </c>
    </row>
    <row r="23">
      <c r="A23" s="37">
        <f>IF($B23="","",ROW()-3)</f>
        <v/>
      </c>
      <c r="B23" s="13">
        <f>IF(19+1&gt;COUNTA('维度字典'!$C$2:$C$200)*COUNTA('维度字典'!$A$2:$A$200)*COUNTA('维度字典'!$E$2:$E$200),"",INDEX('维度字典'!$C$2:$C$200,MOD(INT(19/(COUNTA('维度字典'!$E$2:$E$200)*COUNTA('维度字典'!$A$2:$A$200))),COUNTA('维度字典'!$C$2:$C$200))+1))</f>
        <v/>
      </c>
      <c r="C23" s="13">
        <f>IF($B23="","",INDEX('维度字典'!$A$2:$A$200,MOD(INT(19/COUNTA('维度字典'!$E$2:$E$200)),COUNTA('维度字典'!$A$2:$A$200))+1))</f>
        <v/>
      </c>
      <c r="D23" s="13">
        <f>IF($B23="","",INDEX('维度字典'!$E$2:$E$200,MOD(19,COUNTA('维度字典'!$E$2:$E$200))+1))</f>
        <v/>
      </c>
      <c r="E23" s="38">
        <f>IF($B23="","",SUMPRODUCT(('系统实绩导入'!$B$4:$B$1500=$B23)*('系统实绩导入'!$C$4:$C$1500=$C23)*('系统实绩导入'!$D$4:$D$1500=$D23)*('系统实绩导入'!$F$4:$F$1500="实绩销售额")*('系统实绩导入'!$G$3:$R$3=$F$1)*'系统实绩导入'!$G$4:$R$1500))</f>
        <v/>
      </c>
      <c r="F23" s="38">
        <f>IF($B23="","",SUMPRODUCT(('系统实绩导入'!$B$4:$B$1500=$B23)*('系统实绩导入'!$C$4:$C$1500=$C23)*('系统实绩导入'!$D$4:$D$1500=$D23)*('系统实绩导入'!$F$4:$F$1500="实绩毛利")*('系统实绩导入'!$G$3:$R$3=$F$1)*'系统实绩导入'!$G$4:$R$1500))</f>
        <v/>
      </c>
      <c r="G23" s="39">
        <f>IF($B23="","",IFERROR(F23/E23,""))</f>
        <v/>
      </c>
      <c r="H23" s="38">
        <f>IF($B23="","",SUMPRODUCT(('目标填报'!$B$4:$B$1500=$B23)*('目标填报'!$C$4:$C$1500=$C23)*('目标填报'!$D$4:$D$1500=$D23)*('目标填报'!$F$4:$F$1500="销售目标额")*('目标填报'!$G$3:$R$3=$F$1)*'目标填报'!$G$4:$R$1500))</f>
        <v/>
      </c>
      <c r="I23" s="39">
        <f>IF($B23="","",IFERROR(E23/H23,""))</f>
        <v/>
      </c>
      <c r="J23" s="38">
        <f>IF($B23="","",SUMPRODUCT(('系统实绩导入'!$B$4:$B$1500=$B23)*('系统实绩导入'!$C$4:$C$1500=$C23)*('系统实绩导入'!$D$4:$D$1500=$D23)*('系统实绩导入'!$F$4:$F$1500="实绩销售额")*('系统实绩导入'!$G$3:$R$3&lt;=$F$1)*'系统实绩导入'!$G$4:$R$1500))</f>
        <v/>
      </c>
      <c r="K23" s="38">
        <f>IF($B23="","",SUMPRODUCT(('系统实绩导入'!$B$4:$B$1500=$B23)*('系统实绩导入'!$C$4:$C$1500=$C23)*('系统实绩导入'!$D$4:$D$1500=$D23)*('系统实绩导入'!$F$4:$F$1500="实绩毛利")*('系统实绩导入'!$G$3:$R$3&lt;=$F$1)*'系统实绩导入'!$G$4:$R$1500))</f>
        <v/>
      </c>
      <c r="L23" s="39">
        <f>IF($B23="","",IFERROR(K23/J23,""))</f>
        <v/>
      </c>
      <c r="M23" s="38">
        <f>IF($B23="","",SUMIFS('目标填报'!$S$4:$S$1500,'目标填报'!$B$4:$B$1500,$B23,'目标填报'!$C$4:$C$1500,$C23,'目标填报'!$D$4:$D$1500,$D23,'目标填报'!$F$4:$F$1500,"销售目标额"))</f>
        <v/>
      </c>
      <c r="N23" s="39">
        <f>IF($B23="","",IFERROR(J23/M23,""))</f>
        <v/>
      </c>
      <c r="O23" s="40">
        <f>IF($B23="","",J23-M23)</f>
        <v/>
      </c>
      <c r="P23" s="38">
        <f>IF($B23="","",SUMPRODUCT(('目标填报'!$B$4:$B$1500=$B23)*('目标填报'!$C$4:$C$1500=$C23)*('目标填报'!$D$4:$D$1500=$D23)*('目标填报'!$F$4:$F$1500="在手订单")*('目标填报'!$G$3:$R$3=$F$1)*'目标填报'!$G$4:$R$1500))</f>
        <v/>
      </c>
      <c r="Q23" s="38">
        <f>IF($B23="","",SUMPRODUCT(('目标填报'!$B$4:$B$1500=$B23)*('目标填报'!$C$4:$C$1500=$C23)*('目标填报'!$D$4:$D$1500=$D23)*('目标填报'!$F$4:$F$1500="在手订单目标")*('目标填报'!$G$3:$R$3=$F$1)*'目标填报'!$G$4:$R$1500))</f>
        <v/>
      </c>
      <c r="R23" s="39">
        <f>IF($B23="","",IFERROR(P23/Q23,""))</f>
        <v/>
      </c>
      <c r="S23" s="38">
        <f>IF($B23="","",SUMPRODUCT(('目标填报'!$B$4:$B$1500=$B23)*('目标填报'!$C$4:$C$1500=$C23)*('目标填报'!$D$4:$D$1500=$D23)*('目标填报'!$F$4:$F$1500="目标客户机会")*('目标填报'!$G$3:$R$3=$F$1)*'目标填报'!$G$4:$R$1500))</f>
        <v/>
      </c>
      <c r="T23" s="38">
        <f>IF($B23="","",SUMPRODUCT(('目标填报'!$B$4:$B$1500=$B23)*('目标填报'!$C$4:$C$1500=$C23)*('目标填报'!$D$4:$D$1500=$D23)*('目标填报'!$F$4:$F$1500="目标客户机会目标")*('目标填报'!$G$3:$R$3=$F$1)*'目标填报'!$G$4:$R$1500))</f>
        <v/>
      </c>
      <c r="U23" s="39">
        <f>IF($B23="","",IFERROR(S23/T23,""))</f>
        <v/>
      </c>
      <c r="V23" s="38">
        <f>IF($B23="","",P23+S23)</f>
        <v/>
      </c>
      <c r="W23" s="38">
        <f>IF($B23="","",M23-J23)</f>
        <v/>
      </c>
      <c r="X23" s="39">
        <f>IF($B23="","",IFERROR(V23/W23,""))</f>
        <v/>
      </c>
      <c r="Y23" s="40">
        <f>IF($B23="","",V23-W23)</f>
        <v/>
      </c>
    </row>
    <row r="24">
      <c r="A24" s="37">
        <f>IF($B24="","",ROW()-3)</f>
        <v/>
      </c>
      <c r="B24" s="13">
        <f>IF(20+1&gt;COUNTA('维度字典'!$C$2:$C$200)*COUNTA('维度字典'!$A$2:$A$200)*COUNTA('维度字典'!$E$2:$E$200),"",INDEX('维度字典'!$C$2:$C$200,MOD(INT(20/(COUNTA('维度字典'!$E$2:$E$200)*COUNTA('维度字典'!$A$2:$A$200))),COUNTA('维度字典'!$C$2:$C$200))+1))</f>
        <v/>
      </c>
      <c r="C24" s="13">
        <f>IF($B24="","",INDEX('维度字典'!$A$2:$A$200,MOD(INT(20/COUNTA('维度字典'!$E$2:$E$200)),COUNTA('维度字典'!$A$2:$A$200))+1))</f>
        <v/>
      </c>
      <c r="D24" s="13">
        <f>IF($B24="","",INDEX('维度字典'!$E$2:$E$200,MOD(20,COUNTA('维度字典'!$E$2:$E$200))+1))</f>
        <v/>
      </c>
      <c r="E24" s="38">
        <f>IF($B24="","",SUMPRODUCT(('系统实绩导入'!$B$4:$B$1500=$B24)*('系统实绩导入'!$C$4:$C$1500=$C24)*('系统实绩导入'!$D$4:$D$1500=$D24)*('系统实绩导入'!$F$4:$F$1500="实绩销售额")*('系统实绩导入'!$G$3:$R$3=$F$1)*'系统实绩导入'!$G$4:$R$1500))</f>
        <v/>
      </c>
      <c r="F24" s="38">
        <f>IF($B24="","",SUMPRODUCT(('系统实绩导入'!$B$4:$B$1500=$B24)*('系统实绩导入'!$C$4:$C$1500=$C24)*('系统实绩导入'!$D$4:$D$1500=$D24)*('系统实绩导入'!$F$4:$F$1500="实绩毛利")*('系统实绩导入'!$G$3:$R$3=$F$1)*'系统实绩导入'!$G$4:$R$1500))</f>
        <v/>
      </c>
      <c r="G24" s="39">
        <f>IF($B24="","",IFERROR(F24/E24,""))</f>
        <v/>
      </c>
      <c r="H24" s="38">
        <f>IF($B24="","",SUMPRODUCT(('目标填报'!$B$4:$B$1500=$B24)*('目标填报'!$C$4:$C$1500=$C24)*('目标填报'!$D$4:$D$1500=$D24)*('目标填报'!$F$4:$F$1500="销售目标额")*('目标填报'!$G$3:$R$3=$F$1)*'目标填报'!$G$4:$R$1500))</f>
        <v/>
      </c>
      <c r="I24" s="39">
        <f>IF($B24="","",IFERROR(E24/H24,""))</f>
        <v/>
      </c>
      <c r="J24" s="38">
        <f>IF($B24="","",SUMPRODUCT(('系统实绩导入'!$B$4:$B$1500=$B24)*('系统实绩导入'!$C$4:$C$1500=$C24)*('系统实绩导入'!$D$4:$D$1500=$D24)*('系统实绩导入'!$F$4:$F$1500="实绩销售额")*('系统实绩导入'!$G$3:$R$3&lt;=$F$1)*'系统实绩导入'!$G$4:$R$1500))</f>
        <v/>
      </c>
      <c r="K24" s="38">
        <f>IF($B24="","",SUMPRODUCT(('系统实绩导入'!$B$4:$B$1500=$B24)*('系统实绩导入'!$C$4:$C$1500=$C24)*('系统实绩导入'!$D$4:$D$1500=$D24)*('系统实绩导入'!$F$4:$F$1500="实绩毛利")*('系统实绩导入'!$G$3:$R$3&lt;=$F$1)*'系统实绩导入'!$G$4:$R$1500))</f>
        <v/>
      </c>
      <c r="L24" s="39">
        <f>IF($B24="","",IFERROR(K24/J24,""))</f>
        <v/>
      </c>
      <c r="M24" s="38">
        <f>IF($B24="","",SUMIFS('目标填报'!$S$4:$S$1500,'目标填报'!$B$4:$B$1500,$B24,'目标填报'!$C$4:$C$1500,$C24,'目标填报'!$D$4:$D$1500,$D24,'目标填报'!$F$4:$F$1500,"销售目标额"))</f>
        <v/>
      </c>
      <c r="N24" s="39">
        <f>IF($B24="","",IFERROR(J24/M24,""))</f>
        <v/>
      </c>
      <c r="O24" s="40">
        <f>IF($B24="","",J24-M24)</f>
        <v/>
      </c>
      <c r="P24" s="38">
        <f>IF($B24="","",SUMPRODUCT(('目标填报'!$B$4:$B$1500=$B24)*('目标填报'!$C$4:$C$1500=$C24)*('目标填报'!$D$4:$D$1500=$D24)*('目标填报'!$F$4:$F$1500="在手订单")*('目标填报'!$G$3:$R$3=$F$1)*'目标填报'!$G$4:$R$1500))</f>
        <v/>
      </c>
      <c r="Q24" s="38">
        <f>IF($B24="","",SUMPRODUCT(('目标填报'!$B$4:$B$1500=$B24)*('目标填报'!$C$4:$C$1500=$C24)*('目标填报'!$D$4:$D$1500=$D24)*('目标填报'!$F$4:$F$1500="在手订单目标")*('目标填报'!$G$3:$R$3=$F$1)*'目标填报'!$G$4:$R$1500))</f>
        <v/>
      </c>
      <c r="R24" s="39">
        <f>IF($B24="","",IFERROR(P24/Q24,""))</f>
        <v/>
      </c>
      <c r="S24" s="38">
        <f>IF($B24="","",SUMPRODUCT(('目标填报'!$B$4:$B$1500=$B24)*('目标填报'!$C$4:$C$1500=$C24)*('目标填报'!$D$4:$D$1500=$D24)*('目标填报'!$F$4:$F$1500="目标客户机会")*('目标填报'!$G$3:$R$3=$F$1)*'目标填报'!$G$4:$R$1500))</f>
        <v/>
      </c>
      <c r="T24" s="38">
        <f>IF($B24="","",SUMPRODUCT(('目标填报'!$B$4:$B$1500=$B24)*('目标填报'!$C$4:$C$1500=$C24)*('目标填报'!$D$4:$D$1500=$D24)*('目标填报'!$F$4:$F$1500="目标客户机会目标")*('目标填报'!$G$3:$R$3=$F$1)*'目标填报'!$G$4:$R$1500))</f>
        <v/>
      </c>
      <c r="U24" s="39">
        <f>IF($B24="","",IFERROR(S24/T24,""))</f>
        <v/>
      </c>
      <c r="V24" s="38">
        <f>IF($B24="","",P24+S24)</f>
        <v/>
      </c>
      <c r="W24" s="38">
        <f>IF($B24="","",M24-J24)</f>
        <v/>
      </c>
      <c r="X24" s="39">
        <f>IF($B24="","",IFERROR(V24/W24,""))</f>
        <v/>
      </c>
      <c r="Y24" s="40">
        <f>IF($B24="","",V24-W24)</f>
        <v/>
      </c>
    </row>
    <row r="25">
      <c r="A25" s="37">
        <f>IF($B25="","",ROW()-3)</f>
        <v/>
      </c>
      <c r="B25" s="13">
        <f>IF(21+1&gt;COUNTA('维度字典'!$C$2:$C$200)*COUNTA('维度字典'!$A$2:$A$200)*COUNTA('维度字典'!$E$2:$E$200),"",INDEX('维度字典'!$C$2:$C$200,MOD(INT(21/(COUNTA('维度字典'!$E$2:$E$200)*COUNTA('维度字典'!$A$2:$A$200))),COUNTA('维度字典'!$C$2:$C$200))+1))</f>
        <v/>
      </c>
      <c r="C25" s="13">
        <f>IF($B25="","",INDEX('维度字典'!$A$2:$A$200,MOD(INT(21/COUNTA('维度字典'!$E$2:$E$200)),COUNTA('维度字典'!$A$2:$A$200))+1))</f>
        <v/>
      </c>
      <c r="D25" s="13">
        <f>IF($B25="","",INDEX('维度字典'!$E$2:$E$200,MOD(21,COUNTA('维度字典'!$E$2:$E$200))+1))</f>
        <v/>
      </c>
      <c r="E25" s="38">
        <f>IF($B25="","",SUMPRODUCT(('系统实绩导入'!$B$4:$B$1500=$B25)*('系统实绩导入'!$C$4:$C$1500=$C25)*('系统实绩导入'!$D$4:$D$1500=$D25)*('系统实绩导入'!$F$4:$F$1500="实绩销售额")*('系统实绩导入'!$G$3:$R$3=$F$1)*'系统实绩导入'!$G$4:$R$1500))</f>
        <v/>
      </c>
      <c r="F25" s="38">
        <f>IF($B25="","",SUMPRODUCT(('系统实绩导入'!$B$4:$B$1500=$B25)*('系统实绩导入'!$C$4:$C$1500=$C25)*('系统实绩导入'!$D$4:$D$1500=$D25)*('系统实绩导入'!$F$4:$F$1500="实绩毛利")*('系统实绩导入'!$G$3:$R$3=$F$1)*'系统实绩导入'!$G$4:$R$1500))</f>
        <v/>
      </c>
      <c r="G25" s="39">
        <f>IF($B25="","",IFERROR(F25/E25,""))</f>
        <v/>
      </c>
      <c r="H25" s="38">
        <f>IF($B25="","",SUMPRODUCT(('目标填报'!$B$4:$B$1500=$B25)*('目标填报'!$C$4:$C$1500=$C25)*('目标填报'!$D$4:$D$1500=$D25)*('目标填报'!$F$4:$F$1500="销售目标额")*('目标填报'!$G$3:$R$3=$F$1)*'目标填报'!$G$4:$R$1500))</f>
        <v/>
      </c>
      <c r="I25" s="39">
        <f>IF($B25="","",IFERROR(E25/H25,""))</f>
        <v/>
      </c>
      <c r="J25" s="38">
        <f>IF($B25="","",SUMPRODUCT(('系统实绩导入'!$B$4:$B$1500=$B25)*('系统实绩导入'!$C$4:$C$1500=$C25)*('系统实绩导入'!$D$4:$D$1500=$D25)*('系统实绩导入'!$F$4:$F$1500="实绩销售额")*('系统实绩导入'!$G$3:$R$3&lt;=$F$1)*'系统实绩导入'!$G$4:$R$1500))</f>
        <v/>
      </c>
      <c r="K25" s="38">
        <f>IF($B25="","",SUMPRODUCT(('系统实绩导入'!$B$4:$B$1500=$B25)*('系统实绩导入'!$C$4:$C$1500=$C25)*('系统实绩导入'!$D$4:$D$1500=$D25)*('系统实绩导入'!$F$4:$F$1500="实绩毛利")*('系统实绩导入'!$G$3:$R$3&lt;=$F$1)*'系统实绩导入'!$G$4:$R$1500))</f>
        <v/>
      </c>
      <c r="L25" s="39">
        <f>IF($B25="","",IFERROR(K25/J25,""))</f>
        <v/>
      </c>
      <c r="M25" s="38">
        <f>IF($B25="","",SUMIFS('目标填报'!$S$4:$S$1500,'目标填报'!$B$4:$B$1500,$B25,'目标填报'!$C$4:$C$1500,$C25,'目标填报'!$D$4:$D$1500,$D25,'目标填报'!$F$4:$F$1500,"销售目标额"))</f>
        <v/>
      </c>
      <c r="N25" s="39">
        <f>IF($B25="","",IFERROR(J25/M25,""))</f>
        <v/>
      </c>
      <c r="O25" s="40">
        <f>IF($B25="","",J25-M25)</f>
        <v/>
      </c>
      <c r="P25" s="38">
        <f>IF($B25="","",SUMPRODUCT(('目标填报'!$B$4:$B$1500=$B25)*('目标填报'!$C$4:$C$1500=$C25)*('目标填报'!$D$4:$D$1500=$D25)*('目标填报'!$F$4:$F$1500="在手订单")*('目标填报'!$G$3:$R$3=$F$1)*'目标填报'!$G$4:$R$1500))</f>
        <v/>
      </c>
      <c r="Q25" s="38">
        <f>IF($B25="","",SUMPRODUCT(('目标填报'!$B$4:$B$1500=$B25)*('目标填报'!$C$4:$C$1500=$C25)*('目标填报'!$D$4:$D$1500=$D25)*('目标填报'!$F$4:$F$1500="在手订单目标")*('目标填报'!$G$3:$R$3=$F$1)*'目标填报'!$G$4:$R$1500))</f>
        <v/>
      </c>
      <c r="R25" s="39">
        <f>IF($B25="","",IFERROR(P25/Q25,""))</f>
        <v/>
      </c>
      <c r="S25" s="38">
        <f>IF($B25="","",SUMPRODUCT(('目标填报'!$B$4:$B$1500=$B25)*('目标填报'!$C$4:$C$1500=$C25)*('目标填报'!$D$4:$D$1500=$D25)*('目标填报'!$F$4:$F$1500="目标客户机会")*('目标填报'!$G$3:$R$3=$F$1)*'目标填报'!$G$4:$R$1500))</f>
        <v/>
      </c>
      <c r="T25" s="38">
        <f>IF($B25="","",SUMPRODUCT(('目标填报'!$B$4:$B$1500=$B25)*('目标填报'!$C$4:$C$1500=$C25)*('目标填报'!$D$4:$D$1500=$D25)*('目标填报'!$F$4:$F$1500="目标客户机会目标")*('目标填报'!$G$3:$R$3=$F$1)*'目标填报'!$G$4:$R$1500))</f>
        <v/>
      </c>
      <c r="U25" s="39">
        <f>IF($B25="","",IFERROR(S25/T25,""))</f>
        <v/>
      </c>
      <c r="V25" s="38">
        <f>IF($B25="","",P25+S25)</f>
        <v/>
      </c>
      <c r="W25" s="38">
        <f>IF($B25="","",M25-J25)</f>
        <v/>
      </c>
      <c r="X25" s="39">
        <f>IF($B25="","",IFERROR(V25/W25,""))</f>
        <v/>
      </c>
      <c r="Y25" s="40">
        <f>IF($B25="","",V25-W25)</f>
        <v/>
      </c>
    </row>
    <row r="26">
      <c r="A26" s="37">
        <f>IF($B26="","",ROW()-3)</f>
        <v/>
      </c>
      <c r="B26" s="13">
        <f>IF(22+1&gt;COUNTA('维度字典'!$C$2:$C$200)*COUNTA('维度字典'!$A$2:$A$200)*COUNTA('维度字典'!$E$2:$E$200),"",INDEX('维度字典'!$C$2:$C$200,MOD(INT(22/(COUNTA('维度字典'!$E$2:$E$200)*COUNTA('维度字典'!$A$2:$A$200))),COUNTA('维度字典'!$C$2:$C$200))+1))</f>
        <v/>
      </c>
      <c r="C26" s="13">
        <f>IF($B26="","",INDEX('维度字典'!$A$2:$A$200,MOD(INT(22/COUNTA('维度字典'!$E$2:$E$200)),COUNTA('维度字典'!$A$2:$A$200))+1))</f>
        <v/>
      </c>
      <c r="D26" s="13">
        <f>IF($B26="","",INDEX('维度字典'!$E$2:$E$200,MOD(22,COUNTA('维度字典'!$E$2:$E$200))+1))</f>
        <v/>
      </c>
      <c r="E26" s="38">
        <f>IF($B26="","",SUMPRODUCT(('系统实绩导入'!$B$4:$B$1500=$B26)*('系统实绩导入'!$C$4:$C$1500=$C26)*('系统实绩导入'!$D$4:$D$1500=$D26)*('系统实绩导入'!$F$4:$F$1500="实绩销售额")*('系统实绩导入'!$G$3:$R$3=$F$1)*'系统实绩导入'!$G$4:$R$1500))</f>
        <v/>
      </c>
      <c r="F26" s="38">
        <f>IF($B26="","",SUMPRODUCT(('系统实绩导入'!$B$4:$B$1500=$B26)*('系统实绩导入'!$C$4:$C$1500=$C26)*('系统实绩导入'!$D$4:$D$1500=$D26)*('系统实绩导入'!$F$4:$F$1500="实绩毛利")*('系统实绩导入'!$G$3:$R$3=$F$1)*'系统实绩导入'!$G$4:$R$1500))</f>
        <v/>
      </c>
      <c r="G26" s="39">
        <f>IF($B26="","",IFERROR(F26/E26,""))</f>
        <v/>
      </c>
      <c r="H26" s="38">
        <f>IF($B26="","",SUMPRODUCT(('目标填报'!$B$4:$B$1500=$B26)*('目标填报'!$C$4:$C$1500=$C26)*('目标填报'!$D$4:$D$1500=$D26)*('目标填报'!$F$4:$F$1500="销售目标额")*('目标填报'!$G$3:$R$3=$F$1)*'目标填报'!$G$4:$R$1500))</f>
        <v/>
      </c>
      <c r="I26" s="39">
        <f>IF($B26="","",IFERROR(E26/H26,""))</f>
        <v/>
      </c>
      <c r="J26" s="38">
        <f>IF($B26="","",SUMPRODUCT(('系统实绩导入'!$B$4:$B$1500=$B26)*('系统实绩导入'!$C$4:$C$1500=$C26)*('系统实绩导入'!$D$4:$D$1500=$D26)*('系统实绩导入'!$F$4:$F$1500="实绩销售额")*('系统实绩导入'!$G$3:$R$3&lt;=$F$1)*'系统实绩导入'!$G$4:$R$1500))</f>
        <v/>
      </c>
      <c r="K26" s="38">
        <f>IF($B26="","",SUMPRODUCT(('系统实绩导入'!$B$4:$B$1500=$B26)*('系统实绩导入'!$C$4:$C$1500=$C26)*('系统实绩导入'!$D$4:$D$1500=$D26)*('系统实绩导入'!$F$4:$F$1500="实绩毛利")*('系统实绩导入'!$G$3:$R$3&lt;=$F$1)*'系统实绩导入'!$G$4:$R$1500))</f>
        <v/>
      </c>
      <c r="L26" s="39">
        <f>IF($B26="","",IFERROR(K26/J26,""))</f>
        <v/>
      </c>
      <c r="M26" s="38">
        <f>IF($B26="","",SUMIFS('目标填报'!$S$4:$S$1500,'目标填报'!$B$4:$B$1500,$B26,'目标填报'!$C$4:$C$1500,$C26,'目标填报'!$D$4:$D$1500,$D26,'目标填报'!$F$4:$F$1500,"销售目标额"))</f>
        <v/>
      </c>
      <c r="N26" s="39">
        <f>IF($B26="","",IFERROR(J26/M26,""))</f>
        <v/>
      </c>
      <c r="O26" s="40">
        <f>IF($B26="","",J26-M26)</f>
        <v/>
      </c>
      <c r="P26" s="38">
        <f>IF($B26="","",SUMPRODUCT(('目标填报'!$B$4:$B$1500=$B26)*('目标填报'!$C$4:$C$1500=$C26)*('目标填报'!$D$4:$D$1500=$D26)*('目标填报'!$F$4:$F$1500="在手订单")*('目标填报'!$G$3:$R$3=$F$1)*'目标填报'!$G$4:$R$1500))</f>
        <v/>
      </c>
      <c r="Q26" s="38">
        <f>IF($B26="","",SUMPRODUCT(('目标填报'!$B$4:$B$1500=$B26)*('目标填报'!$C$4:$C$1500=$C26)*('目标填报'!$D$4:$D$1500=$D26)*('目标填报'!$F$4:$F$1500="在手订单目标")*('目标填报'!$G$3:$R$3=$F$1)*'目标填报'!$G$4:$R$1500))</f>
        <v/>
      </c>
      <c r="R26" s="39">
        <f>IF($B26="","",IFERROR(P26/Q26,""))</f>
        <v/>
      </c>
      <c r="S26" s="38">
        <f>IF($B26="","",SUMPRODUCT(('目标填报'!$B$4:$B$1500=$B26)*('目标填报'!$C$4:$C$1500=$C26)*('目标填报'!$D$4:$D$1500=$D26)*('目标填报'!$F$4:$F$1500="目标客户机会")*('目标填报'!$G$3:$R$3=$F$1)*'目标填报'!$G$4:$R$1500))</f>
        <v/>
      </c>
      <c r="T26" s="38">
        <f>IF($B26="","",SUMPRODUCT(('目标填报'!$B$4:$B$1500=$B26)*('目标填报'!$C$4:$C$1500=$C26)*('目标填报'!$D$4:$D$1500=$D26)*('目标填报'!$F$4:$F$1500="目标客户机会目标")*('目标填报'!$G$3:$R$3=$F$1)*'目标填报'!$G$4:$R$1500))</f>
        <v/>
      </c>
      <c r="U26" s="39">
        <f>IF($B26="","",IFERROR(S26/T26,""))</f>
        <v/>
      </c>
      <c r="V26" s="38">
        <f>IF($B26="","",P26+S26)</f>
        <v/>
      </c>
      <c r="W26" s="38">
        <f>IF($B26="","",M26-J26)</f>
        <v/>
      </c>
      <c r="X26" s="39">
        <f>IF($B26="","",IFERROR(V26/W26,""))</f>
        <v/>
      </c>
      <c r="Y26" s="40">
        <f>IF($B26="","",V26-W26)</f>
        <v/>
      </c>
    </row>
    <row r="27">
      <c r="A27" s="37">
        <f>IF($B27="","",ROW()-3)</f>
        <v/>
      </c>
      <c r="B27" s="13">
        <f>IF(23+1&gt;COUNTA('维度字典'!$C$2:$C$200)*COUNTA('维度字典'!$A$2:$A$200)*COUNTA('维度字典'!$E$2:$E$200),"",INDEX('维度字典'!$C$2:$C$200,MOD(INT(23/(COUNTA('维度字典'!$E$2:$E$200)*COUNTA('维度字典'!$A$2:$A$200))),COUNTA('维度字典'!$C$2:$C$200))+1))</f>
        <v/>
      </c>
      <c r="C27" s="13">
        <f>IF($B27="","",INDEX('维度字典'!$A$2:$A$200,MOD(INT(23/COUNTA('维度字典'!$E$2:$E$200)),COUNTA('维度字典'!$A$2:$A$200))+1))</f>
        <v/>
      </c>
      <c r="D27" s="13">
        <f>IF($B27="","",INDEX('维度字典'!$E$2:$E$200,MOD(23,COUNTA('维度字典'!$E$2:$E$200))+1))</f>
        <v/>
      </c>
      <c r="E27" s="38">
        <f>IF($B27="","",SUMPRODUCT(('系统实绩导入'!$B$4:$B$1500=$B27)*('系统实绩导入'!$C$4:$C$1500=$C27)*('系统实绩导入'!$D$4:$D$1500=$D27)*('系统实绩导入'!$F$4:$F$1500="实绩销售额")*('系统实绩导入'!$G$3:$R$3=$F$1)*'系统实绩导入'!$G$4:$R$1500))</f>
        <v/>
      </c>
      <c r="F27" s="38">
        <f>IF($B27="","",SUMPRODUCT(('系统实绩导入'!$B$4:$B$1500=$B27)*('系统实绩导入'!$C$4:$C$1500=$C27)*('系统实绩导入'!$D$4:$D$1500=$D27)*('系统实绩导入'!$F$4:$F$1500="实绩毛利")*('系统实绩导入'!$G$3:$R$3=$F$1)*'系统实绩导入'!$G$4:$R$1500))</f>
        <v/>
      </c>
      <c r="G27" s="39">
        <f>IF($B27="","",IFERROR(F27/E27,""))</f>
        <v/>
      </c>
      <c r="H27" s="38">
        <f>IF($B27="","",SUMPRODUCT(('目标填报'!$B$4:$B$1500=$B27)*('目标填报'!$C$4:$C$1500=$C27)*('目标填报'!$D$4:$D$1500=$D27)*('目标填报'!$F$4:$F$1500="销售目标额")*('目标填报'!$G$3:$R$3=$F$1)*'目标填报'!$G$4:$R$1500))</f>
        <v/>
      </c>
      <c r="I27" s="39">
        <f>IF($B27="","",IFERROR(E27/H27,""))</f>
        <v/>
      </c>
      <c r="J27" s="38">
        <f>IF($B27="","",SUMPRODUCT(('系统实绩导入'!$B$4:$B$1500=$B27)*('系统实绩导入'!$C$4:$C$1500=$C27)*('系统实绩导入'!$D$4:$D$1500=$D27)*('系统实绩导入'!$F$4:$F$1500="实绩销售额")*('系统实绩导入'!$G$3:$R$3&lt;=$F$1)*'系统实绩导入'!$G$4:$R$1500))</f>
        <v/>
      </c>
      <c r="K27" s="38">
        <f>IF($B27="","",SUMPRODUCT(('系统实绩导入'!$B$4:$B$1500=$B27)*('系统实绩导入'!$C$4:$C$1500=$C27)*('系统实绩导入'!$D$4:$D$1500=$D27)*('系统实绩导入'!$F$4:$F$1500="实绩毛利")*('系统实绩导入'!$G$3:$R$3&lt;=$F$1)*'系统实绩导入'!$G$4:$R$1500))</f>
        <v/>
      </c>
      <c r="L27" s="39">
        <f>IF($B27="","",IFERROR(K27/J27,""))</f>
        <v/>
      </c>
      <c r="M27" s="38">
        <f>IF($B27="","",SUMIFS('目标填报'!$S$4:$S$1500,'目标填报'!$B$4:$B$1500,$B27,'目标填报'!$C$4:$C$1500,$C27,'目标填报'!$D$4:$D$1500,$D27,'目标填报'!$F$4:$F$1500,"销售目标额"))</f>
        <v/>
      </c>
      <c r="N27" s="39">
        <f>IF($B27="","",IFERROR(J27/M27,""))</f>
        <v/>
      </c>
      <c r="O27" s="40">
        <f>IF($B27="","",J27-M27)</f>
        <v/>
      </c>
      <c r="P27" s="38">
        <f>IF($B27="","",SUMPRODUCT(('目标填报'!$B$4:$B$1500=$B27)*('目标填报'!$C$4:$C$1500=$C27)*('目标填报'!$D$4:$D$1500=$D27)*('目标填报'!$F$4:$F$1500="在手订单")*('目标填报'!$G$3:$R$3=$F$1)*'目标填报'!$G$4:$R$1500))</f>
        <v/>
      </c>
      <c r="Q27" s="38">
        <f>IF($B27="","",SUMPRODUCT(('目标填报'!$B$4:$B$1500=$B27)*('目标填报'!$C$4:$C$1500=$C27)*('目标填报'!$D$4:$D$1500=$D27)*('目标填报'!$F$4:$F$1500="在手订单目标")*('目标填报'!$G$3:$R$3=$F$1)*'目标填报'!$G$4:$R$1500))</f>
        <v/>
      </c>
      <c r="R27" s="39">
        <f>IF($B27="","",IFERROR(P27/Q27,""))</f>
        <v/>
      </c>
      <c r="S27" s="38">
        <f>IF($B27="","",SUMPRODUCT(('目标填报'!$B$4:$B$1500=$B27)*('目标填报'!$C$4:$C$1500=$C27)*('目标填报'!$D$4:$D$1500=$D27)*('目标填报'!$F$4:$F$1500="目标客户机会")*('目标填报'!$G$3:$R$3=$F$1)*'目标填报'!$G$4:$R$1500))</f>
        <v/>
      </c>
      <c r="T27" s="38">
        <f>IF($B27="","",SUMPRODUCT(('目标填报'!$B$4:$B$1500=$B27)*('目标填报'!$C$4:$C$1500=$C27)*('目标填报'!$D$4:$D$1500=$D27)*('目标填报'!$F$4:$F$1500="目标客户机会目标")*('目标填报'!$G$3:$R$3=$F$1)*'目标填报'!$G$4:$R$1500))</f>
        <v/>
      </c>
      <c r="U27" s="39">
        <f>IF($B27="","",IFERROR(S27/T27,""))</f>
        <v/>
      </c>
      <c r="V27" s="38">
        <f>IF($B27="","",P27+S27)</f>
        <v/>
      </c>
      <c r="W27" s="38">
        <f>IF($B27="","",M27-J27)</f>
        <v/>
      </c>
      <c r="X27" s="39">
        <f>IF($B27="","",IFERROR(V27/W27,""))</f>
        <v/>
      </c>
      <c r="Y27" s="40">
        <f>IF($B27="","",V27-W27)</f>
        <v/>
      </c>
    </row>
    <row r="28">
      <c r="A28" s="37">
        <f>IF($B28="","",ROW()-3)</f>
        <v/>
      </c>
      <c r="B28" s="13">
        <f>IF(24+1&gt;COUNTA('维度字典'!$C$2:$C$200)*COUNTA('维度字典'!$A$2:$A$200)*COUNTA('维度字典'!$E$2:$E$200),"",INDEX('维度字典'!$C$2:$C$200,MOD(INT(24/(COUNTA('维度字典'!$E$2:$E$200)*COUNTA('维度字典'!$A$2:$A$200))),COUNTA('维度字典'!$C$2:$C$200))+1))</f>
        <v/>
      </c>
      <c r="C28" s="13">
        <f>IF($B28="","",INDEX('维度字典'!$A$2:$A$200,MOD(INT(24/COUNTA('维度字典'!$E$2:$E$200)),COUNTA('维度字典'!$A$2:$A$200))+1))</f>
        <v/>
      </c>
      <c r="D28" s="13">
        <f>IF($B28="","",INDEX('维度字典'!$E$2:$E$200,MOD(24,COUNTA('维度字典'!$E$2:$E$200))+1))</f>
        <v/>
      </c>
      <c r="E28" s="38">
        <f>IF($B28="","",SUMPRODUCT(('系统实绩导入'!$B$4:$B$1500=$B28)*('系统实绩导入'!$C$4:$C$1500=$C28)*('系统实绩导入'!$D$4:$D$1500=$D28)*('系统实绩导入'!$F$4:$F$1500="实绩销售额")*('系统实绩导入'!$G$3:$R$3=$F$1)*'系统实绩导入'!$G$4:$R$1500))</f>
        <v/>
      </c>
      <c r="F28" s="38">
        <f>IF($B28="","",SUMPRODUCT(('系统实绩导入'!$B$4:$B$1500=$B28)*('系统实绩导入'!$C$4:$C$1500=$C28)*('系统实绩导入'!$D$4:$D$1500=$D28)*('系统实绩导入'!$F$4:$F$1500="实绩毛利")*('系统实绩导入'!$G$3:$R$3=$F$1)*'系统实绩导入'!$G$4:$R$1500))</f>
        <v/>
      </c>
      <c r="G28" s="39">
        <f>IF($B28="","",IFERROR(F28/E28,""))</f>
        <v/>
      </c>
      <c r="H28" s="38">
        <f>IF($B28="","",SUMPRODUCT(('目标填报'!$B$4:$B$1500=$B28)*('目标填报'!$C$4:$C$1500=$C28)*('目标填报'!$D$4:$D$1500=$D28)*('目标填报'!$F$4:$F$1500="销售目标额")*('目标填报'!$G$3:$R$3=$F$1)*'目标填报'!$G$4:$R$1500))</f>
        <v/>
      </c>
      <c r="I28" s="39">
        <f>IF($B28="","",IFERROR(E28/H28,""))</f>
        <v/>
      </c>
      <c r="J28" s="38">
        <f>IF($B28="","",SUMPRODUCT(('系统实绩导入'!$B$4:$B$1500=$B28)*('系统实绩导入'!$C$4:$C$1500=$C28)*('系统实绩导入'!$D$4:$D$1500=$D28)*('系统实绩导入'!$F$4:$F$1500="实绩销售额")*('系统实绩导入'!$G$3:$R$3&lt;=$F$1)*'系统实绩导入'!$G$4:$R$1500))</f>
        <v/>
      </c>
      <c r="K28" s="38">
        <f>IF($B28="","",SUMPRODUCT(('系统实绩导入'!$B$4:$B$1500=$B28)*('系统实绩导入'!$C$4:$C$1500=$C28)*('系统实绩导入'!$D$4:$D$1500=$D28)*('系统实绩导入'!$F$4:$F$1500="实绩毛利")*('系统实绩导入'!$G$3:$R$3&lt;=$F$1)*'系统实绩导入'!$G$4:$R$1500))</f>
        <v/>
      </c>
      <c r="L28" s="39">
        <f>IF($B28="","",IFERROR(K28/J28,""))</f>
        <v/>
      </c>
      <c r="M28" s="38">
        <f>IF($B28="","",SUMIFS('目标填报'!$S$4:$S$1500,'目标填报'!$B$4:$B$1500,$B28,'目标填报'!$C$4:$C$1500,$C28,'目标填报'!$D$4:$D$1500,$D28,'目标填报'!$F$4:$F$1500,"销售目标额"))</f>
        <v/>
      </c>
      <c r="N28" s="39">
        <f>IF($B28="","",IFERROR(J28/M28,""))</f>
        <v/>
      </c>
      <c r="O28" s="40">
        <f>IF($B28="","",J28-M28)</f>
        <v/>
      </c>
      <c r="P28" s="38">
        <f>IF($B28="","",SUMPRODUCT(('目标填报'!$B$4:$B$1500=$B28)*('目标填报'!$C$4:$C$1500=$C28)*('目标填报'!$D$4:$D$1500=$D28)*('目标填报'!$F$4:$F$1500="在手订单")*('目标填报'!$G$3:$R$3=$F$1)*'目标填报'!$G$4:$R$1500))</f>
        <v/>
      </c>
      <c r="Q28" s="38">
        <f>IF($B28="","",SUMPRODUCT(('目标填报'!$B$4:$B$1500=$B28)*('目标填报'!$C$4:$C$1500=$C28)*('目标填报'!$D$4:$D$1500=$D28)*('目标填报'!$F$4:$F$1500="在手订单目标")*('目标填报'!$G$3:$R$3=$F$1)*'目标填报'!$G$4:$R$1500))</f>
        <v/>
      </c>
      <c r="R28" s="39">
        <f>IF($B28="","",IFERROR(P28/Q28,""))</f>
        <v/>
      </c>
      <c r="S28" s="38">
        <f>IF($B28="","",SUMPRODUCT(('目标填报'!$B$4:$B$1500=$B28)*('目标填报'!$C$4:$C$1500=$C28)*('目标填报'!$D$4:$D$1500=$D28)*('目标填报'!$F$4:$F$1500="目标客户机会")*('目标填报'!$G$3:$R$3=$F$1)*'目标填报'!$G$4:$R$1500))</f>
        <v/>
      </c>
      <c r="T28" s="38">
        <f>IF($B28="","",SUMPRODUCT(('目标填报'!$B$4:$B$1500=$B28)*('目标填报'!$C$4:$C$1500=$C28)*('目标填报'!$D$4:$D$1500=$D28)*('目标填报'!$F$4:$F$1500="目标客户机会目标")*('目标填报'!$G$3:$R$3=$F$1)*'目标填报'!$G$4:$R$1500))</f>
        <v/>
      </c>
      <c r="U28" s="39">
        <f>IF($B28="","",IFERROR(S28/T28,""))</f>
        <v/>
      </c>
      <c r="V28" s="38">
        <f>IF($B28="","",P28+S28)</f>
        <v/>
      </c>
      <c r="W28" s="38">
        <f>IF($B28="","",M28-J28)</f>
        <v/>
      </c>
      <c r="X28" s="39">
        <f>IF($B28="","",IFERROR(V28/W28,""))</f>
        <v/>
      </c>
      <c r="Y28" s="40">
        <f>IF($B28="","",V28-W28)</f>
        <v/>
      </c>
    </row>
    <row r="29">
      <c r="A29" s="37">
        <f>IF($B29="","",ROW()-3)</f>
        <v/>
      </c>
      <c r="B29" s="13">
        <f>IF(25+1&gt;COUNTA('维度字典'!$C$2:$C$200)*COUNTA('维度字典'!$A$2:$A$200)*COUNTA('维度字典'!$E$2:$E$200),"",INDEX('维度字典'!$C$2:$C$200,MOD(INT(25/(COUNTA('维度字典'!$E$2:$E$200)*COUNTA('维度字典'!$A$2:$A$200))),COUNTA('维度字典'!$C$2:$C$200))+1))</f>
        <v/>
      </c>
      <c r="C29" s="13">
        <f>IF($B29="","",INDEX('维度字典'!$A$2:$A$200,MOD(INT(25/COUNTA('维度字典'!$E$2:$E$200)),COUNTA('维度字典'!$A$2:$A$200))+1))</f>
        <v/>
      </c>
      <c r="D29" s="13">
        <f>IF($B29="","",INDEX('维度字典'!$E$2:$E$200,MOD(25,COUNTA('维度字典'!$E$2:$E$200))+1))</f>
        <v/>
      </c>
      <c r="E29" s="38">
        <f>IF($B29="","",SUMPRODUCT(('系统实绩导入'!$B$4:$B$1500=$B29)*('系统实绩导入'!$C$4:$C$1500=$C29)*('系统实绩导入'!$D$4:$D$1500=$D29)*('系统实绩导入'!$F$4:$F$1500="实绩销售额")*('系统实绩导入'!$G$3:$R$3=$F$1)*'系统实绩导入'!$G$4:$R$1500))</f>
        <v/>
      </c>
      <c r="F29" s="38">
        <f>IF($B29="","",SUMPRODUCT(('系统实绩导入'!$B$4:$B$1500=$B29)*('系统实绩导入'!$C$4:$C$1500=$C29)*('系统实绩导入'!$D$4:$D$1500=$D29)*('系统实绩导入'!$F$4:$F$1500="实绩毛利")*('系统实绩导入'!$G$3:$R$3=$F$1)*'系统实绩导入'!$G$4:$R$1500))</f>
        <v/>
      </c>
      <c r="G29" s="39">
        <f>IF($B29="","",IFERROR(F29/E29,""))</f>
        <v/>
      </c>
      <c r="H29" s="38">
        <f>IF($B29="","",SUMPRODUCT(('目标填报'!$B$4:$B$1500=$B29)*('目标填报'!$C$4:$C$1500=$C29)*('目标填报'!$D$4:$D$1500=$D29)*('目标填报'!$F$4:$F$1500="销售目标额")*('目标填报'!$G$3:$R$3=$F$1)*'目标填报'!$G$4:$R$1500))</f>
        <v/>
      </c>
      <c r="I29" s="39">
        <f>IF($B29="","",IFERROR(E29/H29,""))</f>
        <v/>
      </c>
      <c r="J29" s="38">
        <f>IF($B29="","",SUMPRODUCT(('系统实绩导入'!$B$4:$B$1500=$B29)*('系统实绩导入'!$C$4:$C$1500=$C29)*('系统实绩导入'!$D$4:$D$1500=$D29)*('系统实绩导入'!$F$4:$F$1500="实绩销售额")*('系统实绩导入'!$G$3:$R$3&lt;=$F$1)*'系统实绩导入'!$G$4:$R$1500))</f>
        <v/>
      </c>
      <c r="K29" s="38">
        <f>IF($B29="","",SUMPRODUCT(('系统实绩导入'!$B$4:$B$1500=$B29)*('系统实绩导入'!$C$4:$C$1500=$C29)*('系统实绩导入'!$D$4:$D$1500=$D29)*('系统实绩导入'!$F$4:$F$1500="实绩毛利")*('系统实绩导入'!$G$3:$R$3&lt;=$F$1)*'系统实绩导入'!$G$4:$R$1500))</f>
        <v/>
      </c>
      <c r="L29" s="39">
        <f>IF($B29="","",IFERROR(K29/J29,""))</f>
        <v/>
      </c>
      <c r="M29" s="38">
        <f>IF($B29="","",SUMIFS('目标填报'!$S$4:$S$1500,'目标填报'!$B$4:$B$1500,$B29,'目标填报'!$C$4:$C$1500,$C29,'目标填报'!$D$4:$D$1500,$D29,'目标填报'!$F$4:$F$1500,"销售目标额"))</f>
        <v/>
      </c>
      <c r="N29" s="39">
        <f>IF($B29="","",IFERROR(J29/M29,""))</f>
        <v/>
      </c>
      <c r="O29" s="40">
        <f>IF($B29="","",J29-M29)</f>
        <v/>
      </c>
      <c r="P29" s="38">
        <f>IF($B29="","",SUMPRODUCT(('目标填报'!$B$4:$B$1500=$B29)*('目标填报'!$C$4:$C$1500=$C29)*('目标填报'!$D$4:$D$1500=$D29)*('目标填报'!$F$4:$F$1500="在手订单")*('目标填报'!$G$3:$R$3=$F$1)*'目标填报'!$G$4:$R$1500))</f>
        <v/>
      </c>
      <c r="Q29" s="38">
        <f>IF($B29="","",SUMPRODUCT(('目标填报'!$B$4:$B$1500=$B29)*('目标填报'!$C$4:$C$1500=$C29)*('目标填报'!$D$4:$D$1500=$D29)*('目标填报'!$F$4:$F$1500="在手订单目标")*('目标填报'!$G$3:$R$3=$F$1)*'目标填报'!$G$4:$R$1500))</f>
        <v/>
      </c>
      <c r="R29" s="39">
        <f>IF($B29="","",IFERROR(P29/Q29,""))</f>
        <v/>
      </c>
      <c r="S29" s="38">
        <f>IF($B29="","",SUMPRODUCT(('目标填报'!$B$4:$B$1500=$B29)*('目标填报'!$C$4:$C$1500=$C29)*('目标填报'!$D$4:$D$1500=$D29)*('目标填报'!$F$4:$F$1500="目标客户机会")*('目标填报'!$G$3:$R$3=$F$1)*'目标填报'!$G$4:$R$1500))</f>
        <v/>
      </c>
      <c r="T29" s="38">
        <f>IF($B29="","",SUMPRODUCT(('目标填报'!$B$4:$B$1500=$B29)*('目标填报'!$C$4:$C$1500=$C29)*('目标填报'!$D$4:$D$1500=$D29)*('目标填报'!$F$4:$F$1500="目标客户机会目标")*('目标填报'!$G$3:$R$3=$F$1)*'目标填报'!$G$4:$R$1500))</f>
        <v/>
      </c>
      <c r="U29" s="39">
        <f>IF($B29="","",IFERROR(S29/T29,""))</f>
        <v/>
      </c>
      <c r="V29" s="38">
        <f>IF($B29="","",P29+S29)</f>
        <v/>
      </c>
      <c r="W29" s="38">
        <f>IF($B29="","",M29-J29)</f>
        <v/>
      </c>
      <c r="X29" s="39">
        <f>IF($B29="","",IFERROR(V29/W29,""))</f>
        <v/>
      </c>
      <c r="Y29" s="40">
        <f>IF($B29="","",V29-W29)</f>
        <v/>
      </c>
    </row>
    <row r="30">
      <c r="A30" s="37">
        <f>IF($B30="","",ROW()-3)</f>
        <v/>
      </c>
      <c r="B30" s="13">
        <f>IF(26+1&gt;COUNTA('维度字典'!$C$2:$C$200)*COUNTA('维度字典'!$A$2:$A$200)*COUNTA('维度字典'!$E$2:$E$200),"",INDEX('维度字典'!$C$2:$C$200,MOD(INT(26/(COUNTA('维度字典'!$E$2:$E$200)*COUNTA('维度字典'!$A$2:$A$200))),COUNTA('维度字典'!$C$2:$C$200))+1))</f>
        <v/>
      </c>
      <c r="C30" s="13">
        <f>IF($B30="","",INDEX('维度字典'!$A$2:$A$200,MOD(INT(26/COUNTA('维度字典'!$E$2:$E$200)),COUNTA('维度字典'!$A$2:$A$200))+1))</f>
        <v/>
      </c>
      <c r="D30" s="13">
        <f>IF($B30="","",INDEX('维度字典'!$E$2:$E$200,MOD(26,COUNTA('维度字典'!$E$2:$E$200))+1))</f>
        <v/>
      </c>
      <c r="E30" s="38">
        <f>IF($B30="","",SUMPRODUCT(('系统实绩导入'!$B$4:$B$1500=$B30)*('系统实绩导入'!$C$4:$C$1500=$C30)*('系统实绩导入'!$D$4:$D$1500=$D30)*('系统实绩导入'!$F$4:$F$1500="实绩销售额")*('系统实绩导入'!$G$3:$R$3=$F$1)*'系统实绩导入'!$G$4:$R$1500))</f>
        <v/>
      </c>
      <c r="F30" s="38">
        <f>IF($B30="","",SUMPRODUCT(('系统实绩导入'!$B$4:$B$1500=$B30)*('系统实绩导入'!$C$4:$C$1500=$C30)*('系统实绩导入'!$D$4:$D$1500=$D30)*('系统实绩导入'!$F$4:$F$1500="实绩毛利")*('系统实绩导入'!$G$3:$R$3=$F$1)*'系统实绩导入'!$G$4:$R$1500))</f>
        <v/>
      </c>
      <c r="G30" s="39">
        <f>IF($B30="","",IFERROR(F30/E30,""))</f>
        <v/>
      </c>
      <c r="H30" s="38">
        <f>IF($B30="","",SUMPRODUCT(('目标填报'!$B$4:$B$1500=$B30)*('目标填报'!$C$4:$C$1500=$C30)*('目标填报'!$D$4:$D$1500=$D30)*('目标填报'!$F$4:$F$1500="销售目标额")*('目标填报'!$G$3:$R$3=$F$1)*'目标填报'!$G$4:$R$1500))</f>
        <v/>
      </c>
      <c r="I30" s="39">
        <f>IF($B30="","",IFERROR(E30/H30,""))</f>
        <v/>
      </c>
      <c r="J30" s="38">
        <f>IF($B30="","",SUMPRODUCT(('系统实绩导入'!$B$4:$B$1500=$B30)*('系统实绩导入'!$C$4:$C$1500=$C30)*('系统实绩导入'!$D$4:$D$1500=$D30)*('系统实绩导入'!$F$4:$F$1500="实绩销售额")*('系统实绩导入'!$G$3:$R$3&lt;=$F$1)*'系统实绩导入'!$G$4:$R$1500))</f>
        <v/>
      </c>
      <c r="K30" s="38">
        <f>IF($B30="","",SUMPRODUCT(('系统实绩导入'!$B$4:$B$1500=$B30)*('系统实绩导入'!$C$4:$C$1500=$C30)*('系统实绩导入'!$D$4:$D$1500=$D30)*('系统实绩导入'!$F$4:$F$1500="实绩毛利")*('系统实绩导入'!$G$3:$R$3&lt;=$F$1)*'系统实绩导入'!$G$4:$R$1500))</f>
        <v/>
      </c>
      <c r="L30" s="39">
        <f>IF($B30="","",IFERROR(K30/J30,""))</f>
        <v/>
      </c>
      <c r="M30" s="38">
        <f>IF($B30="","",SUMIFS('目标填报'!$S$4:$S$1500,'目标填报'!$B$4:$B$1500,$B30,'目标填报'!$C$4:$C$1500,$C30,'目标填报'!$D$4:$D$1500,$D30,'目标填报'!$F$4:$F$1500,"销售目标额"))</f>
        <v/>
      </c>
      <c r="N30" s="39">
        <f>IF($B30="","",IFERROR(J30/M30,""))</f>
        <v/>
      </c>
      <c r="O30" s="40">
        <f>IF($B30="","",J30-M30)</f>
        <v/>
      </c>
      <c r="P30" s="38">
        <f>IF($B30="","",SUMPRODUCT(('目标填报'!$B$4:$B$1500=$B30)*('目标填报'!$C$4:$C$1500=$C30)*('目标填报'!$D$4:$D$1500=$D30)*('目标填报'!$F$4:$F$1500="在手订单")*('目标填报'!$G$3:$R$3=$F$1)*'目标填报'!$G$4:$R$1500))</f>
        <v/>
      </c>
      <c r="Q30" s="38">
        <f>IF($B30="","",SUMPRODUCT(('目标填报'!$B$4:$B$1500=$B30)*('目标填报'!$C$4:$C$1500=$C30)*('目标填报'!$D$4:$D$1500=$D30)*('目标填报'!$F$4:$F$1500="在手订单目标")*('目标填报'!$G$3:$R$3=$F$1)*'目标填报'!$G$4:$R$1500))</f>
        <v/>
      </c>
      <c r="R30" s="39">
        <f>IF($B30="","",IFERROR(P30/Q30,""))</f>
        <v/>
      </c>
      <c r="S30" s="38">
        <f>IF($B30="","",SUMPRODUCT(('目标填报'!$B$4:$B$1500=$B30)*('目标填报'!$C$4:$C$1500=$C30)*('目标填报'!$D$4:$D$1500=$D30)*('目标填报'!$F$4:$F$1500="目标客户机会")*('目标填报'!$G$3:$R$3=$F$1)*'目标填报'!$G$4:$R$1500))</f>
        <v/>
      </c>
      <c r="T30" s="38">
        <f>IF($B30="","",SUMPRODUCT(('目标填报'!$B$4:$B$1500=$B30)*('目标填报'!$C$4:$C$1500=$C30)*('目标填报'!$D$4:$D$1500=$D30)*('目标填报'!$F$4:$F$1500="目标客户机会目标")*('目标填报'!$G$3:$R$3=$F$1)*'目标填报'!$G$4:$R$1500))</f>
        <v/>
      </c>
      <c r="U30" s="39">
        <f>IF($B30="","",IFERROR(S30/T30,""))</f>
        <v/>
      </c>
      <c r="V30" s="38">
        <f>IF($B30="","",P30+S30)</f>
        <v/>
      </c>
      <c r="W30" s="38">
        <f>IF($B30="","",M30-J30)</f>
        <v/>
      </c>
      <c r="X30" s="39">
        <f>IF($B30="","",IFERROR(V30/W30,""))</f>
        <v/>
      </c>
      <c r="Y30" s="40">
        <f>IF($B30="","",V30-W30)</f>
        <v/>
      </c>
    </row>
    <row r="31">
      <c r="A31" s="37">
        <f>IF($B31="","",ROW()-3)</f>
        <v/>
      </c>
      <c r="B31" s="13">
        <f>IF(27+1&gt;COUNTA('维度字典'!$C$2:$C$200)*COUNTA('维度字典'!$A$2:$A$200)*COUNTA('维度字典'!$E$2:$E$200),"",INDEX('维度字典'!$C$2:$C$200,MOD(INT(27/(COUNTA('维度字典'!$E$2:$E$200)*COUNTA('维度字典'!$A$2:$A$200))),COUNTA('维度字典'!$C$2:$C$200))+1))</f>
        <v/>
      </c>
      <c r="C31" s="13">
        <f>IF($B31="","",INDEX('维度字典'!$A$2:$A$200,MOD(INT(27/COUNTA('维度字典'!$E$2:$E$200)),COUNTA('维度字典'!$A$2:$A$200))+1))</f>
        <v/>
      </c>
      <c r="D31" s="13">
        <f>IF($B31="","",INDEX('维度字典'!$E$2:$E$200,MOD(27,COUNTA('维度字典'!$E$2:$E$200))+1))</f>
        <v/>
      </c>
      <c r="E31" s="38">
        <f>IF($B31="","",SUMPRODUCT(('系统实绩导入'!$B$4:$B$1500=$B31)*('系统实绩导入'!$C$4:$C$1500=$C31)*('系统实绩导入'!$D$4:$D$1500=$D31)*('系统实绩导入'!$F$4:$F$1500="实绩销售额")*('系统实绩导入'!$G$3:$R$3=$F$1)*'系统实绩导入'!$G$4:$R$1500))</f>
        <v/>
      </c>
      <c r="F31" s="38">
        <f>IF($B31="","",SUMPRODUCT(('系统实绩导入'!$B$4:$B$1500=$B31)*('系统实绩导入'!$C$4:$C$1500=$C31)*('系统实绩导入'!$D$4:$D$1500=$D31)*('系统实绩导入'!$F$4:$F$1500="实绩毛利")*('系统实绩导入'!$G$3:$R$3=$F$1)*'系统实绩导入'!$G$4:$R$1500))</f>
        <v/>
      </c>
      <c r="G31" s="39">
        <f>IF($B31="","",IFERROR(F31/E31,""))</f>
        <v/>
      </c>
      <c r="H31" s="38">
        <f>IF($B31="","",SUMPRODUCT(('目标填报'!$B$4:$B$1500=$B31)*('目标填报'!$C$4:$C$1500=$C31)*('目标填报'!$D$4:$D$1500=$D31)*('目标填报'!$F$4:$F$1500="销售目标额")*('目标填报'!$G$3:$R$3=$F$1)*'目标填报'!$G$4:$R$1500))</f>
        <v/>
      </c>
      <c r="I31" s="39">
        <f>IF($B31="","",IFERROR(E31/H31,""))</f>
        <v/>
      </c>
      <c r="J31" s="38">
        <f>IF($B31="","",SUMPRODUCT(('系统实绩导入'!$B$4:$B$1500=$B31)*('系统实绩导入'!$C$4:$C$1500=$C31)*('系统实绩导入'!$D$4:$D$1500=$D31)*('系统实绩导入'!$F$4:$F$1500="实绩销售额")*('系统实绩导入'!$G$3:$R$3&lt;=$F$1)*'系统实绩导入'!$G$4:$R$1500))</f>
        <v/>
      </c>
      <c r="K31" s="38">
        <f>IF($B31="","",SUMPRODUCT(('系统实绩导入'!$B$4:$B$1500=$B31)*('系统实绩导入'!$C$4:$C$1500=$C31)*('系统实绩导入'!$D$4:$D$1500=$D31)*('系统实绩导入'!$F$4:$F$1500="实绩毛利")*('系统实绩导入'!$G$3:$R$3&lt;=$F$1)*'系统实绩导入'!$G$4:$R$1500))</f>
        <v/>
      </c>
      <c r="L31" s="39">
        <f>IF($B31="","",IFERROR(K31/J31,""))</f>
        <v/>
      </c>
      <c r="M31" s="38">
        <f>IF($B31="","",SUMIFS('目标填报'!$S$4:$S$1500,'目标填报'!$B$4:$B$1500,$B31,'目标填报'!$C$4:$C$1500,$C31,'目标填报'!$D$4:$D$1500,$D31,'目标填报'!$F$4:$F$1500,"销售目标额"))</f>
        <v/>
      </c>
      <c r="N31" s="39">
        <f>IF($B31="","",IFERROR(J31/M31,""))</f>
        <v/>
      </c>
      <c r="O31" s="40">
        <f>IF($B31="","",J31-M31)</f>
        <v/>
      </c>
      <c r="P31" s="38">
        <f>IF($B31="","",SUMPRODUCT(('目标填报'!$B$4:$B$1500=$B31)*('目标填报'!$C$4:$C$1500=$C31)*('目标填报'!$D$4:$D$1500=$D31)*('目标填报'!$F$4:$F$1500="在手订单")*('目标填报'!$G$3:$R$3=$F$1)*'目标填报'!$G$4:$R$1500))</f>
        <v/>
      </c>
      <c r="Q31" s="38">
        <f>IF($B31="","",SUMPRODUCT(('目标填报'!$B$4:$B$1500=$B31)*('目标填报'!$C$4:$C$1500=$C31)*('目标填报'!$D$4:$D$1500=$D31)*('目标填报'!$F$4:$F$1500="在手订单目标")*('目标填报'!$G$3:$R$3=$F$1)*'目标填报'!$G$4:$R$1500))</f>
        <v/>
      </c>
      <c r="R31" s="39">
        <f>IF($B31="","",IFERROR(P31/Q31,""))</f>
        <v/>
      </c>
      <c r="S31" s="38">
        <f>IF($B31="","",SUMPRODUCT(('目标填报'!$B$4:$B$1500=$B31)*('目标填报'!$C$4:$C$1500=$C31)*('目标填报'!$D$4:$D$1500=$D31)*('目标填报'!$F$4:$F$1500="目标客户机会")*('目标填报'!$G$3:$R$3=$F$1)*'目标填报'!$G$4:$R$1500))</f>
        <v/>
      </c>
      <c r="T31" s="38">
        <f>IF($B31="","",SUMPRODUCT(('目标填报'!$B$4:$B$1500=$B31)*('目标填报'!$C$4:$C$1500=$C31)*('目标填报'!$D$4:$D$1500=$D31)*('目标填报'!$F$4:$F$1500="目标客户机会目标")*('目标填报'!$G$3:$R$3=$F$1)*'目标填报'!$G$4:$R$1500))</f>
        <v/>
      </c>
      <c r="U31" s="39">
        <f>IF($B31="","",IFERROR(S31/T31,""))</f>
        <v/>
      </c>
      <c r="V31" s="38">
        <f>IF($B31="","",P31+S31)</f>
        <v/>
      </c>
      <c r="W31" s="38">
        <f>IF($B31="","",M31-J31)</f>
        <v/>
      </c>
      <c r="X31" s="39">
        <f>IF($B31="","",IFERROR(V31/W31,""))</f>
        <v/>
      </c>
      <c r="Y31" s="40">
        <f>IF($B31="","",V31-W31)</f>
        <v/>
      </c>
    </row>
    <row r="32">
      <c r="A32" s="37">
        <f>IF($B32="","",ROW()-3)</f>
        <v/>
      </c>
      <c r="B32" s="13">
        <f>IF(28+1&gt;COUNTA('维度字典'!$C$2:$C$200)*COUNTA('维度字典'!$A$2:$A$200)*COUNTA('维度字典'!$E$2:$E$200),"",INDEX('维度字典'!$C$2:$C$200,MOD(INT(28/(COUNTA('维度字典'!$E$2:$E$200)*COUNTA('维度字典'!$A$2:$A$200))),COUNTA('维度字典'!$C$2:$C$200))+1))</f>
        <v/>
      </c>
      <c r="C32" s="13">
        <f>IF($B32="","",INDEX('维度字典'!$A$2:$A$200,MOD(INT(28/COUNTA('维度字典'!$E$2:$E$200)),COUNTA('维度字典'!$A$2:$A$200))+1))</f>
        <v/>
      </c>
      <c r="D32" s="13">
        <f>IF($B32="","",INDEX('维度字典'!$E$2:$E$200,MOD(28,COUNTA('维度字典'!$E$2:$E$200))+1))</f>
        <v/>
      </c>
      <c r="E32" s="38">
        <f>IF($B32="","",SUMPRODUCT(('系统实绩导入'!$B$4:$B$1500=$B32)*('系统实绩导入'!$C$4:$C$1500=$C32)*('系统实绩导入'!$D$4:$D$1500=$D32)*('系统实绩导入'!$F$4:$F$1500="实绩销售额")*('系统实绩导入'!$G$3:$R$3=$F$1)*'系统实绩导入'!$G$4:$R$1500))</f>
        <v/>
      </c>
      <c r="F32" s="38">
        <f>IF($B32="","",SUMPRODUCT(('系统实绩导入'!$B$4:$B$1500=$B32)*('系统实绩导入'!$C$4:$C$1500=$C32)*('系统实绩导入'!$D$4:$D$1500=$D32)*('系统实绩导入'!$F$4:$F$1500="实绩毛利")*('系统实绩导入'!$G$3:$R$3=$F$1)*'系统实绩导入'!$G$4:$R$1500))</f>
        <v/>
      </c>
      <c r="G32" s="39">
        <f>IF($B32="","",IFERROR(F32/E32,""))</f>
        <v/>
      </c>
      <c r="H32" s="38">
        <f>IF($B32="","",SUMPRODUCT(('目标填报'!$B$4:$B$1500=$B32)*('目标填报'!$C$4:$C$1500=$C32)*('目标填报'!$D$4:$D$1500=$D32)*('目标填报'!$F$4:$F$1500="销售目标额")*('目标填报'!$G$3:$R$3=$F$1)*'目标填报'!$G$4:$R$1500))</f>
        <v/>
      </c>
      <c r="I32" s="39">
        <f>IF($B32="","",IFERROR(E32/H32,""))</f>
        <v/>
      </c>
      <c r="J32" s="38">
        <f>IF($B32="","",SUMPRODUCT(('系统实绩导入'!$B$4:$B$1500=$B32)*('系统实绩导入'!$C$4:$C$1500=$C32)*('系统实绩导入'!$D$4:$D$1500=$D32)*('系统实绩导入'!$F$4:$F$1500="实绩销售额")*('系统实绩导入'!$G$3:$R$3&lt;=$F$1)*'系统实绩导入'!$G$4:$R$1500))</f>
        <v/>
      </c>
      <c r="K32" s="38">
        <f>IF($B32="","",SUMPRODUCT(('系统实绩导入'!$B$4:$B$1500=$B32)*('系统实绩导入'!$C$4:$C$1500=$C32)*('系统实绩导入'!$D$4:$D$1500=$D32)*('系统实绩导入'!$F$4:$F$1500="实绩毛利")*('系统实绩导入'!$G$3:$R$3&lt;=$F$1)*'系统实绩导入'!$G$4:$R$1500))</f>
        <v/>
      </c>
      <c r="L32" s="39">
        <f>IF($B32="","",IFERROR(K32/J32,""))</f>
        <v/>
      </c>
      <c r="M32" s="38">
        <f>IF($B32="","",SUMIFS('目标填报'!$S$4:$S$1500,'目标填报'!$B$4:$B$1500,$B32,'目标填报'!$C$4:$C$1500,$C32,'目标填报'!$D$4:$D$1500,$D32,'目标填报'!$F$4:$F$1500,"销售目标额"))</f>
        <v/>
      </c>
      <c r="N32" s="39">
        <f>IF($B32="","",IFERROR(J32/M32,""))</f>
        <v/>
      </c>
      <c r="O32" s="40">
        <f>IF($B32="","",J32-M32)</f>
        <v/>
      </c>
      <c r="P32" s="38">
        <f>IF($B32="","",SUMPRODUCT(('目标填报'!$B$4:$B$1500=$B32)*('目标填报'!$C$4:$C$1500=$C32)*('目标填报'!$D$4:$D$1500=$D32)*('目标填报'!$F$4:$F$1500="在手订单")*('目标填报'!$G$3:$R$3=$F$1)*'目标填报'!$G$4:$R$1500))</f>
        <v/>
      </c>
      <c r="Q32" s="38">
        <f>IF($B32="","",SUMPRODUCT(('目标填报'!$B$4:$B$1500=$B32)*('目标填报'!$C$4:$C$1500=$C32)*('目标填报'!$D$4:$D$1500=$D32)*('目标填报'!$F$4:$F$1500="在手订单目标")*('目标填报'!$G$3:$R$3=$F$1)*'目标填报'!$G$4:$R$1500))</f>
        <v/>
      </c>
      <c r="R32" s="39">
        <f>IF($B32="","",IFERROR(P32/Q32,""))</f>
        <v/>
      </c>
      <c r="S32" s="38">
        <f>IF($B32="","",SUMPRODUCT(('目标填报'!$B$4:$B$1500=$B32)*('目标填报'!$C$4:$C$1500=$C32)*('目标填报'!$D$4:$D$1500=$D32)*('目标填报'!$F$4:$F$1500="目标客户机会")*('目标填报'!$G$3:$R$3=$F$1)*'目标填报'!$G$4:$R$1500))</f>
        <v/>
      </c>
      <c r="T32" s="38">
        <f>IF($B32="","",SUMPRODUCT(('目标填报'!$B$4:$B$1500=$B32)*('目标填报'!$C$4:$C$1500=$C32)*('目标填报'!$D$4:$D$1500=$D32)*('目标填报'!$F$4:$F$1500="目标客户机会目标")*('目标填报'!$G$3:$R$3=$F$1)*'目标填报'!$G$4:$R$1500))</f>
        <v/>
      </c>
      <c r="U32" s="39">
        <f>IF($B32="","",IFERROR(S32/T32,""))</f>
        <v/>
      </c>
      <c r="V32" s="38">
        <f>IF($B32="","",P32+S32)</f>
        <v/>
      </c>
      <c r="W32" s="38">
        <f>IF($B32="","",M32-J32)</f>
        <v/>
      </c>
      <c r="X32" s="39">
        <f>IF($B32="","",IFERROR(V32/W32,""))</f>
        <v/>
      </c>
      <c r="Y32" s="40">
        <f>IF($B32="","",V32-W32)</f>
        <v/>
      </c>
    </row>
    <row r="33">
      <c r="A33" s="37">
        <f>IF($B33="","",ROW()-3)</f>
        <v/>
      </c>
      <c r="B33" s="13">
        <f>IF(29+1&gt;COUNTA('维度字典'!$C$2:$C$200)*COUNTA('维度字典'!$A$2:$A$200)*COUNTA('维度字典'!$E$2:$E$200),"",INDEX('维度字典'!$C$2:$C$200,MOD(INT(29/(COUNTA('维度字典'!$E$2:$E$200)*COUNTA('维度字典'!$A$2:$A$200))),COUNTA('维度字典'!$C$2:$C$200))+1))</f>
        <v/>
      </c>
      <c r="C33" s="13">
        <f>IF($B33="","",INDEX('维度字典'!$A$2:$A$200,MOD(INT(29/COUNTA('维度字典'!$E$2:$E$200)),COUNTA('维度字典'!$A$2:$A$200))+1))</f>
        <v/>
      </c>
      <c r="D33" s="13">
        <f>IF($B33="","",INDEX('维度字典'!$E$2:$E$200,MOD(29,COUNTA('维度字典'!$E$2:$E$200))+1))</f>
        <v/>
      </c>
      <c r="E33" s="38">
        <f>IF($B33="","",SUMPRODUCT(('系统实绩导入'!$B$4:$B$1500=$B33)*('系统实绩导入'!$C$4:$C$1500=$C33)*('系统实绩导入'!$D$4:$D$1500=$D33)*('系统实绩导入'!$F$4:$F$1500="实绩销售额")*('系统实绩导入'!$G$3:$R$3=$F$1)*'系统实绩导入'!$G$4:$R$1500))</f>
        <v/>
      </c>
      <c r="F33" s="38">
        <f>IF($B33="","",SUMPRODUCT(('系统实绩导入'!$B$4:$B$1500=$B33)*('系统实绩导入'!$C$4:$C$1500=$C33)*('系统实绩导入'!$D$4:$D$1500=$D33)*('系统实绩导入'!$F$4:$F$1500="实绩毛利")*('系统实绩导入'!$G$3:$R$3=$F$1)*'系统实绩导入'!$G$4:$R$1500))</f>
        <v/>
      </c>
      <c r="G33" s="39">
        <f>IF($B33="","",IFERROR(F33/E33,""))</f>
        <v/>
      </c>
      <c r="H33" s="38">
        <f>IF($B33="","",SUMPRODUCT(('目标填报'!$B$4:$B$1500=$B33)*('目标填报'!$C$4:$C$1500=$C33)*('目标填报'!$D$4:$D$1500=$D33)*('目标填报'!$F$4:$F$1500="销售目标额")*('目标填报'!$G$3:$R$3=$F$1)*'目标填报'!$G$4:$R$1500))</f>
        <v/>
      </c>
      <c r="I33" s="39">
        <f>IF($B33="","",IFERROR(E33/H33,""))</f>
        <v/>
      </c>
      <c r="J33" s="38">
        <f>IF($B33="","",SUMPRODUCT(('系统实绩导入'!$B$4:$B$1500=$B33)*('系统实绩导入'!$C$4:$C$1500=$C33)*('系统实绩导入'!$D$4:$D$1500=$D33)*('系统实绩导入'!$F$4:$F$1500="实绩销售额")*('系统实绩导入'!$G$3:$R$3&lt;=$F$1)*'系统实绩导入'!$G$4:$R$1500))</f>
        <v/>
      </c>
      <c r="K33" s="38">
        <f>IF($B33="","",SUMPRODUCT(('系统实绩导入'!$B$4:$B$1500=$B33)*('系统实绩导入'!$C$4:$C$1500=$C33)*('系统实绩导入'!$D$4:$D$1500=$D33)*('系统实绩导入'!$F$4:$F$1500="实绩毛利")*('系统实绩导入'!$G$3:$R$3&lt;=$F$1)*'系统实绩导入'!$G$4:$R$1500))</f>
        <v/>
      </c>
      <c r="L33" s="39">
        <f>IF($B33="","",IFERROR(K33/J33,""))</f>
        <v/>
      </c>
      <c r="M33" s="38">
        <f>IF($B33="","",SUMIFS('目标填报'!$S$4:$S$1500,'目标填报'!$B$4:$B$1500,$B33,'目标填报'!$C$4:$C$1500,$C33,'目标填报'!$D$4:$D$1500,$D33,'目标填报'!$F$4:$F$1500,"销售目标额"))</f>
        <v/>
      </c>
      <c r="N33" s="39">
        <f>IF($B33="","",IFERROR(J33/M33,""))</f>
        <v/>
      </c>
      <c r="O33" s="40">
        <f>IF($B33="","",J33-M33)</f>
        <v/>
      </c>
      <c r="P33" s="38">
        <f>IF($B33="","",SUMPRODUCT(('目标填报'!$B$4:$B$1500=$B33)*('目标填报'!$C$4:$C$1500=$C33)*('目标填报'!$D$4:$D$1500=$D33)*('目标填报'!$F$4:$F$1500="在手订单")*('目标填报'!$G$3:$R$3=$F$1)*'目标填报'!$G$4:$R$1500))</f>
        <v/>
      </c>
      <c r="Q33" s="38">
        <f>IF($B33="","",SUMPRODUCT(('目标填报'!$B$4:$B$1500=$B33)*('目标填报'!$C$4:$C$1500=$C33)*('目标填报'!$D$4:$D$1500=$D33)*('目标填报'!$F$4:$F$1500="在手订单目标")*('目标填报'!$G$3:$R$3=$F$1)*'目标填报'!$G$4:$R$1500))</f>
        <v/>
      </c>
      <c r="R33" s="39">
        <f>IF($B33="","",IFERROR(P33/Q33,""))</f>
        <v/>
      </c>
      <c r="S33" s="38">
        <f>IF($B33="","",SUMPRODUCT(('目标填报'!$B$4:$B$1500=$B33)*('目标填报'!$C$4:$C$1500=$C33)*('目标填报'!$D$4:$D$1500=$D33)*('目标填报'!$F$4:$F$1500="目标客户机会")*('目标填报'!$G$3:$R$3=$F$1)*'目标填报'!$G$4:$R$1500))</f>
        <v/>
      </c>
      <c r="T33" s="38">
        <f>IF($B33="","",SUMPRODUCT(('目标填报'!$B$4:$B$1500=$B33)*('目标填报'!$C$4:$C$1500=$C33)*('目标填报'!$D$4:$D$1500=$D33)*('目标填报'!$F$4:$F$1500="目标客户机会目标")*('目标填报'!$G$3:$R$3=$F$1)*'目标填报'!$G$4:$R$1500))</f>
        <v/>
      </c>
      <c r="U33" s="39">
        <f>IF($B33="","",IFERROR(S33/T33,""))</f>
        <v/>
      </c>
      <c r="V33" s="38">
        <f>IF($B33="","",P33+S33)</f>
        <v/>
      </c>
      <c r="W33" s="38">
        <f>IF($B33="","",M33-J33)</f>
        <v/>
      </c>
      <c r="X33" s="39">
        <f>IF($B33="","",IFERROR(V33/W33,""))</f>
        <v/>
      </c>
      <c r="Y33" s="40">
        <f>IF($B33="","",V33-W33)</f>
        <v/>
      </c>
    </row>
    <row r="34">
      <c r="A34" s="37">
        <f>IF($B34="","",ROW()-3)</f>
        <v/>
      </c>
      <c r="B34" s="13">
        <f>IF(30+1&gt;COUNTA('维度字典'!$C$2:$C$200)*COUNTA('维度字典'!$A$2:$A$200)*COUNTA('维度字典'!$E$2:$E$200),"",INDEX('维度字典'!$C$2:$C$200,MOD(INT(30/(COUNTA('维度字典'!$E$2:$E$200)*COUNTA('维度字典'!$A$2:$A$200))),COUNTA('维度字典'!$C$2:$C$200))+1))</f>
        <v/>
      </c>
      <c r="C34" s="13">
        <f>IF($B34="","",INDEX('维度字典'!$A$2:$A$200,MOD(INT(30/COUNTA('维度字典'!$E$2:$E$200)),COUNTA('维度字典'!$A$2:$A$200))+1))</f>
        <v/>
      </c>
      <c r="D34" s="13">
        <f>IF($B34="","",INDEX('维度字典'!$E$2:$E$200,MOD(30,COUNTA('维度字典'!$E$2:$E$200))+1))</f>
        <v/>
      </c>
      <c r="E34" s="38">
        <f>IF($B34="","",SUMPRODUCT(('系统实绩导入'!$B$4:$B$1500=$B34)*('系统实绩导入'!$C$4:$C$1500=$C34)*('系统实绩导入'!$D$4:$D$1500=$D34)*('系统实绩导入'!$F$4:$F$1500="实绩销售额")*('系统实绩导入'!$G$3:$R$3=$F$1)*'系统实绩导入'!$G$4:$R$1500))</f>
        <v/>
      </c>
      <c r="F34" s="38">
        <f>IF($B34="","",SUMPRODUCT(('系统实绩导入'!$B$4:$B$1500=$B34)*('系统实绩导入'!$C$4:$C$1500=$C34)*('系统实绩导入'!$D$4:$D$1500=$D34)*('系统实绩导入'!$F$4:$F$1500="实绩毛利")*('系统实绩导入'!$G$3:$R$3=$F$1)*'系统实绩导入'!$G$4:$R$1500))</f>
        <v/>
      </c>
      <c r="G34" s="39">
        <f>IF($B34="","",IFERROR(F34/E34,""))</f>
        <v/>
      </c>
      <c r="H34" s="38">
        <f>IF($B34="","",SUMPRODUCT(('目标填报'!$B$4:$B$1500=$B34)*('目标填报'!$C$4:$C$1500=$C34)*('目标填报'!$D$4:$D$1500=$D34)*('目标填报'!$F$4:$F$1500="销售目标额")*('目标填报'!$G$3:$R$3=$F$1)*'目标填报'!$G$4:$R$1500))</f>
        <v/>
      </c>
      <c r="I34" s="39">
        <f>IF($B34="","",IFERROR(E34/H34,""))</f>
        <v/>
      </c>
      <c r="J34" s="38">
        <f>IF($B34="","",SUMPRODUCT(('系统实绩导入'!$B$4:$B$1500=$B34)*('系统实绩导入'!$C$4:$C$1500=$C34)*('系统实绩导入'!$D$4:$D$1500=$D34)*('系统实绩导入'!$F$4:$F$1500="实绩销售额")*('系统实绩导入'!$G$3:$R$3&lt;=$F$1)*'系统实绩导入'!$G$4:$R$1500))</f>
        <v/>
      </c>
      <c r="K34" s="38">
        <f>IF($B34="","",SUMPRODUCT(('系统实绩导入'!$B$4:$B$1500=$B34)*('系统实绩导入'!$C$4:$C$1500=$C34)*('系统实绩导入'!$D$4:$D$1500=$D34)*('系统实绩导入'!$F$4:$F$1500="实绩毛利")*('系统实绩导入'!$G$3:$R$3&lt;=$F$1)*'系统实绩导入'!$G$4:$R$1500))</f>
        <v/>
      </c>
      <c r="L34" s="39">
        <f>IF($B34="","",IFERROR(K34/J34,""))</f>
        <v/>
      </c>
      <c r="M34" s="38">
        <f>IF($B34="","",SUMIFS('目标填报'!$S$4:$S$1500,'目标填报'!$B$4:$B$1500,$B34,'目标填报'!$C$4:$C$1500,$C34,'目标填报'!$D$4:$D$1500,$D34,'目标填报'!$F$4:$F$1500,"销售目标额"))</f>
        <v/>
      </c>
      <c r="N34" s="39">
        <f>IF($B34="","",IFERROR(J34/M34,""))</f>
        <v/>
      </c>
      <c r="O34" s="40">
        <f>IF($B34="","",J34-M34)</f>
        <v/>
      </c>
      <c r="P34" s="38">
        <f>IF($B34="","",SUMPRODUCT(('目标填报'!$B$4:$B$1500=$B34)*('目标填报'!$C$4:$C$1500=$C34)*('目标填报'!$D$4:$D$1500=$D34)*('目标填报'!$F$4:$F$1500="在手订单")*('目标填报'!$G$3:$R$3=$F$1)*'目标填报'!$G$4:$R$1500))</f>
        <v/>
      </c>
      <c r="Q34" s="38">
        <f>IF($B34="","",SUMPRODUCT(('目标填报'!$B$4:$B$1500=$B34)*('目标填报'!$C$4:$C$1500=$C34)*('目标填报'!$D$4:$D$1500=$D34)*('目标填报'!$F$4:$F$1500="在手订单目标")*('目标填报'!$G$3:$R$3=$F$1)*'目标填报'!$G$4:$R$1500))</f>
        <v/>
      </c>
      <c r="R34" s="39">
        <f>IF($B34="","",IFERROR(P34/Q34,""))</f>
        <v/>
      </c>
      <c r="S34" s="38">
        <f>IF($B34="","",SUMPRODUCT(('目标填报'!$B$4:$B$1500=$B34)*('目标填报'!$C$4:$C$1500=$C34)*('目标填报'!$D$4:$D$1500=$D34)*('目标填报'!$F$4:$F$1500="目标客户机会")*('目标填报'!$G$3:$R$3=$F$1)*'目标填报'!$G$4:$R$1500))</f>
        <v/>
      </c>
      <c r="T34" s="38">
        <f>IF($B34="","",SUMPRODUCT(('目标填报'!$B$4:$B$1500=$B34)*('目标填报'!$C$4:$C$1500=$C34)*('目标填报'!$D$4:$D$1500=$D34)*('目标填报'!$F$4:$F$1500="目标客户机会目标")*('目标填报'!$G$3:$R$3=$F$1)*'目标填报'!$G$4:$R$1500))</f>
        <v/>
      </c>
      <c r="U34" s="39">
        <f>IF($B34="","",IFERROR(S34/T34,""))</f>
        <v/>
      </c>
      <c r="V34" s="38">
        <f>IF($B34="","",P34+S34)</f>
        <v/>
      </c>
      <c r="W34" s="38">
        <f>IF($B34="","",M34-J34)</f>
        <v/>
      </c>
      <c r="X34" s="39">
        <f>IF($B34="","",IFERROR(V34/W34,""))</f>
        <v/>
      </c>
      <c r="Y34" s="40">
        <f>IF($B34="","",V34-W34)</f>
        <v/>
      </c>
    </row>
    <row r="35">
      <c r="A35" s="37">
        <f>IF($B35="","",ROW()-3)</f>
        <v/>
      </c>
      <c r="B35" s="13">
        <f>IF(31+1&gt;COUNTA('维度字典'!$C$2:$C$200)*COUNTA('维度字典'!$A$2:$A$200)*COUNTA('维度字典'!$E$2:$E$200),"",INDEX('维度字典'!$C$2:$C$200,MOD(INT(31/(COUNTA('维度字典'!$E$2:$E$200)*COUNTA('维度字典'!$A$2:$A$200))),COUNTA('维度字典'!$C$2:$C$200))+1))</f>
        <v/>
      </c>
      <c r="C35" s="13">
        <f>IF($B35="","",INDEX('维度字典'!$A$2:$A$200,MOD(INT(31/COUNTA('维度字典'!$E$2:$E$200)),COUNTA('维度字典'!$A$2:$A$200))+1))</f>
        <v/>
      </c>
      <c r="D35" s="13">
        <f>IF($B35="","",INDEX('维度字典'!$E$2:$E$200,MOD(31,COUNTA('维度字典'!$E$2:$E$200))+1))</f>
        <v/>
      </c>
      <c r="E35" s="38">
        <f>IF($B35="","",SUMPRODUCT(('系统实绩导入'!$B$4:$B$1500=$B35)*('系统实绩导入'!$C$4:$C$1500=$C35)*('系统实绩导入'!$D$4:$D$1500=$D35)*('系统实绩导入'!$F$4:$F$1500="实绩销售额")*('系统实绩导入'!$G$3:$R$3=$F$1)*'系统实绩导入'!$G$4:$R$1500))</f>
        <v/>
      </c>
      <c r="F35" s="38">
        <f>IF($B35="","",SUMPRODUCT(('系统实绩导入'!$B$4:$B$1500=$B35)*('系统实绩导入'!$C$4:$C$1500=$C35)*('系统实绩导入'!$D$4:$D$1500=$D35)*('系统实绩导入'!$F$4:$F$1500="实绩毛利")*('系统实绩导入'!$G$3:$R$3=$F$1)*'系统实绩导入'!$G$4:$R$1500))</f>
        <v/>
      </c>
      <c r="G35" s="39">
        <f>IF($B35="","",IFERROR(F35/E35,""))</f>
        <v/>
      </c>
      <c r="H35" s="38">
        <f>IF($B35="","",SUMPRODUCT(('目标填报'!$B$4:$B$1500=$B35)*('目标填报'!$C$4:$C$1500=$C35)*('目标填报'!$D$4:$D$1500=$D35)*('目标填报'!$F$4:$F$1500="销售目标额")*('目标填报'!$G$3:$R$3=$F$1)*'目标填报'!$G$4:$R$1500))</f>
        <v/>
      </c>
      <c r="I35" s="39">
        <f>IF($B35="","",IFERROR(E35/H35,""))</f>
        <v/>
      </c>
      <c r="J35" s="38">
        <f>IF($B35="","",SUMPRODUCT(('系统实绩导入'!$B$4:$B$1500=$B35)*('系统实绩导入'!$C$4:$C$1500=$C35)*('系统实绩导入'!$D$4:$D$1500=$D35)*('系统实绩导入'!$F$4:$F$1500="实绩销售额")*('系统实绩导入'!$G$3:$R$3&lt;=$F$1)*'系统实绩导入'!$G$4:$R$1500))</f>
        <v/>
      </c>
      <c r="K35" s="38">
        <f>IF($B35="","",SUMPRODUCT(('系统实绩导入'!$B$4:$B$1500=$B35)*('系统实绩导入'!$C$4:$C$1500=$C35)*('系统实绩导入'!$D$4:$D$1500=$D35)*('系统实绩导入'!$F$4:$F$1500="实绩毛利")*('系统实绩导入'!$G$3:$R$3&lt;=$F$1)*'系统实绩导入'!$G$4:$R$1500))</f>
        <v/>
      </c>
      <c r="L35" s="39">
        <f>IF($B35="","",IFERROR(K35/J35,""))</f>
        <v/>
      </c>
      <c r="M35" s="38">
        <f>IF($B35="","",SUMIFS('目标填报'!$S$4:$S$1500,'目标填报'!$B$4:$B$1500,$B35,'目标填报'!$C$4:$C$1500,$C35,'目标填报'!$D$4:$D$1500,$D35,'目标填报'!$F$4:$F$1500,"销售目标额"))</f>
        <v/>
      </c>
      <c r="N35" s="39">
        <f>IF($B35="","",IFERROR(J35/M35,""))</f>
        <v/>
      </c>
      <c r="O35" s="40">
        <f>IF($B35="","",J35-M35)</f>
        <v/>
      </c>
      <c r="P35" s="38">
        <f>IF($B35="","",SUMPRODUCT(('目标填报'!$B$4:$B$1500=$B35)*('目标填报'!$C$4:$C$1500=$C35)*('目标填报'!$D$4:$D$1500=$D35)*('目标填报'!$F$4:$F$1500="在手订单")*('目标填报'!$G$3:$R$3=$F$1)*'目标填报'!$G$4:$R$1500))</f>
        <v/>
      </c>
      <c r="Q35" s="38">
        <f>IF($B35="","",SUMPRODUCT(('目标填报'!$B$4:$B$1500=$B35)*('目标填报'!$C$4:$C$1500=$C35)*('目标填报'!$D$4:$D$1500=$D35)*('目标填报'!$F$4:$F$1500="在手订单目标")*('目标填报'!$G$3:$R$3=$F$1)*'目标填报'!$G$4:$R$1500))</f>
        <v/>
      </c>
      <c r="R35" s="39">
        <f>IF($B35="","",IFERROR(P35/Q35,""))</f>
        <v/>
      </c>
      <c r="S35" s="38">
        <f>IF($B35="","",SUMPRODUCT(('目标填报'!$B$4:$B$1500=$B35)*('目标填报'!$C$4:$C$1500=$C35)*('目标填报'!$D$4:$D$1500=$D35)*('目标填报'!$F$4:$F$1500="目标客户机会")*('目标填报'!$G$3:$R$3=$F$1)*'目标填报'!$G$4:$R$1500))</f>
        <v/>
      </c>
      <c r="T35" s="38">
        <f>IF($B35="","",SUMPRODUCT(('目标填报'!$B$4:$B$1500=$B35)*('目标填报'!$C$4:$C$1500=$C35)*('目标填报'!$D$4:$D$1500=$D35)*('目标填报'!$F$4:$F$1500="目标客户机会目标")*('目标填报'!$G$3:$R$3=$F$1)*'目标填报'!$G$4:$R$1500))</f>
        <v/>
      </c>
      <c r="U35" s="39">
        <f>IF($B35="","",IFERROR(S35/T35,""))</f>
        <v/>
      </c>
      <c r="V35" s="38">
        <f>IF($B35="","",P35+S35)</f>
        <v/>
      </c>
      <c r="W35" s="38">
        <f>IF($B35="","",M35-J35)</f>
        <v/>
      </c>
      <c r="X35" s="39">
        <f>IF($B35="","",IFERROR(V35/W35,""))</f>
        <v/>
      </c>
      <c r="Y35" s="40">
        <f>IF($B35="","",V35-W35)</f>
        <v/>
      </c>
    </row>
    <row r="36">
      <c r="A36" s="37">
        <f>IF($B36="","",ROW()-3)</f>
        <v/>
      </c>
      <c r="B36" s="13">
        <f>IF(32+1&gt;COUNTA('维度字典'!$C$2:$C$200)*COUNTA('维度字典'!$A$2:$A$200)*COUNTA('维度字典'!$E$2:$E$200),"",INDEX('维度字典'!$C$2:$C$200,MOD(INT(32/(COUNTA('维度字典'!$E$2:$E$200)*COUNTA('维度字典'!$A$2:$A$200))),COUNTA('维度字典'!$C$2:$C$200))+1))</f>
        <v/>
      </c>
      <c r="C36" s="13">
        <f>IF($B36="","",INDEX('维度字典'!$A$2:$A$200,MOD(INT(32/COUNTA('维度字典'!$E$2:$E$200)),COUNTA('维度字典'!$A$2:$A$200))+1))</f>
        <v/>
      </c>
      <c r="D36" s="13">
        <f>IF($B36="","",INDEX('维度字典'!$E$2:$E$200,MOD(32,COUNTA('维度字典'!$E$2:$E$200))+1))</f>
        <v/>
      </c>
      <c r="E36" s="38">
        <f>IF($B36="","",SUMPRODUCT(('系统实绩导入'!$B$4:$B$1500=$B36)*('系统实绩导入'!$C$4:$C$1500=$C36)*('系统实绩导入'!$D$4:$D$1500=$D36)*('系统实绩导入'!$F$4:$F$1500="实绩销售额")*('系统实绩导入'!$G$3:$R$3=$F$1)*'系统实绩导入'!$G$4:$R$1500))</f>
        <v/>
      </c>
      <c r="F36" s="38">
        <f>IF($B36="","",SUMPRODUCT(('系统实绩导入'!$B$4:$B$1500=$B36)*('系统实绩导入'!$C$4:$C$1500=$C36)*('系统实绩导入'!$D$4:$D$1500=$D36)*('系统实绩导入'!$F$4:$F$1500="实绩毛利")*('系统实绩导入'!$G$3:$R$3=$F$1)*'系统实绩导入'!$G$4:$R$1500))</f>
        <v/>
      </c>
      <c r="G36" s="39">
        <f>IF($B36="","",IFERROR(F36/E36,""))</f>
        <v/>
      </c>
      <c r="H36" s="38">
        <f>IF($B36="","",SUMPRODUCT(('目标填报'!$B$4:$B$1500=$B36)*('目标填报'!$C$4:$C$1500=$C36)*('目标填报'!$D$4:$D$1500=$D36)*('目标填报'!$F$4:$F$1500="销售目标额")*('目标填报'!$G$3:$R$3=$F$1)*'目标填报'!$G$4:$R$1500))</f>
        <v/>
      </c>
      <c r="I36" s="39">
        <f>IF($B36="","",IFERROR(E36/H36,""))</f>
        <v/>
      </c>
      <c r="J36" s="38">
        <f>IF($B36="","",SUMPRODUCT(('系统实绩导入'!$B$4:$B$1500=$B36)*('系统实绩导入'!$C$4:$C$1500=$C36)*('系统实绩导入'!$D$4:$D$1500=$D36)*('系统实绩导入'!$F$4:$F$1500="实绩销售额")*('系统实绩导入'!$G$3:$R$3&lt;=$F$1)*'系统实绩导入'!$G$4:$R$1500))</f>
        <v/>
      </c>
      <c r="K36" s="38">
        <f>IF($B36="","",SUMPRODUCT(('系统实绩导入'!$B$4:$B$1500=$B36)*('系统实绩导入'!$C$4:$C$1500=$C36)*('系统实绩导入'!$D$4:$D$1500=$D36)*('系统实绩导入'!$F$4:$F$1500="实绩毛利")*('系统实绩导入'!$G$3:$R$3&lt;=$F$1)*'系统实绩导入'!$G$4:$R$1500))</f>
        <v/>
      </c>
      <c r="L36" s="39">
        <f>IF($B36="","",IFERROR(K36/J36,""))</f>
        <v/>
      </c>
      <c r="M36" s="38">
        <f>IF($B36="","",SUMIFS('目标填报'!$S$4:$S$1500,'目标填报'!$B$4:$B$1500,$B36,'目标填报'!$C$4:$C$1500,$C36,'目标填报'!$D$4:$D$1500,$D36,'目标填报'!$F$4:$F$1500,"销售目标额"))</f>
        <v/>
      </c>
      <c r="N36" s="39">
        <f>IF($B36="","",IFERROR(J36/M36,""))</f>
        <v/>
      </c>
      <c r="O36" s="40">
        <f>IF($B36="","",J36-M36)</f>
        <v/>
      </c>
      <c r="P36" s="38">
        <f>IF($B36="","",SUMPRODUCT(('目标填报'!$B$4:$B$1500=$B36)*('目标填报'!$C$4:$C$1500=$C36)*('目标填报'!$D$4:$D$1500=$D36)*('目标填报'!$F$4:$F$1500="在手订单")*('目标填报'!$G$3:$R$3=$F$1)*'目标填报'!$G$4:$R$1500))</f>
        <v/>
      </c>
      <c r="Q36" s="38">
        <f>IF($B36="","",SUMPRODUCT(('目标填报'!$B$4:$B$1500=$B36)*('目标填报'!$C$4:$C$1500=$C36)*('目标填报'!$D$4:$D$1500=$D36)*('目标填报'!$F$4:$F$1500="在手订单目标")*('目标填报'!$G$3:$R$3=$F$1)*'目标填报'!$G$4:$R$1500))</f>
        <v/>
      </c>
      <c r="R36" s="39">
        <f>IF($B36="","",IFERROR(P36/Q36,""))</f>
        <v/>
      </c>
      <c r="S36" s="38">
        <f>IF($B36="","",SUMPRODUCT(('目标填报'!$B$4:$B$1500=$B36)*('目标填报'!$C$4:$C$1500=$C36)*('目标填报'!$D$4:$D$1500=$D36)*('目标填报'!$F$4:$F$1500="目标客户机会")*('目标填报'!$G$3:$R$3=$F$1)*'目标填报'!$G$4:$R$1500))</f>
        <v/>
      </c>
      <c r="T36" s="38">
        <f>IF($B36="","",SUMPRODUCT(('目标填报'!$B$4:$B$1500=$B36)*('目标填报'!$C$4:$C$1500=$C36)*('目标填报'!$D$4:$D$1500=$D36)*('目标填报'!$F$4:$F$1500="目标客户机会目标")*('目标填报'!$G$3:$R$3=$F$1)*'目标填报'!$G$4:$R$1500))</f>
        <v/>
      </c>
      <c r="U36" s="39">
        <f>IF($B36="","",IFERROR(S36/T36,""))</f>
        <v/>
      </c>
      <c r="V36" s="38">
        <f>IF($B36="","",P36+S36)</f>
        <v/>
      </c>
      <c r="W36" s="38">
        <f>IF($B36="","",M36-J36)</f>
        <v/>
      </c>
      <c r="X36" s="39">
        <f>IF($B36="","",IFERROR(V36/W36,""))</f>
        <v/>
      </c>
      <c r="Y36" s="40">
        <f>IF($B36="","",V36-W36)</f>
        <v/>
      </c>
    </row>
    <row r="37">
      <c r="A37" s="37">
        <f>IF($B37="","",ROW()-3)</f>
        <v/>
      </c>
      <c r="B37" s="13">
        <f>IF(33+1&gt;COUNTA('维度字典'!$C$2:$C$200)*COUNTA('维度字典'!$A$2:$A$200)*COUNTA('维度字典'!$E$2:$E$200),"",INDEX('维度字典'!$C$2:$C$200,MOD(INT(33/(COUNTA('维度字典'!$E$2:$E$200)*COUNTA('维度字典'!$A$2:$A$200))),COUNTA('维度字典'!$C$2:$C$200))+1))</f>
        <v/>
      </c>
      <c r="C37" s="13">
        <f>IF($B37="","",INDEX('维度字典'!$A$2:$A$200,MOD(INT(33/COUNTA('维度字典'!$E$2:$E$200)),COUNTA('维度字典'!$A$2:$A$200))+1))</f>
        <v/>
      </c>
      <c r="D37" s="13">
        <f>IF($B37="","",INDEX('维度字典'!$E$2:$E$200,MOD(33,COUNTA('维度字典'!$E$2:$E$200))+1))</f>
        <v/>
      </c>
      <c r="E37" s="38">
        <f>IF($B37="","",SUMPRODUCT(('系统实绩导入'!$B$4:$B$1500=$B37)*('系统实绩导入'!$C$4:$C$1500=$C37)*('系统实绩导入'!$D$4:$D$1500=$D37)*('系统实绩导入'!$F$4:$F$1500="实绩销售额")*('系统实绩导入'!$G$3:$R$3=$F$1)*'系统实绩导入'!$G$4:$R$1500))</f>
        <v/>
      </c>
      <c r="F37" s="38">
        <f>IF($B37="","",SUMPRODUCT(('系统实绩导入'!$B$4:$B$1500=$B37)*('系统实绩导入'!$C$4:$C$1500=$C37)*('系统实绩导入'!$D$4:$D$1500=$D37)*('系统实绩导入'!$F$4:$F$1500="实绩毛利")*('系统实绩导入'!$G$3:$R$3=$F$1)*'系统实绩导入'!$G$4:$R$1500))</f>
        <v/>
      </c>
      <c r="G37" s="39">
        <f>IF($B37="","",IFERROR(F37/E37,""))</f>
        <v/>
      </c>
      <c r="H37" s="38">
        <f>IF($B37="","",SUMPRODUCT(('目标填报'!$B$4:$B$1500=$B37)*('目标填报'!$C$4:$C$1500=$C37)*('目标填报'!$D$4:$D$1500=$D37)*('目标填报'!$F$4:$F$1500="销售目标额")*('目标填报'!$G$3:$R$3=$F$1)*'目标填报'!$G$4:$R$1500))</f>
        <v/>
      </c>
      <c r="I37" s="39">
        <f>IF($B37="","",IFERROR(E37/H37,""))</f>
        <v/>
      </c>
      <c r="J37" s="38">
        <f>IF($B37="","",SUMPRODUCT(('系统实绩导入'!$B$4:$B$1500=$B37)*('系统实绩导入'!$C$4:$C$1500=$C37)*('系统实绩导入'!$D$4:$D$1500=$D37)*('系统实绩导入'!$F$4:$F$1500="实绩销售额")*('系统实绩导入'!$G$3:$R$3&lt;=$F$1)*'系统实绩导入'!$G$4:$R$1500))</f>
        <v/>
      </c>
      <c r="K37" s="38">
        <f>IF($B37="","",SUMPRODUCT(('系统实绩导入'!$B$4:$B$1500=$B37)*('系统实绩导入'!$C$4:$C$1500=$C37)*('系统实绩导入'!$D$4:$D$1500=$D37)*('系统实绩导入'!$F$4:$F$1500="实绩毛利")*('系统实绩导入'!$G$3:$R$3&lt;=$F$1)*'系统实绩导入'!$G$4:$R$1500))</f>
        <v/>
      </c>
      <c r="L37" s="39">
        <f>IF($B37="","",IFERROR(K37/J37,""))</f>
        <v/>
      </c>
      <c r="M37" s="38">
        <f>IF($B37="","",SUMIFS('目标填报'!$S$4:$S$1500,'目标填报'!$B$4:$B$1500,$B37,'目标填报'!$C$4:$C$1500,$C37,'目标填报'!$D$4:$D$1500,$D37,'目标填报'!$F$4:$F$1500,"销售目标额"))</f>
        <v/>
      </c>
      <c r="N37" s="39">
        <f>IF($B37="","",IFERROR(J37/M37,""))</f>
        <v/>
      </c>
      <c r="O37" s="40">
        <f>IF($B37="","",J37-M37)</f>
        <v/>
      </c>
      <c r="P37" s="38">
        <f>IF($B37="","",SUMPRODUCT(('目标填报'!$B$4:$B$1500=$B37)*('目标填报'!$C$4:$C$1500=$C37)*('目标填报'!$D$4:$D$1500=$D37)*('目标填报'!$F$4:$F$1500="在手订单")*('目标填报'!$G$3:$R$3=$F$1)*'目标填报'!$G$4:$R$1500))</f>
        <v/>
      </c>
      <c r="Q37" s="38">
        <f>IF($B37="","",SUMPRODUCT(('目标填报'!$B$4:$B$1500=$B37)*('目标填报'!$C$4:$C$1500=$C37)*('目标填报'!$D$4:$D$1500=$D37)*('目标填报'!$F$4:$F$1500="在手订单目标")*('目标填报'!$G$3:$R$3=$F$1)*'目标填报'!$G$4:$R$1500))</f>
        <v/>
      </c>
      <c r="R37" s="39">
        <f>IF($B37="","",IFERROR(P37/Q37,""))</f>
        <v/>
      </c>
      <c r="S37" s="38">
        <f>IF($B37="","",SUMPRODUCT(('目标填报'!$B$4:$B$1500=$B37)*('目标填报'!$C$4:$C$1500=$C37)*('目标填报'!$D$4:$D$1500=$D37)*('目标填报'!$F$4:$F$1500="目标客户机会")*('目标填报'!$G$3:$R$3=$F$1)*'目标填报'!$G$4:$R$1500))</f>
        <v/>
      </c>
      <c r="T37" s="38">
        <f>IF($B37="","",SUMPRODUCT(('目标填报'!$B$4:$B$1500=$B37)*('目标填报'!$C$4:$C$1500=$C37)*('目标填报'!$D$4:$D$1500=$D37)*('目标填报'!$F$4:$F$1500="目标客户机会目标")*('目标填报'!$G$3:$R$3=$F$1)*'目标填报'!$G$4:$R$1500))</f>
        <v/>
      </c>
      <c r="U37" s="39">
        <f>IF($B37="","",IFERROR(S37/T37,""))</f>
        <v/>
      </c>
      <c r="V37" s="38">
        <f>IF($B37="","",P37+S37)</f>
        <v/>
      </c>
      <c r="W37" s="38">
        <f>IF($B37="","",M37-J37)</f>
        <v/>
      </c>
      <c r="X37" s="39">
        <f>IF($B37="","",IFERROR(V37/W37,""))</f>
        <v/>
      </c>
      <c r="Y37" s="40">
        <f>IF($B37="","",V37-W37)</f>
        <v/>
      </c>
    </row>
    <row r="38">
      <c r="A38" s="37">
        <f>IF($B38="","",ROW()-3)</f>
        <v/>
      </c>
      <c r="B38" s="13">
        <f>IF(34+1&gt;COUNTA('维度字典'!$C$2:$C$200)*COUNTA('维度字典'!$A$2:$A$200)*COUNTA('维度字典'!$E$2:$E$200),"",INDEX('维度字典'!$C$2:$C$200,MOD(INT(34/(COUNTA('维度字典'!$E$2:$E$200)*COUNTA('维度字典'!$A$2:$A$200))),COUNTA('维度字典'!$C$2:$C$200))+1))</f>
        <v/>
      </c>
      <c r="C38" s="13">
        <f>IF($B38="","",INDEX('维度字典'!$A$2:$A$200,MOD(INT(34/COUNTA('维度字典'!$E$2:$E$200)),COUNTA('维度字典'!$A$2:$A$200))+1))</f>
        <v/>
      </c>
      <c r="D38" s="13">
        <f>IF($B38="","",INDEX('维度字典'!$E$2:$E$200,MOD(34,COUNTA('维度字典'!$E$2:$E$200))+1))</f>
        <v/>
      </c>
      <c r="E38" s="38">
        <f>IF($B38="","",SUMPRODUCT(('系统实绩导入'!$B$4:$B$1500=$B38)*('系统实绩导入'!$C$4:$C$1500=$C38)*('系统实绩导入'!$D$4:$D$1500=$D38)*('系统实绩导入'!$F$4:$F$1500="实绩销售额")*('系统实绩导入'!$G$3:$R$3=$F$1)*'系统实绩导入'!$G$4:$R$1500))</f>
        <v/>
      </c>
      <c r="F38" s="38">
        <f>IF($B38="","",SUMPRODUCT(('系统实绩导入'!$B$4:$B$1500=$B38)*('系统实绩导入'!$C$4:$C$1500=$C38)*('系统实绩导入'!$D$4:$D$1500=$D38)*('系统实绩导入'!$F$4:$F$1500="实绩毛利")*('系统实绩导入'!$G$3:$R$3=$F$1)*'系统实绩导入'!$G$4:$R$1500))</f>
        <v/>
      </c>
      <c r="G38" s="39">
        <f>IF($B38="","",IFERROR(F38/E38,""))</f>
        <v/>
      </c>
      <c r="H38" s="38">
        <f>IF($B38="","",SUMPRODUCT(('目标填报'!$B$4:$B$1500=$B38)*('目标填报'!$C$4:$C$1500=$C38)*('目标填报'!$D$4:$D$1500=$D38)*('目标填报'!$F$4:$F$1500="销售目标额")*('目标填报'!$G$3:$R$3=$F$1)*'目标填报'!$G$4:$R$1500))</f>
        <v/>
      </c>
      <c r="I38" s="39">
        <f>IF($B38="","",IFERROR(E38/H38,""))</f>
        <v/>
      </c>
      <c r="J38" s="38">
        <f>IF($B38="","",SUMPRODUCT(('系统实绩导入'!$B$4:$B$1500=$B38)*('系统实绩导入'!$C$4:$C$1500=$C38)*('系统实绩导入'!$D$4:$D$1500=$D38)*('系统实绩导入'!$F$4:$F$1500="实绩销售额")*('系统实绩导入'!$G$3:$R$3&lt;=$F$1)*'系统实绩导入'!$G$4:$R$1500))</f>
        <v/>
      </c>
      <c r="K38" s="38">
        <f>IF($B38="","",SUMPRODUCT(('系统实绩导入'!$B$4:$B$1500=$B38)*('系统实绩导入'!$C$4:$C$1500=$C38)*('系统实绩导入'!$D$4:$D$1500=$D38)*('系统实绩导入'!$F$4:$F$1500="实绩毛利")*('系统实绩导入'!$G$3:$R$3&lt;=$F$1)*'系统实绩导入'!$G$4:$R$1500))</f>
        <v/>
      </c>
      <c r="L38" s="39">
        <f>IF($B38="","",IFERROR(K38/J38,""))</f>
        <v/>
      </c>
      <c r="M38" s="38">
        <f>IF($B38="","",SUMIFS('目标填报'!$S$4:$S$1500,'目标填报'!$B$4:$B$1500,$B38,'目标填报'!$C$4:$C$1500,$C38,'目标填报'!$D$4:$D$1500,$D38,'目标填报'!$F$4:$F$1500,"销售目标额"))</f>
        <v/>
      </c>
      <c r="N38" s="39">
        <f>IF($B38="","",IFERROR(J38/M38,""))</f>
        <v/>
      </c>
      <c r="O38" s="40">
        <f>IF($B38="","",J38-M38)</f>
        <v/>
      </c>
      <c r="P38" s="38">
        <f>IF($B38="","",SUMPRODUCT(('目标填报'!$B$4:$B$1500=$B38)*('目标填报'!$C$4:$C$1500=$C38)*('目标填报'!$D$4:$D$1500=$D38)*('目标填报'!$F$4:$F$1500="在手订单")*('目标填报'!$G$3:$R$3=$F$1)*'目标填报'!$G$4:$R$1500))</f>
        <v/>
      </c>
      <c r="Q38" s="38">
        <f>IF($B38="","",SUMPRODUCT(('目标填报'!$B$4:$B$1500=$B38)*('目标填报'!$C$4:$C$1500=$C38)*('目标填报'!$D$4:$D$1500=$D38)*('目标填报'!$F$4:$F$1500="在手订单目标")*('目标填报'!$G$3:$R$3=$F$1)*'目标填报'!$G$4:$R$1500))</f>
        <v/>
      </c>
      <c r="R38" s="39">
        <f>IF($B38="","",IFERROR(P38/Q38,""))</f>
        <v/>
      </c>
      <c r="S38" s="38">
        <f>IF($B38="","",SUMPRODUCT(('目标填报'!$B$4:$B$1500=$B38)*('目标填报'!$C$4:$C$1500=$C38)*('目标填报'!$D$4:$D$1500=$D38)*('目标填报'!$F$4:$F$1500="目标客户机会")*('目标填报'!$G$3:$R$3=$F$1)*'目标填报'!$G$4:$R$1500))</f>
        <v/>
      </c>
      <c r="T38" s="38">
        <f>IF($B38="","",SUMPRODUCT(('目标填报'!$B$4:$B$1500=$B38)*('目标填报'!$C$4:$C$1500=$C38)*('目标填报'!$D$4:$D$1500=$D38)*('目标填报'!$F$4:$F$1500="目标客户机会目标")*('目标填报'!$G$3:$R$3=$F$1)*'目标填报'!$G$4:$R$1500))</f>
        <v/>
      </c>
      <c r="U38" s="39">
        <f>IF($B38="","",IFERROR(S38/T38,""))</f>
        <v/>
      </c>
      <c r="V38" s="38">
        <f>IF($B38="","",P38+S38)</f>
        <v/>
      </c>
      <c r="W38" s="38">
        <f>IF($B38="","",M38-J38)</f>
        <v/>
      </c>
      <c r="X38" s="39">
        <f>IF($B38="","",IFERROR(V38/W38,""))</f>
        <v/>
      </c>
      <c r="Y38" s="40">
        <f>IF($B38="","",V38-W38)</f>
        <v/>
      </c>
    </row>
    <row r="39">
      <c r="A39" s="37">
        <f>IF($B39="","",ROW()-3)</f>
        <v/>
      </c>
      <c r="B39" s="13">
        <f>IF(35+1&gt;COUNTA('维度字典'!$C$2:$C$200)*COUNTA('维度字典'!$A$2:$A$200)*COUNTA('维度字典'!$E$2:$E$200),"",INDEX('维度字典'!$C$2:$C$200,MOD(INT(35/(COUNTA('维度字典'!$E$2:$E$200)*COUNTA('维度字典'!$A$2:$A$200))),COUNTA('维度字典'!$C$2:$C$200))+1))</f>
        <v/>
      </c>
      <c r="C39" s="13">
        <f>IF($B39="","",INDEX('维度字典'!$A$2:$A$200,MOD(INT(35/COUNTA('维度字典'!$E$2:$E$200)),COUNTA('维度字典'!$A$2:$A$200))+1))</f>
        <v/>
      </c>
      <c r="D39" s="13">
        <f>IF($B39="","",INDEX('维度字典'!$E$2:$E$200,MOD(35,COUNTA('维度字典'!$E$2:$E$200))+1))</f>
        <v/>
      </c>
      <c r="E39" s="38">
        <f>IF($B39="","",SUMPRODUCT(('系统实绩导入'!$B$4:$B$1500=$B39)*('系统实绩导入'!$C$4:$C$1500=$C39)*('系统实绩导入'!$D$4:$D$1500=$D39)*('系统实绩导入'!$F$4:$F$1500="实绩销售额")*('系统实绩导入'!$G$3:$R$3=$F$1)*'系统实绩导入'!$G$4:$R$1500))</f>
        <v/>
      </c>
      <c r="F39" s="38">
        <f>IF($B39="","",SUMPRODUCT(('系统实绩导入'!$B$4:$B$1500=$B39)*('系统实绩导入'!$C$4:$C$1500=$C39)*('系统实绩导入'!$D$4:$D$1500=$D39)*('系统实绩导入'!$F$4:$F$1500="实绩毛利")*('系统实绩导入'!$G$3:$R$3=$F$1)*'系统实绩导入'!$G$4:$R$1500))</f>
        <v/>
      </c>
      <c r="G39" s="39">
        <f>IF($B39="","",IFERROR(F39/E39,""))</f>
        <v/>
      </c>
      <c r="H39" s="38">
        <f>IF($B39="","",SUMPRODUCT(('目标填报'!$B$4:$B$1500=$B39)*('目标填报'!$C$4:$C$1500=$C39)*('目标填报'!$D$4:$D$1500=$D39)*('目标填报'!$F$4:$F$1500="销售目标额")*('目标填报'!$G$3:$R$3=$F$1)*'目标填报'!$G$4:$R$1500))</f>
        <v/>
      </c>
      <c r="I39" s="39">
        <f>IF($B39="","",IFERROR(E39/H39,""))</f>
        <v/>
      </c>
      <c r="J39" s="38">
        <f>IF($B39="","",SUMPRODUCT(('系统实绩导入'!$B$4:$B$1500=$B39)*('系统实绩导入'!$C$4:$C$1500=$C39)*('系统实绩导入'!$D$4:$D$1500=$D39)*('系统实绩导入'!$F$4:$F$1500="实绩销售额")*('系统实绩导入'!$G$3:$R$3&lt;=$F$1)*'系统实绩导入'!$G$4:$R$1500))</f>
        <v/>
      </c>
      <c r="K39" s="38">
        <f>IF($B39="","",SUMPRODUCT(('系统实绩导入'!$B$4:$B$1500=$B39)*('系统实绩导入'!$C$4:$C$1500=$C39)*('系统实绩导入'!$D$4:$D$1500=$D39)*('系统实绩导入'!$F$4:$F$1500="实绩毛利")*('系统实绩导入'!$G$3:$R$3&lt;=$F$1)*'系统实绩导入'!$G$4:$R$1500))</f>
        <v/>
      </c>
      <c r="L39" s="39">
        <f>IF($B39="","",IFERROR(K39/J39,""))</f>
        <v/>
      </c>
      <c r="M39" s="38">
        <f>IF($B39="","",SUMIFS('目标填报'!$S$4:$S$1500,'目标填报'!$B$4:$B$1500,$B39,'目标填报'!$C$4:$C$1500,$C39,'目标填报'!$D$4:$D$1500,$D39,'目标填报'!$F$4:$F$1500,"销售目标额"))</f>
        <v/>
      </c>
      <c r="N39" s="39">
        <f>IF($B39="","",IFERROR(J39/M39,""))</f>
        <v/>
      </c>
      <c r="O39" s="40">
        <f>IF($B39="","",J39-M39)</f>
        <v/>
      </c>
      <c r="P39" s="38">
        <f>IF($B39="","",SUMPRODUCT(('目标填报'!$B$4:$B$1500=$B39)*('目标填报'!$C$4:$C$1500=$C39)*('目标填报'!$D$4:$D$1500=$D39)*('目标填报'!$F$4:$F$1500="在手订单")*('目标填报'!$G$3:$R$3=$F$1)*'目标填报'!$G$4:$R$1500))</f>
        <v/>
      </c>
      <c r="Q39" s="38">
        <f>IF($B39="","",SUMPRODUCT(('目标填报'!$B$4:$B$1500=$B39)*('目标填报'!$C$4:$C$1500=$C39)*('目标填报'!$D$4:$D$1500=$D39)*('目标填报'!$F$4:$F$1500="在手订单目标")*('目标填报'!$G$3:$R$3=$F$1)*'目标填报'!$G$4:$R$1500))</f>
        <v/>
      </c>
      <c r="R39" s="39">
        <f>IF($B39="","",IFERROR(P39/Q39,""))</f>
        <v/>
      </c>
      <c r="S39" s="38">
        <f>IF($B39="","",SUMPRODUCT(('目标填报'!$B$4:$B$1500=$B39)*('目标填报'!$C$4:$C$1500=$C39)*('目标填报'!$D$4:$D$1500=$D39)*('目标填报'!$F$4:$F$1500="目标客户机会")*('目标填报'!$G$3:$R$3=$F$1)*'目标填报'!$G$4:$R$1500))</f>
        <v/>
      </c>
      <c r="T39" s="38">
        <f>IF($B39="","",SUMPRODUCT(('目标填报'!$B$4:$B$1500=$B39)*('目标填报'!$C$4:$C$1500=$C39)*('目标填报'!$D$4:$D$1500=$D39)*('目标填报'!$F$4:$F$1500="目标客户机会目标")*('目标填报'!$G$3:$R$3=$F$1)*'目标填报'!$G$4:$R$1500))</f>
        <v/>
      </c>
      <c r="U39" s="39">
        <f>IF($B39="","",IFERROR(S39/T39,""))</f>
        <v/>
      </c>
      <c r="V39" s="38">
        <f>IF($B39="","",P39+S39)</f>
        <v/>
      </c>
      <c r="W39" s="38">
        <f>IF($B39="","",M39-J39)</f>
        <v/>
      </c>
      <c r="X39" s="39">
        <f>IF($B39="","",IFERROR(V39/W39,""))</f>
        <v/>
      </c>
      <c r="Y39" s="40">
        <f>IF($B39="","",V39-W39)</f>
        <v/>
      </c>
    </row>
    <row r="40">
      <c r="A40" s="37">
        <f>IF($B40="","",ROW()-3)</f>
        <v/>
      </c>
      <c r="B40" s="13">
        <f>IF(36+1&gt;COUNTA('维度字典'!$C$2:$C$200)*COUNTA('维度字典'!$A$2:$A$200)*COUNTA('维度字典'!$E$2:$E$200),"",INDEX('维度字典'!$C$2:$C$200,MOD(INT(36/(COUNTA('维度字典'!$E$2:$E$200)*COUNTA('维度字典'!$A$2:$A$200))),COUNTA('维度字典'!$C$2:$C$200))+1))</f>
        <v/>
      </c>
      <c r="C40" s="13">
        <f>IF($B40="","",INDEX('维度字典'!$A$2:$A$200,MOD(INT(36/COUNTA('维度字典'!$E$2:$E$200)),COUNTA('维度字典'!$A$2:$A$200))+1))</f>
        <v/>
      </c>
      <c r="D40" s="13">
        <f>IF($B40="","",INDEX('维度字典'!$E$2:$E$200,MOD(36,COUNTA('维度字典'!$E$2:$E$200))+1))</f>
        <v/>
      </c>
      <c r="E40" s="38">
        <f>IF($B40="","",SUMPRODUCT(('系统实绩导入'!$B$4:$B$1500=$B40)*('系统实绩导入'!$C$4:$C$1500=$C40)*('系统实绩导入'!$D$4:$D$1500=$D40)*('系统实绩导入'!$F$4:$F$1500="实绩销售额")*('系统实绩导入'!$G$3:$R$3=$F$1)*'系统实绩导入'!$G$4:$R$1500))</f>
        <v/>
      </c>
      <c r="F40" s="38">
        <f>IF($B40="","",SUMPRODUCT(('系统实绩导入'!$B$4:$B$1500=$B40)*('系统实绩导入'!$C$4:$C$1500=$C40)*('系统实绩导入'!$D$4:$D$1500=$D40)*('系统实绩导入'!$F$4:$F$1500="实绩毛利")*('系统实绩导入'!$G$3:$R$3=$F$1)*'系统实绩导入'!$G$4:$R$1500))</f>
        <v/>
      </c>
      <c r="G40" s="39">
        <f>IF($B40="","",IFERROR(F40/E40,""))</f>
        <v/>
      </c>
      <c r="H40" s="38">
        <f>IF($B40="","",SUMPRODUCT(('目标填报'!$B$4:$B$1500=$B40)*('目标填报'!$C$4:$C$1500=$C40)*('目标填报'!$D$4:$D$1500=$D40)*('目标填报'!$F$4:$F$1500="销售目标额")*('目标填报'!$G$3:$R$3=$F$1)*'目标填报'!$G$4:$R$1500))</f>
        <v/>
      </c>
      <c r="I40" s="39">
        <f>IF($B40="","",IFERROR(E40/H40,""))</f>
        <v/>
      </c>
      <c r="J40" s="38">
        <f>IF($B40="","",SUMPRODUCT(('系统实绩导入'!$B$4:$B$1500=$B40)*('系统实绩导入'!$C$4:$C$1500=$C40)*('系统实绩导入'!$D$4:$D$1500=$D40)*('系统实绩导入'!$F$4:$F$1500="实绩销售额")*('系统实绩导入'!$G$3:$R$3&lt;=$F$1)*'系统实绩导入'!$G$4:$R$1500))</f>
        <v/>
      </c>
      <c r="K40" s="38">
        <f>IF($B40="","",SUMPRODUCT(('系统实绩导入'!$B$4:$B$1500=$B40)*('系统实绩导入'!$C$4:$C$1500=$C40)*('系统实绩导入'!$D$4:$D$1500=$D40)*('系统实绩导入'!$F$4:$F$1500="实绩毛利")*('系统实绩导入'!$G$3:$R$3&lt;=$F$1)*'系统实绩导入'!$G$4:$R$1500))</f>
        <v/>
      </c>
      <c r="L40" s="39">
        <f>IF($B40="","",IFERROR(K40/J40,""))</f>
        <v/>
      </c>
      <c r="M40" s="38">
        <f>IF($B40="","",SUMIFS('目标填报'!$S$4:$S$1500,'目标填报'!$B$4:$B$1500,$B40,'目标填报'!$C$4:$C$1500,$C40,'目标填报'!$D$4:$D$1500,$D40,'目标填报'!$F$4:$F$1500,"销售目标额"))</f>
        <v/>
      </c>
      <c r="N40" s="39">
        <f>IF($B40="","",IFERROR(J40/M40,""))</f>
        <v/>
      </c>
      <c r="O40" s="40">
        <f>IF($B40="","",J40-M40)</f>
        <v/>
      </c>
      <c r="P40" s="38">
        <f>IF($B40="","",SUMPRODUCT(('目标填报'!$B$4:$B$1500=$B40)*('目标填报'!$C$4:$C$1500=$C40)*('目标填报'!$D$4:$D$1500=$D40)*('目标填报'!$F$4:$F$1500="在手订单")*('目标填报'!$G$3:$R$3=$F$1)*'目标填报'!$G$4:$R$1500))</f>
        <v/>
      </c>
      <c r="Q40" s="38">
        <f>IF($B40="","",SUMPRODUCT(('目标填报'!$B$4:$B$1500=$B40)*('目标填报'!$C$4:$C$1500=$C40)*('目标填报'!$D$4:$D$1500=$D40)*('目标填报'!$F$4:$F$1500="在手订单目标")*('目标填报'!$G$3:$R$3=$F$1)*'目标填报'!$G$4:$R$1500))</f>
        <v/>
      </c>
      <c r="R40" s="39">
        <f>IF($B40="","",IFERROR(P40/Q40,""))</f>
        <v/>
      </c>
      <c r="S40" s="38">
        <f>IF($B40="","",SUMPRODUCT(('目标填报'!$B$4:$B$1500=$B40)*('目标填报'!$C$4:$C$1500=$C40)*('目标填报'!$D$4:$D$1500=$D40)*('目标填报'!$F$4:$F$1500="目标客户机会")*('目标填报'!$G$3:$R$3=$F$1)*'目标填报'!$G$4:$R$1500))</f>
        <v/>
      </c>
      <c r="T40" s="38">
        <f>IF($B40="","",SUMPRODUCT(('目标填报'!$B$4:$B$1500=$B40)*('目标填报'!$C$4:$C$1500=$C40)*('目标填报'!$D$4:$D$1500=$D40)*('目标填报'!$F$4:$F$1500="目标客户机会目标")*('目标填报'!$G$3:$R$3=$F$1)*'目标填报'!$G$4:$R$1500))</f>
        <v/>
      </c>
      <c r="U40" s="39">
        <f>IF($B40="","",IFERROR(S40/T40,""))</f>
        <v/>
      </c>
      <c r="V40" s="38">
        <f>IF($B40="","",P40+S40)</f>
        <v/>
      </c>
      <c r="W40" s="38">
        <f>IF($B40="","",M40-J40)</f>
        <v/>
      </c>
      <c r="X40" s="39">
        <f>IF($B40="","",IFERROR(V40/W40,""))</f>
        <v/>
      </c>
      <c r="Y40" s="40">
        <f>IF($B40="","",V40-W40)</f>
        <v/>
      </c>
    </row>
    <row r="41">
      <c r="A41" s="37">
        <f>IF($B41="","",ROW()-3)</f>
        <v/>
      </c>
      <c r="B41" s="13">
        <f>IF(37+1&gt;COUNTA('维度字典'!$C$2:$C$200)*COUNTA('维度字典'!$A$2:$A$200)*COUNTA('维度字典'!$E$2:$E$200),"",INDEX('维度字典'!$C$2:$C$200,MOD(INT(37/(COUNTA('维度字典'!$E$2:$E$200)*COUNTA('维度字典'!$A$2:$A$200))),COUNTA('维度字典'!$C$2:$C$200))+1))</f>
        <v/>
      </c>
      <c r="C41" s="13">
        <f>IF($B41="","",INDEX('维度字典'!$A$2:$A$200,MOD(INT(37/COUNTA('维度字典'!$E$2:$E$200)),COUNTA('维度字典'!$A$2:$A$200))+1))</f>
        <v/>
      </c>
      <c r="D41" s="13">
        <f>IF($B41="","",INDEX('维度字典'!$E$2:$E$200,MOD(37,COUNTA('维度字典'!$E$2:$E$200))+1))</f>
        <v/>
      </c>
      <c r="E41" s="38">
        <f>IF($B41="","",SUMPRODUCT(('系统实绩导入'!$B$4:$B$1500=$B41)*('系统实绩导入'!$C$4:$C$1500=$C41)*('系统实绩导入'!$D$4:$D$1500=$D41)*('系统实绩导入'!$F$4:$F$1500="实绩销售额")*('系统实绩导入'!$G$3:$R$3=$F$1)*'系统实绩导入'!$G$4:$R$1500))</f>
        <v/>
      </c>
      <c r="F41" s="38">
        <f>IF($B41="","",SUMPRODUCT(('系统实绩导入'!$B$4:$B$1500=$B41)*('系统实绩导入'!$C$4:$C$1500=$C41)*('系统实绩导入'!$D$4:$D$1500=$D41)*('系统实绩导入'!$F$4:$F$1500="实绩毛利")*('系统实绩导入'!$G$3:$R$3=$F$1)*'系统实绩导入'!$G$4:$R$1500))</f>
        <v/>
      </c>
      <c r="G41" s="39">
        <f>IF($B41="","",IFERROR(F41/E41,""))</f>
        <v/>
      </c>
      <c r="H41" s="38">
        <f>IF($B41="","",SUMPRODUCT(('目标填报'!$B$4:$B$1500=$B41)*('目标填报'!$C$4:$C$1500=$C41)*('目标填报'!$D$4:$D$1500=$D41)*('目标填报'!$F$4:$F$1500="销售目标额")*('目标填报'!$G$3:$R$3=$F$1)*'目标填报'!$G$4:$R$1500))</f>
        <v/>
      </c>
      <c r="I41" s="39">
        <f>IF($B41="","",IFERROR(E41/H41,""))</f>
        <v/>
      </c>
      <c r="J41" s="38">
        <f>IF($B41="","",SUMPRODUCT(('系统实绩导入'!$B$4:$B$1500=$B41)*('系统实绩导入'!$C$4:$C$1500=$C41)*('系统实绩导入'!$D$4:$D$1500=$D41)*('系统实绩导入'!$F$4:$F$1500="实绩销售额")*('系统实绩导入'!$G$3:$R$3&lt;=$F$1)*'系统实绩导入'!$G$4:$R$1500))</f>
        <v/>
      </c>
      <c r="K41" s="38">
        <f>IF($B41="","",SUMPRODUCT(('系统实绩导入'!$B$4:$B$1500=$B41)*('系统实绩导入'!$C$4:$C$1500=$C41)*('系统实绩导入'!$D$4:$D$1500=$D41)*('系统实绩导入'!$F$4:$F$1500="实绩毛利")*('系统实绩导入'!$G$3:$R$3&lt;=$F$1)*'系统实绩导入'!$G$4:$R$1500))</f>
        <v/>
      </c>
      <c r="L41" s="39">
        <f>IF($B41="","",IFERROR(K41/J41,""))</f>
        <v/>
      </c>
      <c r="M41" s="38">
        <f>IF($B41="","",SUMIFS('目标填报'!$S$4:$S$1500,'目标填报'!$B$4:$B$1500,$B41,'目标填报'!$C$4:$C$1500,$C41,'目标填报'!$D$4:$D$1500,$D41,'目标填报'!$F$4:$F$1500,"销售目标额"))</f>
        <v/>
      </c>
      <c r="N41" s="39">
        <f>IF($B41="","",IFERROR(J41/M41,""))</f>
        <v/>
      </c>
      <c r="O41" s="40">
        <f>IF($B41="","",J41-M41)</f>
        <v/>
      </c>
      <c r="P41" s="38">
        <f>IF($B41="","",SUMPRODUCT(('目标填报'!$B$4:$B$1500=$B41)*('目标填报'!$C$4:$C$1500=$C41)*('目标填报'!$D$4:$D$1500=$D41)*('目标填报'!$F$4:$F$1500="在手订单")*('目标填报'!$G$3:$R$3=$F$1)*'目标填报'!$G$4:$R$1500))</f>
        <v/>
      </c>
      <c r="Q41" s="38">
        <f>IF($B41="","",SUMPRODUCT(('目标填报'!$B$4:$B$1500=$B41)*('目标填报'!$C$4:$C$1500=$C41)*('目标填报'!$D$4:$D$1500=$D41)*('目标填报'!$F$4:$F$1500="在手订单目标")*('目标填报'!$G$3:$R$3=$F$1)*'目标填报'!$G$4:$R$1500))</f>
        <v/>
      </c>
      <c r="R41" s="39">
        <f>IF($B41="","",IFERROR(P41/Q41,""))</f>
        <v/>
      </c>
      <c r="S41" s="38">
        <f>IF($B41="","",SUMPRODUCT(('目标填报'!$B$4:$B$1500=$B41)*('目标填报'!$C$4:$C$1500=$C41)*('目标填报'!$D$4:$D$1500=$D41)*('目标填报'!$F$4:$F$1500="目标客户机会")*('目标填报'!$G$3:$R$3=$F$1)*'目标填报'!$G$4:$R$1500))</f>
        <v/>
      </c>
      <c r="T41" s="38">
        <f>IF($B41="","",SUMPRODUCT(('目标填报'!$B$4:$B$1500=$B41)*('目标填报'!$C$4:$C$1500=$C41)*('目标填报'!$D$4:$D$1500=$D41)*('目标填报'!$F$4:$F$1500="目标客户机会目标")*('目标填报'!$G$3:$R$3=$F$1)*'目标填报'!$G$4:$R$1500))</f>
        <v/>
      </c>
      <c r="U41" s="39">
        <f>IF($B41="","",IFERROR(S41/T41,""))</f>
        <v/>
      </c>
      <c r="V41" s="38">
        <f>IF($B41="","",P41+S41)</f>
        <v/>
      </c>
      <c r="W41" s="38">
        <f>IF($B41="","",M41-J41)</f>
        <v/>
      </c>
      <c r="X41" s="39">
        <f>IF($B41="","",IFERROR(V41/W41,""))</f>
        <v/>
      </c>
      <c r="Y41" s="40">
        <f>IF($B41="","",V41-W41)</f>
        <v/>
      </c>
    </row>
    <row r="42">
      <c r="A42" s="37">
        <f>IF($B42="","",ROW()-3)</f>
        <v/>
      </c>
      <c r="B42" s="13">
        <f>IF(38+1&gt;COUNTA('维度字典'!$C$2:$C$200)*COUNTA('维度字典'!$A$2:$A$200)*COUNTA('维度字典'!$E$2:$E$200),"",INDEX('维度字典'!$C$2:$C$200,MOD(INT(38/(COUNTA('维度字典'!$E$2:$E$200)*COUNTA('维度字典'!$A$2:$A$200))),COUNTA('维度字典'!$C$2:$C$200))+1))</f>
        <v/>
      </c>
      <c r="C42" s="13">
        <f>IF($B42="","",INDEX('维度字典'!$A$2:$A$200,MOD(INT(38/COUNTA('维度字典'!$E$2:$E$200)),COUNTA('维度字典'!$A$2:$A$200))+1))</f>
        <v/>
      </c>
      <c r="D42" s="13">
        <f>IF($B42="","",INDEX('维度字典'!$E$2:$E$200,MOD(38,COUNTA('维度字典'!$E$2:$E$200))+1))</f>
        <v/>
      </c>
      <c r="E42" s="38">
        <f>IF($B42="","",SUMPRODUCT(('系统实绩导入'!$B$4:$B$1500=$B42)*('系统实绩导入'!$C$4:$C$1500=$C42)*('系统实绩导入'!$D$4:$D$1500=$D42)*('系统实绩导入'!$F$4:$F$1500="实绩销售额")*('系统实绩导入'!$G$3:$R$3=$F$1)*'系统实绩导入'!$G$4:$R$1500))</f>
        <v/>
      </c>
      <c r="F42" s="38">
        <f>IF($B42="","",SUMPRODUCT(('系统实绩导入'!$B$4:$B$1500=$B42)*('系统实绩导入'!$C$4:$C$1500=$C42)*('系统实绩导入'!$D$4:$D$1500=$D42)*('系统实绩导入'!$F$4:$F$1500="实绩毛利")*('系统实绩导入'!$G$3:$R$3=$F$1)*'系统实绩导入'!$G$4:$R$1500))</f>
        <v/>
      </c>
      <c r="G42" s="39">
        <f>IF($B42="","",IFERROR(F42/E42,""))</f>
        <v/>
      </c>
      <c r="H42" s="38">
        <f>IF($B42="","",SUMPRODUCT(('目标填报'!$B$4:$B$1500=$B42)*('目标填报'!$C$4:$C$1500=$C42)*('目标填报'!$D$4:$D$1500=$D42)*('目标填报'!$F$4:$F$1500="销售目标额")*('目标填报'!$G$3:$R$3=$F$1)*'目标填报'!$G$4:$R$1500))</f>
        <v/>
      </c>
      <c r="I42" s="39">
        <f>IF($B42="","",IFERROR(E42/H42,""))</f>
        <v/>
      </c>
      <c r="J42" s="38">
        <f>IF($B42="","",SUMPRODUCT(('系统实绩导入'!$B$4:$B$1500=$B42)*('系统实绩导入'!$C$4:$C$1500=$C42)*('系统实绩导入'!$D$4:$D$1500=$D42)*('系统实绩导入'!$F$4:$F$1500="实绩销售额")*('系统实绩导入'!$G$3:$R$3&lt;=$F$1)*'系统实绩导入'!$G$4:$R$1500))</f>
        <v/>
      </c>
      <c r="K42" s="38">
        <f>IF($B42="","",SUMPRODUCT(('系统实绩导入'!$B$4:$B$1500=$B42)*('系统实绩导入'!$C$4:$C$1500=$C42)*('系统实绩导入'!$D$4:$D$1500=$D42)*('系统实绩导入'!$F$4:$F$1500="实绩毛利")*('系统实绩导入'!$G$3:$R$3&lt;=$F$1)*'系统实绩导入'!$G$4:$R$1500))</f>
        <v/>
      </c>
      <c r="L42" s="39">
        <f>IF($B42="","",IFERROR(K42/J42,""))</f>
        <v/>
      </c>
      <c r="M42" s="38">
        <f>IF($B42="","",SUMIFS('目标填报'!$S$4:$S$1500,'目标填报'!$B$4:$B$1500,$B42,'目标填报'!$C$4:$C$1500,$C42,'目标填报'!$D$4:$D$1500,$D42,'目标填报'!$F$4:$F$1500,"销售目标额"))</f>
        <v/>
      </c>
      <c r="N42" s="39">
        <f>IF($B42="","",IFERROR(J42/M42,""))</f>
        <v/>
      </c>
      <c r="O42" s="40">
        <f>IF($B42="","",J42-M42)</f>
        <v/>
      </c>
      <c r="P42" s="38">
        <f>IF($B42="","",SUMPRODUCT(('目标填报'!$B$4:$B$1500=$B42)*('目标填报'!$C$4:$C$1500=$C42)*('目标填报'!$D$4:$D$1500=$D42)*('目标填报'!$F$4:$F$1500="在手订单")*('目标填报'!$G$3:$R$3=$F$1)*'目标填报'!$G$4:$R$1500))</f>
        <v/>
      </c>
      <c r="Q42" s="38">
        <f>IF($B42="","",SUMPRODUCT(('目标填报'!$B$4:$B$1500=$B42)*('目标填报'!$C$4:$C$1500=$C42)*('目标填报'!$D$4:$D$1500=$D42)*('目标填报'!$F$4:$F$1500="在手订单目标")*('目标填报'!$G$3:$R$3=$F$1)*'目标填报'!$G$4:$R$1500))</f>
        <v/>
      </c>
      <c r="R42" s="39">
        <f>IF($B42="","",IFERROR(P42/Q42,""))</f>
        <v/>
      </c>
      <c r="S42" s="38">
        <f>IF($B42="","",SUMPRODUCT(('目标填报'!$B$4:$B$1500=$B42)*('目标填报'!$C$4:$C$1500=$C42)*('目标填报'!$D$4:$D$1500=$D42)*('目标填报'!$F$4:$F$1500="目标客户机会")*('目标填报'!$G$3:$R$3=$F$1)*'目标填报'!$G$4:$R$1500))</f>
        <v/>
      </c>
      <c r="T42" s="38">
        <f>IF($B42="","",SUMPRODUCT(('目标填报'!$B$4:$B$1500=$B42)*('目标填报'!$C$4:$C$1500=$C42)*('目标填报'!$D$4:$D$1500=$D42)*('目标填报'!$F$4:$F$1500="目标客户机会目标")*('目标填报'!$G$3:$R$3=$F$1)*'目标填报'!$G$4:$R$1500))</f>
        <v/>
      </c>
      <c r="U42" s="39">
        <f>IF($B42="","",IFERROR(S42/T42,""))</f>
        <v/>
      </c>
      <c r="V42" s="38">
        <f>IF($B42="","",P42+S42)</f>
        <v/>
      </c>
      <c r="W42" s="38">
        <f>IF($B42="","",M42-J42)</f>
        <v/>
      </c>
      <c r="X42" s="39">
        <f>IF($B42="","",IFERROR(V42/W42,""))</f>
        <v/>
      </c>
      <c r="Y42" s="40">
        <f>IF($B42="","",V42-W42)</f>
        <v/>
      </c>
    </row>
    <row r="43">
      <c r="A43" s="37">
        <f>IF($B43="","",ROW()-3)</f>
        <v/>
      </c>
      <c r="B43" s="13">
        <f>IF(39+1&gt;COUNTA('维度字典'!$C$2:$C$200)*COUNTA('维度字典'!$A$2:$A$200)*COUNTA('维度字典'!$E$2:$E$200),"",INDEX('维度字典'!$C$2:$C$200,MOD(INT(39/(COUNTA('维度字典'!$E$2:$E$200)*COUNTA('维度字典'!$A$2:$A$200))),COUNTA('维度字典'!$C$2:$C$200))+1))</f>
        <v/>
      </c>
      <c r="C43" s="13">
        <f>IF($B43="","",INDEX('维度字典'!$A$2:$A$200,MOD(INT(39/COUNTA('维度字典'!$E$2:$E$200)),COUNTA('维度字典'!$A$2:$A$200))+1))</f>
        <v/>
      </c>
      <c r="D43" s="13">
        <f>IF($B43="","",INDEX('维度字典'!$E$2:$E$200,MOD(39,COUNTA('维度字典'!$E$2:$E$200))+1))</f>
        <v/>
      </c>
      <c r="E43" s="38">
        <f>IF($B43="","",SUMPRODUCT(('系统实绩导入'!$B$4:$B$1500=$B43)*('系统实绩导入'!$C$4:$C$1500=$C43)*('系统实绩导入'!$D$4:$D$1500=$D43)*('系统实绩导入'!$F$4:$F$1500="实绩销售额")*('系统实绩导入'!$G$3:$R$3=$F$1)*'系统实绩导入'!$G$4:$R$1500))</f>
        <v/>
      </c>
      <c r="F43" s="38">
        <f>IF($B43="","",SUMPRODUCT(('系统实绩导入'!$B$4:$B$1500=$B43)*('系统实绩导入'!$C$4:$C$1500=$C43)*('系统实绩导入'!$D$4:$D$1500=$D43)*('系统实绩导入'!$F$4:$F$1500="实绩毛利")*('系统实绩导入'!$G$3:$R$3=$F$1)*'系统实绩导入'!$G$4:$R$1500))</f>
        <v/>
      </c>
      <c r="G43" s="39">
        <f>IF($B43="","",IFERROR(F43/E43,""))</f>
        <v/>
      </c>
      <c r="H43" s="38">
        <f>IF($B43="","",SUMPRODUCT(('目标填报'!$B$4:$B$1500=$B43)*('目标填报'!$C$4:$C$1500=$C43)*('目标填报'!$D$4:$D$1500=$D43)*('目标填报'!$F$4:$F$1500="销售目标额")*('目标填报'!$G$3:$R$3=$F$1)*'目标填报'!$G$4:$R$1500))</f>
        <v/>
      </c>
      <c r="I43" s="39">
        <f>IF($B43="","",IFERROR(E43/H43,""))</f>
        <v/>
      </c>
      <c r="J43" s="38">
        <f>IF($B43="","",SUMPRODUCT(('系统实绩导入'!$B$4:$B$1500=$B43)*('系统实绩导入'!$C$4:$C$1500=$C43)*('系统实绩导入'!$D$4:$D$1500=$D43)*('系统实绩导入'!$F$4:$F$1500="实绩销售额")*('系统实绩导入'!$G$3:$R$3&lt;=$F$1)*'系统实绩导入'!$G$4:$R$1500))</f>
        <v/>
      </c>
      <c r="K43" s="38">
        <f>IF($B43="","",SUMPRODUCT(('系统实绩导入'!$B$4:$B$1500=$B43)*('系统实绩导入'!$C$4:$C$1500=$C43)*('系统实绩导入'!$D$4:$D$1500=$D43)*('系统实绩导入'!$F$4:$F$1500="实绩毛利")*('系统实绩导入'!$G$3:$R$3&lt;=$F$1)*'系统实绩导入'!$G$4:$R$1500))</f>
        <v/>
      </c>
      <c r="L43" s="39">
        <f>IF($B43="","",IFERROR(K43/J43,""))</f>
        <v/>
      </c>
      <c r="M43" s="38">
        <f>IF($B43="","",SUMIFS('目标填报'!$S$4:$S$1500,'目标填报'!$B$4:$B$1500,$B43,'目标填报'!$C$4:$C$1500,$C43,'目标填报'!$D$4:$D$1500,$D43,'目标填报'!$F$4:$F$1500,"销售目标额"))</f>
        <v/>
      </c>
      <c r="N43" s="39">
        <f>IF($B43="","",IFERROR(J43/M43,""))</f>
        <v/>
      </c>
      <c r="O43" s="40">
        <f>IF($B43="","",J43-M43)</f>
        <v/>
      </c>
      <c r="P43" s="38">
        <f>IF($B43="","",SUMPRODUCT(('目标填报'!$B$4:$B$1500=$B43)*('目标填报'!$C$4:$C$1500=$C43)*('目标填报'!$D$4:$D$1500=$D43)*('目标填报'!$F$4:$F$1500="在手订单")*('目标填报'!$G$3:$R$3=$F$1)*'目标填报'!$G$4:$R$1500))</f>
        <v/>
      </c>
      <c r="Q43" s="38">
        <f>IF($B43="","",SUMPRODUCT(('目标填报'!$B$4:$B$1500=$B43)*('目标填报'!$C$4:$C$1500=$C43)*('目标填报'!$D$4:$D$1500=$D43)*('目标填报'!$F$4:$F$1500="在手订单目标")*('目标填报'!$G$3:$R$3=$F$1)*'目标填报'!$G$4:$R$1500))</f>
        <v/>
      </c>
      <c r="R43" s="39">
        <f>IF($B43="","",IFERROR(P43/Q43,""))</f>
        <v/>
      </c>
      <c r="S43" s="38">
        <f>IF($B43="","",SUMPRODUCT(('目标填报'!$B$4:$B$1500=$B43)*('目标填报'!$C$4:$C$1500=$C43)*('目标填报'!$D$4:$D$1500=$D43)*('目标填报'!$F$4:$F$1500="目标客户机会")*('目标填报'!$G$3:$R$3=$F$1)*'目标填报'!$G$4:$R$1500))</f>
        <v/>
      </c>
      <c r="T43" s="38">
        <f>IF($B43="","",SUMPRODUCT(('目标填报'!$B$4:$B$1500=$B43)*('目标填报'!$C$4:$C$1500=$C43)*('目标填报'!$D$4:$D$1500=$D43)*('目标填报'!$F$4:$F$1500="目标客户机会目标")*('目标填报'!$G$3:$R$3=$F$1)*'目标填报'!$G$4:$R$1500))</f>
        <v/>
      </c>
      <c r="U43" s="39">
        <f>IF($B43="","",IFERROR(S43/T43,""))</f>
        <v/>
      </c>
      <c r="V43" s="38">
        <f>IF($B43="","",P43+S43)</f>
        <v/>
      </c>
      <c r="W43" s="38">
        <f>IF($B43="","",M43-J43)</f>
        <v/>
      </c>
      <c r="X43" s="39">
        <f>IF($B43="","",IFERROR(V43/W43,""))</f>
        <v/>
      </c>
      <c r="Y43" s="40">
        <f>IF($B43="","",V43-W43)</f>
        <v/>
      </c>
    </row>
    <row r="44">
      <c r="A44" s="37">
        <f>IF($B44="","",ROW()-3)</f>
        <v/>
      </c>
      <c r="B44" s="13">
        <f>IF(40+1&gt;COUNTA('维度字典'!$C$2:$C$200)*COUNTA('维度字典'!$A$2:$A$200)*COUNTA('维度字典'!$E$2:$E$200),"",INDEX('维度字典'!$C$2:$C$200,MOD(INT(40/(COUNTA('维度字典'!$E$2:$E$200)*COUNTA('维度字典'!$A$2:$A$200))),COUNTA('维度字典'!$C$2:$C$200))+1))</f>
        <v/>
      </c>
      <c r="C44" s="13">
        <f>IF($B44="","",INDEX('维度字典'!$A$2:$A$200,MOD(INT(40/COUNTA('维度字典'!$E$2:$E$200)),COUNTA('维度字典'!$A$2:$A$200))+1))</f>
        <v/>
      </c>
      <c r="D44" s="13">
        <f>IF($B44="","",INDEX('维度字典'!$E$2:$E$200,MOD(40,COUNTA('维度字典'!$E$2:$E$200))+1))</f>
        <v/>
      </c>
      <c r="E44" s="38">
        <f>IF($B44="","",SUMPRODUCT(('系统实绩导入'!$B$4:$B$1500=$B44)*('系统实绩导入'!$C$4:$C$1500=$C44)*('系统实绩导入'!$D$4:$D$1500=$D44)*('系统实绩导入'!$F$4:$F$1500="实绩销售额")*('系统实绩导入'!$G$3:$R$3=$F$1)*'系统实绩导入'!$G$4:$R$1500))</f>
        <v/>
      </c>
      <c r="F44" s="38">
        <f>IF($B44="","",SUMPRODUCT(('系统实绩导入'!$B$4:$B$1500=$B44)*('系统实绩导入'!$C$4:$C$1500=$C44)*('系统实绩导入'!$D$4:$D$1500=$D44)*('系统实绩导入'!$F$4:$F$1500="实绩毛利")*('系统实绩导入'!$G$3:$R$3=$F$1)*'系统实绩导入'!$G$4:$R$1500))</f>
        <v/>
      </c>
      <c r="G44" s="39">
        <f>IF($B44="","",IFERROR(F44/E44,""))</f>
        <v/>
      </c>
      <c r="H44" s="38">
        <f>IF($B44="","",SUMPRODUCT(('目标填报'!$B$4:$B$1500=$B44)*('目标填报'!$C$4:$C$1500=$C44)*('目标填报'!$D$4:$D$1500=$D44)*('目标填报'!$F$4:$F$1500="销售目标额")*('目标填报'!$G$3:$R$3=$F$1)*'目标填报'!$G$4:$R$1500))</f>
        <v/>
      </c>
      <c r="I44" s="39">
        <f>IF($B44="","",IFERROR(E44/H44,""))</f>
        <v/>
      </c>
      <c r="J44" s="38">
        <f>IF($B44="","",SUMPRODUCT(('系统实绩导入'!$B$4:$B$1500=$B44)*('系统实绩导入'!$C$4:$C$1500=$C44)*('系统实绩导入'!$D$4:$D$1500=$D44)*('系统实绩导入'!$F$4:$F$1500="实绩销售额")*('系统实绩导入'!$G$3:$R$3&lt;=$F$1)*'系统实绩导入'!$G$4:$R$1500))</f>
        <v/>
      </c>
      <c r="K44" s="38">
        <f>IF($B44="","",SUMPRODUCT(('系统实绩导入'!$B$4:$B$1500=$B44)*('系统实绩导入'!$C$4:$C$1500=$C44)*('系统实绩导入'!$D$4:$D$1500=$D44)*('系统实绩导入'!$F$4:$F$1500="实绩毛利")*('系统实绩导入'!$G$3:$R$3&lt;=$F$1)*'系统实绩导入'!$G$4:$R$1500))</f>
        <v/>
      </c>
      <c r="L44" s="39">
        <f>IF($B44="","",IFERROR(K44/J44,""))</f>
        <v/>
      </c>
      <c r="M44" s="38">
        <f>IF($B44="","",SUMIFS('目标填报'!$S$4:$S$1500,'目标填报'!$B$4:$B$1500,$B44,'目标填报'!$C$4:$C$1500,$C44,'目标填报'!$D$4:$D$1500,$D44,'目标填报'!$F$4:$F$1500,"销售目标额"))</f>
        <v/>
      </c>
      <c r="N44" s="39">
        <f>IF($B44="","",IFERROR(J44/M44,""))</f>
        <v/>
      </c>
      <c r="O44" s="40">
        <f>IF($B44="","",J44-M44)</f>
        <v/>
      </c>
      <c r="P44" s="38">
        <f>IF($B44="","",SUMPRODUCT(('目标填报'!$B$4:$B$1500=$B44)*('目标填报'!$C$4:$C$1500=$C44)*('目标填报'!$D$4:$D$1500=$D44)*('目标填报'!$F$4:$F$1500="在手订单")*('目标填报'!$G$3:$R$3=$F$1)*'目标填报'!$G$4:$R$1500))</f>
        <v/>
      </c>
      <c r="Q44" s="38">
        <f>IF($B44="","",SUMPRODUCT(('目标填报'!$B$4:$B$1500=$B44)*('目标填报'!$C$4:$C$1500=$C44)*('目标填报'!$D$4:$D$1500=$D44)*('目标填报'!$F$4:$F$1500="在手订单目标")*('目标填报'!$G$3:$R$3=$F$1)*'目标填报'!$G$4:$R$1500))</f>
        <v/>
      </c>
      <c r="R44" s="39">
        <f>IF($B44="","",IFERROR(P44/Q44,""))</f>
        <v/>
      </c>
      <c r="S44" s="38">
        <f>IF($B44="","",SUMPRODUCT(('目标填报'!$B$4:$B$1500=$B44)*('目标填报'!$C$4:$C$1500=$C44)*('目标填报'!$D$4:$D$1500=$D44)*('目标填报'!$F$4:$F$1500="目标客户机会")*('目标填报'!$G$3:$R$3=$F$1)*'目标填报'!$G$4:$R$1500))</f>
        <v/>
      </c>
      <c r="T44" s="38">
        <f>IF($B44="","",SUMPRODUCT(('目标填报'!$B$4:$B$1500=$B44)*('目标填报'!$C$4:$C$1500=$C44)*('目标填报'!$D$4:$D$1500=$D44)*('目标填报'!$F$4:$F$1500="目标客户机会目标")*('目标填报'!$G$3:$R$3=$F$1)*'目标填报'!$G$4:$R$1500))</f>
        <v/>
      </c>
      <c r="U44" s="39">
        <f>IF($B44="","",IFERROR(S44/T44,""))</f>
        <v/>
      </c>
      <c r="V44" s="38">
        <f>IF($B44="","",P44+S44)</f>
        <v/>
      </c>
      <c r="W44" s="38">
        <f>IF($B44="","",M44-J44)</f>
        <v/>
      </c>
      <c r="X44" s="39">
        <f>IF($B44="","",IFERROR(V44/W44,""))</f>
        <v/>
      </c>
      <c r="Y44" s="40">
        <f>IF($B44="","",V44-W44)</f>
        <v/>
      </c>
    </row>
    <row r="45">
      <c r="A45" s="37">
        <f>IF($B45="","",ROW()-3)</f>
        <v/>
      </c>
      <c r="B45" s="13">
        <f>IF(41+1&gt;COUNTA('维度字典'!$C$2:$C$200)*COUNTA('维度字典'!$A$2:$A$200)*COUNTA('维度字典'!$E$2:$E$200),"",INDEX('维度字典'!$C$2:$C$200,MOD(INT(41/(COUNTA('维度字典'!$E$2:$E$200)*COUNTA('维度字典'!$A$2:$A$200))),COUNTA('维度字典'!$C$2:$C$200))+1))</f>
        <v/>
      </c>
      <c r="C45" s="13">
        <f>IF($B45="","",INDEX('维度字典'!$A$2:$A$200,MOD(INT(41/COUNTA('维度字典'!$E$2:$E$200)),COUNTA('维度字典'!$A$2:$A$200))+1))</f>
        <v/>
      </c>
      <c r="D45" s="13">
        <f>IF($B45="","",INDEX('维度字典'!$E$2:$E$200,MOD(41,COUNTA('维度字典'!$E$2:$E$200))+1))</f>
        <v/>
      </c>
      <c r="E45" s="38">
        <f>IF($B45="","",SUMPRODUCT(('系统实绩导入'!$B$4:$B$1500=$B45)*('系统实绩导入'!$C$4:$C$1500=$C45)*('系统实绩导入'!$D$4:$D$1500=$D45)*('系统实绩导入'!$F$4:$F$1500="实绩销售额")*('系统实绩导入'!$G$3:$R$3=$F$1)*'系统实绩导入'!$G$4:$R$1500))</f>
        <v/>
      </c>
      <c r="F45" s="38">
        <f>IF($B45="","",SUMPRODUCT(('系统实绩导入'!$B$4:$B$1500=$B45)*('系统实绩导入'!$C$4:$C$1500=$C45)*('系统实绩导入'!$D$4:$D$1500=$D45)*('系统实绩导入'!$F$4:$F$1500="实绩毛利")*('系统实绩导入'!$G$3:$R$3=$F$1)*'系统实绩导入'!$G$4:$R$1500))</f>
        <v/>
      </c>
      <c r="G45" s="39">
        <f>IF($B45="","",IFERROR(F45/E45,""))</f>
        <v/>
      </c>
      <c r="H45" s="38">
        <f>IF($B45="","",SUMPRODUCT(('目标填报'!$B$4:$B$1500=$B45)*('目标填报'!$C$4:$C$1500=$C45)*('目标填报'!$D$4:$D$1500=$D45)*('目标填报'!$F$4:$F$1500="销售目标额")*('目标填报'!$G$3:$R$3=$F$1)*'目标填报'!$G$4:$R$1500))</f>
        <v/>
      </c>
      <c r="I45" s="39">
        <f>IF($B45="","",IFERROR(E45/H45,""))</f>
        <v/>
      </c>
      <c r="J45" s="38">
        <f>IF($B45="","",SUMPRODUCT(('系统实绩导入'!$B$4:$B$1500=$B45)*('系统实绩导入'!$C$4:$C$1500=$C45)*('系统实绩导入'!$D$4:$D$1500=$D45)*('系统实绩导入'!$F$4:$F$1500="实绩销售额")*('系统实绩导入'!$G$3:$R$3&lt;=$F$1)*'系统实绩导入'!$G$4:$R$1500))</f>
        <v/>
      </c>
      <c r="K45" s="38">
        <f>IF($B45="","",SUMPRODUCT(('系统实绩导入'!$B$4:$B$1500=$B45)*('系统实绩导入'!$C$4:$C$1500=$C45)*('系统实绩导入'!$D$4:$D$1500=$D45)*('系统实绩导入'!$F$4:$F$1500="实绩毛利")*('系统实绩导入'!$G$3:$R$3&lt;=$F$1)*'系统实绩导入'!$G$4:$R$1500))</f>
        <v/>
      </c>
      <c r="L45" s="39">
        <f>IF($B45="","",IFERROR(K45/J45,""))</f>
        <v/>
      </c>
      <c r="M45" s="38">
        <f>IF($B45="","",SUMIFS('目标填报'!$S$4:$S$1500,'目标填报'!$B$4:$B$1500,$B45,'目标填报'!$C$4:$C$1500,$C45,'目标填报'!$D$4:$D$1500,$D45,'目标填报'!$F$4:$F$1500,"销售目标额"))</f>
        <v/>
      </c>
      <c r="N45" s="39">
        <f>IF($B45="","",IFERROR(J45/M45,""))</f>
        <v/>
      </c>
      <c r="O45" s="40">
        <f>IF($B45="","",J45-M45)</f>
        <v/>
      </c>
      <c r="P45" s="38">
        <f>IF($B45="","",SUMPRODUCT(('目标填报'!$B$4:$B$1500=$B45)*('目标填报'!$C$4:$C$1500=$C45)*('目标填报'!$D$4:$D$1500=$D45)*('目标填报'!$F$4:$F$1500="在手订单")*('目标填报'!$G$3:$R$3=$F$1)*'目标填报'!$G$4:$R$1500))</f>
        <v/>
      </c>
      <c r="Q45" s="38">
        <f>IF($B45="","",SUMPRODUCT(('目标填报'!$B$4:$B$1500=$B45)*('目标填报'!$C$4:$C$1500=$C45)*('目标填报'!$D$4:$D$1500=$D45)*('目标填报'!$F$4:$F$1500="在手订单目标")*('目标填报'!$G$3:$R$3=$F$1)*'目标填报'!$G$4:$R$1500))</f>
        <v/>
      </c>
      <c r="R45" s="39">
        <f>IF($B45="","",IFERROR(P45/Q45,""))</f>
        <v/>
      </c>
      <c r="S45" s="38">
        <f>IF($B45="","",SUMPRODUCT(('目标填报'!$B$4:$B$1500=$B45)*('目标填报'!$C$4:$C$1500=$C45)*('目标填报'!$D$4:$D$1500=$D45)*('目标填报'!$F$4:$F$1500="目标客户机会")*('目标填报'!$G$3:$R$3=$F$1)*'目标填报'!$G$4:$R$1500))</f>
        <v/>
      </c>
      <c r="T45" s="38">
        <f>IF($B45="","",SUMPRODUCT(('目标填报'!$B$4:$B$1500=$B45)*('目标填报'!$C$4:$C$1500=$C45)*('目标填报'!$D$4:$D$1500=$D45)*('目标填报'!$F$4:$F$1500="目标客户机会目标")*('目标填报'!$G$3:$R$3=$F$1)*'目标填报'!$G$4:$R$1500))</f>
        <v/>
      </c>
      <c r="U45" s="39">
        <f>IF($B45="","",IFERROR(S45/T45,""))</f>
        <v/>
      </c>
      <c r="V45" s="38">
        <f>IF($B45="","",P45+S45)</f>
        <v/>
      </c>
      <c r="W45" s="38">
        <f>IF($B45="","",M45-J45)</f>
        <v/>
      </c>
      <c r="X45" s="39">
        <f>IF($B45="","",IFERROR(V45/W45,""))</f>
        <v/>
      </c>
      <c r="Y45" s="40">
        <f>IF($B45="","",V45-W45)</f>
        <v/>
      </c>
    </row>
    <row r="46">
      <c r="A46" s="37">
        <f>IF($B46="","",ROW()-3)</f>
        <v/>
      </c>
      <c r="B46" s="13">
        <f>IF(42+1&gt;COUNTA('维度字典'!$C$2:$C$200)*COUNTA('维度字典'!$A$2:$A$200)*COUNTA('维度字典'!$E$2:$E$200),"",INDEX('维度字典'!$C$2:$C$200,MOD(INT(42/(COUNTA('维度字典'!$E$2:$E$200)*COUNTA('维度字典'!$A$2:$A$200))),COUNTA('维度字典'!$C$2:$C$200))+1))</f>
        <v/>
      </c>
      <c r="C46" s="13">
        <f>IF($B46="","",INDEX('维度字典'!$A$2:$A$200,MOD(INT(42/COUNTA('维度字典'!$E$2:$E$200)),COUNTA('维度字典'!$A$2:$A$200))+1))</f>
        <v/>
      </c>
      <c r="D46" s="13">
        <f>IF($B46="","",INDEX('维度字典'!$E$2:$E$200,MOD(42,COUNTA('维度字典'!$E$2:$E$200))+1))</f>
        <v/>
      </c>
      <c r="E46" s="38">
        <f>IF($B46="","",SUMPRODUCT(('系统实绩导入'!$B$4:$B$1500=$B46)*('系统实绩导入'!$C$4:$C$1500=$C46)*('系统实绩导入'!$D$4:$D$1500=$D46)*('系统实绩导入'!$F$4:$F$1500="实绩销售额")*('系统实绩导入'!$G$3:$R$3=$F$1)*'系统实绩导入'!$G$4:$R$1500))</f>
        <v/>
      </c>
      <c r="F46" s="38">
        <f>IF($B46="","",SUMPRODUCT(('系统实绩导入'!$B$4:$B$1500=$B46)*('系统实绩导入'!$C$4:$C$1500=$C46)*('系统实绩导入'!$D$4:$D$1500=$D46)*('系统实绩导入'!$F$4:$F$1500="实绩毛利")*('系统实绩导入'!$G$3:$R$3=$F$1)*'系统实绩导入'!$G$4:$R$1500))</f>
        <v/>
      </c>
      <c r="G46" s="39">
        <f>IF($B46="","",IFERROR(F46/E46,""))</f>
        <v/>
      </c>
      <c r="H46" s="38">
        <f>IF($B46="","",SUMPRODUCT(('目标填报'!$B$4:$B$1500=$B46)*('目标填报'!$C$4:$C$1500=$C46)*('目标填报'!$D$4:$D$1500=$D46)*('目标填报'!$F$4:$F$1500="销售目标额")*('目标填报'!$G$3:$R$3=$F$1)*'目标填报'!$G$4:$R$1500))</f>
        <v/>
      </c>
      <c r="I46" s="39">
        <f>IF($B46="","",IFERROR(E46/H46,""))</f>
        <v/>
      </c>
      <c r="J46" s="38">
        <f>IF($B46="","",SUMPRODUCT(('系统实绩导入'!$B$4:$B$1500=$B46)*('系统实绩导入'!$C$4:$C$1500=$C46)*('系统实绩导入'!$D$4:$D$1500=$D46)*('系统实绩导入'!$F$4:$F$1500="实绩销售额")*('系统实绩导入'!$G$3:$R$3&lt;=$F$1)*'系统实绩导入'!$G$4:$R$1500))</f>
        <v/>
      </c>
      <c r="K46" s="38">
        <f>IF($B46="","",SUMPRODUCT(('系统实绩导入'!$B$4:$B$1500=$B46)*('系统实绩导入'!$C$4:$C$1500=$C46)*('系统实绩导入'!$D$4:$D$1500=$D46)*('系统实绩导入'!$F$4:$F$1500="实绩毛利")*('系统实绩导入'!$G$3:$R$3&lt;=$F$1)*'系统实绩导入'!$G$4:$R$1500))</f>
        <v/>
      </c>
      <c r="L46" s="39">
        <f>IF($B46="","",IFERROR(K46/J46,""))</f>
        <v/>
      </c>
      <c r="M46" s="38">
        <f>IF($B46="","",SUMIFS('目标填报'!$S$4:$S$1500,'目标填报'!$B$4:$B$1500,$B46,'目标填报'!$C$4:$C$1500,$C46,'目标填报'!$D$4:$D$1500,$D46,'目标填报'!$F$4:$F$1500,"销售目标额"))</f>
        <v/>
      </c>
      <c r="N46" s="39">
        <f>IF($B46="","",IFERROR(J46/M46,""))</f>
        <v/>
      </c>
      <c r="O46" s="40">
        <f>IF($B46="","",J46-M46)</f>
        <v/>
      </c>
      <c r="P46" s="38">
        <f>IF($B46="","",SUMPRODUCT(('目标填报'!$B$4:$B$1500=$B46)*('目标填报'!$C$4:$C$1500=$C46)*('目标填报'!$D$4:$D$1500=$D46)*('目标填报'!$F$4:$F$1500="在手订单")*('目标填报'!$G$3:$R$3=$F$1)*'目标填报'!$G$4:$R$1500))</f>
        <v/>
      </c>
      <c r="Q46" s="38">
        <f>IF($B46="","",SUMPRODUCT(('目标填报'!$B$4:$B$1500=$B46)*('目标填报'!$C$4:$C$1500=$C46)*('目标填报'!$D$4:$D$1500=$D46)*('目标填报'!$F$4:$F$1500="在手订单目标")*('目标填报'!$G$3:$R$3=$F$1)*'目标填报'!$G$4:$R$1500))</f>
        <v/>
      </c>
      <c r="R46" s="39">
        <f>IF($B46="","",IFERROR(P46/Q46,""))</f>
        <v/>
      </c>
      <c r="S46" s="38">
        <f>IF($B46="","",SUMPRODUCT(('目标填报'!$B$4:$B$1500=$B46)*('目标填报'!$C$4:$C$1500=$C46)*('目标填报'!$D$4:$D$1500=$D46)*('目标填报'!$F$4:$F$1500="目标客户机会")*('目标填报'!$G$3:$R$3=$F$1)*'目标填报'!$G$4:$R$1500))</f>
        <v/>
      </c>
      <c r="T46" s="38">
        <f>IF($B46="","",SUMPRODUCT(('目标填报'!$B$4:$B$1500=$B46)*('目标填报'!$C$4:$C$1500=$C46)*('目标填报'!$D$4:$D$1500=$D46)*('目标填报'!$F$4:$F$1500="目标客户机会目标")*('目标填报'!$G$3:$R$3=$F$1)*'目标填报'!$G$4:$R$1500))</f>
        <v/>
      </c>
      <c r="U46" s="39">
        <f>IF($B46="","",IFERROR(S46/T46,""))</f>
        <v/>
      </c>
      <c r="V46" s="38">
        <f>IF($B46="","",P46+S46)</f>
        <v/>
      </c>
      <c r="W46" s="38">
        <f>IF($B46="","",M46-J46)</f>
        <v/>
      </c>
      <c r="X46" s="39">
        <f>IF($B46="","",IFERROR(V46/W46,""))</f>
        <v/>
      </c>
      <c r="Y46" s="40">
        <f>IF($B46="","",V46-W46)</f>
        <v/>
      </c>
    </row>
    <row r="47">
      <c r="A47" s="37">
        <f>IF($B47="","",ROW()-3)</f>
        <v/>
      </c>
      <c r="B47" s="13">
        <f>IF(43+1&gt;COUNTA('维度字典'!$C$2:$C$200)*COUNTA('维度字典'!$A$2:$A$200)*COUNTA('维度字典'!$E$2:$E$200),"",INDEX('维度字典'!$C$2:$C$200,MOD(INT(43/(COUNTA('维度字典'!$E$2:$E$200)*COUNTA('维度字典'!$A$2:$A$200))),COUNTA('维度字典'!$C$2:$C$200))+1))</f>
        <v/>
      </c>
      <c r="C47" s="13">
        <f>IF($B47="","",INDEX('维度字典'!$A$2:$A$200,MOD(INT(43/COUNTA('维度字典'!$E$2:$E$200)),COUNTA('维度字典'!$A$2:$A$200))+1))</f>
        <v/>
      </c>
      <c r="D47" s="13">
        <f>IF($B47="","",INDEX('维度字典'!$E$2:$E$200,MOD(43,COUNTA('维度字典'!$E$2:$E$200))+1))</f>
        <v/>
      </c>
      <c r="E47" s="38">
        <f>IF($B47="","",SUMPRODUCT(('系统实绩导入'!$B$4:$B$1500=$B47)*('系统实绩导入'!$C$4:$C$1500=$C47)*('系统实绩导入'!$D$4:$D$1500=$D47)*('系统实绩导入'!$F$4:$F$1500="实绩销售额")*('系统实绩导入'!$G$3:$R$3=$F$1)*'系统实绩导入'!$G$4:$R$1500))</f>
        <v/>
      </c>
      <c r="F47" s="38">
        <f>IF($B47="","",SUMPRODUCT(('系统实绩导入'!$B$4:$B$1500=$B47)*('系统实绩导入'!$C$4:$C$1500=$C47)*('系统实绩导入'!$D$4:$D$1500=$D47)*('系统实绩导入'!$F$4:$F$1500="实绩毛利")*('系统实绩导入'!$G$3:$R$3=$F$1)*'系统实绩导入'!$G$4:$R$1500))</f>
        <v/>
      </c>
      <c r="G47" s="39">
        <f>IF($B47="","",IFERROR(F47/E47,""))</f>
        <v/>
      </c>
      <c r="H47" s="38">
        <f>IF($B47="","",SUMPRODUCT(('目标填报'!$B$4:$B$1500=$B47)*('目标填报'!$C$4:$C$1500=$C47)*('目标填报'!$D$4:$D$1500=$D47)*('目标填报'!$F$4:$F$1500="销售目标额")*('目标填报'!$G$3:$R$3=$F$1)*'目标填报'!$G$4:$R$1500))</f>
        <v/>
      </c>
      <c r="I47" s="39">
        <f>IF($B47="","",IFERROR(E47/H47,""))</f>
        <v/>
      </c>
      <c r="J47" s="38">
        <f>IF($B47="","",SUMPRODUCT(('系统实绩导入'!$B$4:$B$1500=$B47)*('系统实绩导入'!$C$4:$C$1500=$C47)*('系统实绩导入'!$D$4:$D$1500=$D47)*('系统实绩导入'!$F$4:$F$1500="实绩销售额")*('系统实绩导入'!$G$3:$R$3&lt;=$F$1)*'系统实绩导入'!$G$4:$R$1500))</f>
        <v/>
      </c>
      <c r="K47" s="38">
        <f>IF($B47="","",SUMPRODUCT(('系统实绩导入'!$B$4:$B$1500=$B47)*('系统实绩导入'!$C$4:$C$1500=$C47)*('系统实绩导入'!$D$4:$D$1500=$D47)*('系统实绩导入'!$F$4:$F$1500="实绩毛利")*('系统实绩导入'!$G$3:$R$3&lt;=$F$1)*'系统实绩导入'!$G$4:$R$1500))</f>
        <v/>
      </c>
      <c r="L47" s="39">
        <f>IF($B47="","",IFERROR(K47/J47,""))</f>
        <v/>
      </c>
      <c r="M47" s="38">
        <f>IF($B47="","",SUMIFS('目标填报'!$S$4:$S$1500,'目标填报'!$B$4:$B$1500,$B47,'目标填报'!$C$4:$C$1500,$C47,'目标填报'!$D$4:$D$1500,$D47,'目标填报'!$F$4:$F$1500,"销售目标额"))</f>
        <v/>
      </c>
      <c r="N47" s="39">
        <f>IF($B47="","",IFERROR(J47/M47,""))</f>
        <v/>
      </c>
      <c r="O47" s="40">
        <f>IF($B47="","",J47-M47)</f>
        <v/>
      </c>
      <c r="P47" s="38">
        <f>IF($B47="","",SUMPRODUCT(('目标填报'!$B$4:$B$1500=$B47)*('目标填报'!$C$4:$C$1500=$C47)*('目标填报'!$D$4:$D$1500=$D47)*('目标填报'!$F$4:$F$1500="在手订单")*('目标填报'!$G$3:$R$3=$F$1)*'目标填报'!$G$4:$R$1500))</f>
        <v/>
      </c>
      <c r="Q47" s="38">
        <f>IF($B47="","",SUMPRODUCT(('目标填报'!$B$4:$B$1500=$B47)*('目标填报'!$C$4:$C$1500=$C47)*('目标填报'!$D$4:$D$1500=$D47)*('目标填报'!$F$4:$F$1500="在手订单目标")*('目标填报'!$G$3:$R$3=$F$1)*'目标填报'!$G$4:$R$1500))</f>
        <v/>
      </c>
      <c r="R47" s="39">
        <f>IF($B47="","",IFERROR(P47/Q47,""))</f>
        <v/>
      </c>
      <c r="S47" s="38">
        <f>IF($B47="","",SUMPRODUCT(('目标填报'!$B$4:$B$1500=$B47)*('目标填报'!$C$4:$C$1500=$C47)*('目标填报'!$D$4:$D$1500=$D47)*('目标填报'!$F$4:$F$1500="目标客户机会")*('目标填报'!$G$3:$R$3=$F$1)*'目标填报'!$G$4:$R$1500))</f>
        <v/>
      </c>
      <c r="T47" s="38">
        <f>IF($B47="","",SUMPRODUCT(('目标填报'!$B$4:$B$1500=$B47)*('目标填报'!$C$4:$C$1500=$C47)*('目标填报'!$D$4:$D$1500=$D47)*('目标填报'!$F$4:$F$1500="目标客户机会目标")*('目标填报'!$G$3:$R$3=$F$1)*'目标填报'!$G$4:$R$1500))</f>
        <v/>
      </c>
      <c r="U47" s="39">
        <f>IF($B47="","",IFERROR(S47/T47,""))</f>
        <v/>
      </c>
      <c r="V47" s="38">
        <f>IF($B47="","",P47+S47)</f>
        <v/>
      </c>
      <c r="W47" s="38">
        <f>IF($B47="","",M47-J47)</f>
        <v/>
      </c>
      <c r="X47" s="39">
        <f>IF($B47="","",IFERROR(V47/W47,""))</f>
        <v/>
      </c>
      <c r="Y47" s="40">
        <f>IF($B47="","",V47-W47)</f>
        <v/>
      </c>
    </row>
    <row r="48">
      <c r="A48" s="37">
        <f>IF($B48="","",ROW()-3)</f>
        <v/>
      </c>
      <c r="B48" s="13">
        <f>IF(44+1&gt;COUNTA('维度字典'!$C$2:$C$200)*COUNTA('维度字典'!$A$2:$A$200)*COUNTA('维度字典'!$E$2:$E$200),"",INDEX('维度字典'!$C$2:$C$200,MOD(INT(44/(COUNTA('维度字典'!$E$2:$E$200)*COUNTA('维度字典'!$A$2:$A$200))),COUNTA('维度字典'!$C$2:$C$200))+1))</f>
        <v/>
      </c>
      <c r="C48" s="13">
        <f>IF($B48="","",INDEX('维度字典'!$A$2:$A$200,MOD(INT(44/COUNTA('维度字典'!$E$2:$E$200)),COUNTA('维度字典'!$A$2:$A$200))+1))</f>
        <v/>
      </c>
      <c r="D48" s="13">
        <f>IF($B48="","",INDEX('维度字典'!$E$2:$E$200,MOD(44,COUNTA('维度字典'!$E$2:$E$200))+1))</f>
        <v/>
      </c>
      <c r="E48" s="38">
        <f>IF($B48="","",SUMPRODUCT(('系统实绩导入'!$B$4:$B$1500=$B48)*('系统实绩导入'!$C$4:$C$1500=$C48)*('系统实绩导入'!$D$4:$D$1500=$D48)*('系统实绩导入'!$F$4:$F$1500="实绩销售额")*('系统实绩导入'!$G$3:$R$3=$F$1)*'系统实绩导入'!$G$4:$R$1500))</f>
        <v/>
      </c>
      <c r="F48" s="38">
        <f>IF($B48="","",SUMPRODUCT(('系统实绩导入'!$B$4:$B$1500=$B48)*('系统实绩导入'!$C$4:$C$1500=$C48)*('系统实绩导入'!$D$4:$D$1500=$D48)*('系统实绩导入'!$F$4:$F$1500="实绩毛利")*('系统实绩导入'!$G$3:$R$3=$F$1)*'系统实绩导入'!$G$4:$R$1500))</f>
        <v/>
      </c>
      <c r="G48" s="39">
        <f>IF($B48="","",IFERROR(F48/E48,""))</f>
        <v/>
      </c>
      <c r="H48" s="38">
        <f>IF($B48="","",SUMPRODUCT(('目标填报'!$B$4:$B$1500=$B48)*('目标填报'!$C$4:$C$1500=$C48)*('目标填报'!$D$4:$D$1500=$D48)*('目标填报'!$F$4:$F$1500="销售目标额")*('目标填报'!$G$3:$R$3=$F$1)*'目标填报'!$G$4:$R$1500))</f>
        <v/>
      </c>
      <c r="I48" s="39">
        <f>IF($B48="","",IFERROR(E48/H48,""))</f>
        <v/>
      </c>
      <c r="J48" s="38">
        <f>IF($B48="","",SUMPRODUCT(('系统实绩导入'!$B$4:$B$1500=$B48)*('系统实绩导入'!$C$4:$C$1500=$C48)*('系统实绩导入'!$D$4:$D$1500=$D48)*('系统实绩导入'!$F$4:$F$1500="实绩销售额")*('系统实绩导入'!$G$3:$R$3&lt;=$F$1)*'系统实绩导入'!$G$4:$R$1500))</f>
        <v/>
      </c>
      <c r="K48" s="38">
        <f>IF($B48="","",SUMPRODUCT(('系统实绩导入'!$B$4:$B$1500=$B48)*('系统实绩导入'!$C$4:$C$1500=$C48)*('系统实绩导入'!$D$4:$D$1500=$D48)*('系统实绩导入'!$F$4:$F$1500="实绩毛利")*('系统实绩导入'!$G$3:$R$3&lt;=$F$1)*'系统实绩导入'!$G$4:$R$1500))</f>
        <v/>
      </c>
      <c r="L48" s="39">
        <f>IF($B48="","",IFERROR(K48/J48,""))</f>
        <v/>
      </c>
      <c r="M48" s="38">
        <f>IF($B48="","",SUMIFS('目标填报'!$S$4:$S$1500,'目标填报'!$B$4:$B$1500,$B48,'目标填报'!$C$4:$C$1500,$C48,'目标填报'!$D$4:$D$1500,$D48,'目标填报'!$F$4:$F$1500,"销售目标额"))</f>
        <v/>
      </c>
      <c r="N48" s="39">
        <f>IF($B48="","",IFERROR(J48/M48,""))</f>
        <v/>
      </c>
      <c r="O48" s="40">
        <f>IF($B48="","",J48-M48)</f>
        <v/>
      </c>
      <c r="P48" s="38">
        <f>IF($B48="","",SUMPRODUCT(('目标填报'!$B$4:$B$1500=$B48)*('目标填报'!$C$4:$C$1500=$C48)*('目标填报'!$D$4:$D$1500=$D48)*('目标填报'!$F$4:$F$1500="在手订单")*('目标填报'!$G$3:$R$3=$F$1)*'目标填报'!$G$4:$R$1500))</f>
        <v/>
      </c>
      <c r="Q48" s="38">
        <f>IF($B48="","",SUMPRODUCT(('目标填报'!$B$4:$B$1500=$B48)*('目标填报'!$C$4:$C$1500=$C48)*('目标填报'!$D$4:$D$1500=$D48)*('目标填报'!$F$4:$F$1500="在手订单目标")*('目标填报'!$G$3:$R$3=$F$1)*'目标填报'!$G$4:$R$1500))</f>
        <v/>
      </c>
      <c r="R48" s="39">
        <f>IF($B48="","",IFERROR(P48/Q48,""))</f>
        <v/>
      </c>
      <c r="S48" s="38">
        <f>IF($B48="","",SUMPRODUCT(('目标填报'!$B$4:$B$1500=$B48)*('目标填报'!$C$4:$C$1500=$C48)*('目标填报'!$D$4:$D$1500=$D48)*('目标填报'!$F$4:$F$1500="目标客户机会")*('目标填报'!$G$3:$R$3=$F$1)*'目标填报'!$G$4:$R$1500))</f>
        <v/>
      </c>
      <c r="T48" s="38">
        <f>IF($B48="","",SUMPRODUCT(('目标填报'!$B$4:$B$1500=$B48)*('目标填报'!$C$4:$C$1500=$C48)*('目标填报'!$D$4:$D$1500=$D48)*('目标填报'!$F$4:$F$1500="目标客户机会目标")*('目标填报'!$G$3:$R$3=$F$1)*'目标填报'!$G$4:$R$1500))</f>
        <v/>
      </c>
      <c r="U48" s="39">
        <f>IF($B48="","",IFERROR(S48/T48,""))</f>
        <v/>
      </c>
      <c r="V48" s="38">
        <f>IF($B48="","",P48+S48)</f>
        <v/>
      </c>
      <c r="W48" s="38">
        <f>IF($B48="","",M48-J48)</f>
        <v/>
      </c>
      <c r="X48" s="39">
        <f>IF($B48="","",IFERROR(V48/W48,""))</f>
        <v/>
      </c>
      <c r="Y48" s="40">
        <f>IF($B48="","",V48-W48)</f>
        <v/>
      </c>
    </row>
    <row r="49">
      <c r="A49" s="37">
        <f>IF($B49="","",ROW()-3)</f>
        <v/>
      </c>
      <c r="B49" s="13">
        <f>IF(45+1&gt;COUNTA('维度字典'!$C$2:$C$200)*COUNTA('维度字典'!$A$2:$A$200)*COUNTA('维度字典'!$E$2:$E$200),"",INDEX('维度字典'!$C$2:$C$200,MOD(INT(45/(COUNTA('维度字典'!$E$2:$E$200)*COUNTA('维度字典'!$A$2:$A$200))),COUNTA('维度字典'!$C$2:$C$200))+1))</f>
        <v/>
      </c>
      <c r="C49" s="13">
        <f>IF($B49="","",INDEX('维度字典'!$A$2:$A$200,MOD(INT(45/COUNTA('维度字典'!$E$2:$E$200)),COUNTA('维度字典'!$A$2:$A$200))+1))</f>
        <v/>
      </c>
      <c r="D49" s="13">
        <f>IF($B49="","",INDEX('维度字典'!$E$2:$E$200,MOD(45,COUNTA('维度字典'!$E$2:$E$200))+1))</f>
        <v/>
      </c>
      <c r="E49" s="38">
        <f>IF($B49="","",SUMPRODUCT(('系统实绩导入'!$B$4:$B$1500=$B49)*('系统实绩导入'!$C$4:$C$1500=$C49)*('系统实绩导入'!$D$4:$D$1500=$D49)*('系统实绩导入'!$F$4:$F$1500="实绩销售额")*('系统实绩导入'!$G$3:$R$3=$F$1)*'系统实绩导入'!$G$4:$R$1500))</f>
        <v/>
      </c>
      <c r="F49" s="38">
        <f>IF($B49="","",SUMPRODUCT(('系统实绩导入'!$B$4:$B$1500=$B49)*('系统实绩导入'!$C$4:$C$1500=$C49)*('系统实绩导入'!$D$4:$D$1500=$D49)*('系统实绩导入'!$F$4:$F$1500="实绩毛利")*('系统实绩导入'!$G$3:$R$3=$F$1)*'系统实绩导入'!$G$4:$R$1500))</f>
        <v/>
      </c>
      <c r="G49" s="39">
        <f>IF($B49="","",IFERROR(F49/E49,""))</f>
        <v/>
      </c>
      <c r="H49" s="38">
        <f>IF($B49="","",SUMPRODUCT(('目标填报'!$B$4:$B$1500=$B49)*('目标填报'!$C$4:$C$1500=$C49)*('目标填报'!$D$4:$D$1500=$D49)*('目标填报'!$F$4:$F$1500="销售目标额")*('目标填报'!$G$3:$R$3=$F$1)*'目标填报'!$G$4:$R$1500))</f>
        <v/>
      </c>
      <c r="I49" s="39">
        <f>IF($B49="","",IFERROR(E49/H49,""))</f>
        <v/>
      </c>
      <c r="J49" s="38">
        <f>IF($B49="","",SUMPRODUCT(('系统实绩导入'!$B$4:$B$1500=$B49)*('系统实绩导入'!$C$4:$C$1500=$C49)*('系统实绩导入'!$D$4:$D$1500=$D49)*('系统实绩导入'!$F$4:$F$1500="实绩销售额")*('系统实绩导入'!$G$3:$R$3&lt;=$F$1)*'系统实绩导入'!$G$4:$R$1500))</f>
        <v/>
      </c>
      <c r="K49" s="38">
        <f>IF($B49="","",SUMPRODUCT(('系统实绩导入'!$B$4:$B$1500=$B49)*('系统实绩导入'!$C$4:$C$1500=$C49)*('系统实绩导入'!$D$4:$D$1500=$D49)*('系统实绩导入'!$F$4:$F$1500="实绩毛利")*('系统实绩导入'!$G$3:$R$3&lt;=$F$1)*'系统实绩导入'!$G$4:$R$1500))</f>
        <v/>
      </c>
      <c r="L49" s="39">
        <f>IF($B49="","",IFERROR(K49/J49,""))</f>
        <v/>
      </c>
      <c r="M49" s="38">
        <f>IF($B49="","",SUMIFS('目标填报'!$S$4:$S$1500,'目标填报'!$B$4:$B$1500,$B49,'目标填报'!$C$4:$C$1500,$C49,'目标填报'!$D$4:$D$1500,$D49,'目标填报'!$F$4:$F$1500,"销售目标额"))</f>
        <v/>
      </c>
      <c r="N49" s="39">
        <f>IF($B49="","",IFERROR(J49/M49,""))</f>
        <v/>
      </c>
      <c r="O49" s="40">
        <f>IF($B49="","",J49-M49)</f>
        <v/>
      </c>
      <c r="P49" s="38">
        <f>IF($B49="","",SUMPRODUCT(('目标填报'!$B$4:$B$1500=$B49)*('目标填报'!$C$4:$C$1500=$C49)*('目标填报'!$D$4:$D$1500=$D49)*('目标填报'!$F$4:$F$1500="在手订单")*('目标填报'!$G$3:$R$3=$F$1)*'目标填报'!$G$4:$R$1500))</f>
        <v/>
      </c>
      <c r="Q49" s="38">
        <f>IF($B49="","",SUMPRODUCT(('目标填报'!$B$4:$B$1500=$B49)*('目标填报'!$C$4:$C$1500=$C49)*('目标填报'!$D$4:$D$1500=$D49)*('目标填报'!$F$4:$F$1500="在手订单目标")*('目标填报'!$G$3:$R$3=$F$1)*'目标填报'!$G$4:$R$1500))</f>
        <v/>
      </c>
      <c r="R49" s="39">
        <f>IF($B49="","",IFERROR(P49/Q49,""))</f>
        <v/>
      </c>
      <c r="S49" s="38">
        <f>IF($B49="","",SUMPRODUCT(('目标填报'!$B$4:$B$1500=$B49)*('目标填报'!$C$4:$C$1500=$C49)*('目标填报'!$D$4:$D$1500=$D49)*('目标填报'!$F$4:$F$1500="目标客户机会")*('目标填报'!$G$3:$R$3=$F$1)*'目标填报'!$G$4:$R$1500))</f>
        <v/>
      </c>
      <c r="T49" s="38">
        <f>IF($B49="","",SUMPRODUCT(('目标填报'!$B$4:$B$1500=$B49)*('目标填报'!$C$4:$C$1500=$C49)*('目标填报'!$D$4:$D$1500=$D49)*('目标填报'!$F$4:$F$1500="目标客户机会目标")*('目标填报'!$G$3:$R$3=$F$1)*'目标填报'!$G$4:$R$1500))</f>
        <v/>
      </c>
      <c r="U49" s="39">
        <f>IF($B49="","",IFERROR(S49/T49,""))</f>
        <v/>
      </c>
      <c r="V49" s="38">
        <f>IF($B49="","",P49+S49)</f>
        <v/>
      </c>
      <c r="W49" s="38">
        <f>IF($B49="","",M49-J49)</f>
        <v/>
      </c>
      <c r="X49" s="39">
        <f>IF($B49="","",IFERROR(V49/W49,""))</f>
        <v/>
      </c>
      <c r="Y49" s="40">
        <f>IF($B49="","",V49-W49)</f>
        <v/>
      </c>
    </row>
    <row r="50">
      <c r="A50" s="37">
        <f>IF($B50="","",ROW()-3)</f>
        <v/>
      </c>
      <c r="B50" s="13">
        <f>IF(46+1&gt;COUNTA('维度字典'!$C$2:$C$200)*COUNTA('维度字典'!$A$2:$A$200)*COUNTA('维度字典'!$E$2:$E$200),"",INDEX('维度字典'!$C$2:$C$200,MOD(INT(46/(COUNTA('维度字典'!$E$2:$E$200)*COUNTA('维度字典'!$A$2:$A$200))),COUNTA('维度字典'!$C$2:$C$200))+1))</f>
        <v/>
      </c>
      <c r="C50" s="13">
        <f>IF($B50="","",INDEX('维度字典'!$A$2:$A$200,MOD(INT(46/COUNTA('维度字典'!$E$2:$E$200)),COUNTA('维度字典'!$A$2:$A$200))+1))</f>
        <v/>
      </c>
      <c r="D50" s="13">
        <f>IF($B50="","",INDEX('维度字典'!$E$2:$E$200,MOD(46,COUNTA('维度字典'!$E$2:$E$200))+1))</f>
        <v/>
      </c>
      <c r="E50" s="38">
        <f>IF($B50="","",SUMPRODUCT(('系统实绩导入'!$B$4:$B$1500=$B50)*('系统实绩导入'!$C$4:$C$1500=$C50)*('系统实绩导入'!$D$4:$D$1500=$D50)*('系统实绩导入'!$F$4:$F$1500="实绩销售额")*('系统实绩导入'!$G$3:$R$3=$F$1)*'系统实绩导入'!$G$4:$R$1500))</f>
        <v/>
      </c>
      <c r="F50" s="38">
        <f>IF($B50="","",SUMPRODUCT(('系统实绩导入'!$B$4:$B$1500=$B50)*('系统实绩导入'!$C$4:$C$1500=$C50)*('系统实绩导入'!$D$4:$D$1500=$D50)*('系统实绩导入'!$F$4:$F$1500="实绩毛利")*('系统实绩导入'!$G$3:$R$3=$F$1)*'系统实绩导入'!$G$4:$R$1500))</f>
        <v/>
      </c>
      <c r="G50" s="39">
        <f>IF($B50="","",IFERROR(F50/E50,""))</f>
        <v/>
      </c>
      <c r="H50" s="38">
        <f>IF($B50="","",SUMPRODUCT(('目标填报'!$B$4:$B$1500=$B50)*('目标填报'!$C$4:$C$1500=$C50)*('目标填报'!$D$4:$D$1500=$D50)*('目标填报'!$F$4:$F$1500="销售目标额")*('目标填报'!$G$3:$R$3=$F$1)*'目标填报'!$G$4:$R$1500))</f>
        <v/>
      </c>
      <c r="I50" s="39">
        <f>IF($B50="","",IFERROR(E50/H50,""))</f>
        <v/>
      </c>
      <c r="J50" s="38">
        <f>IF($B50="","",SUMPRODUCT(('系统实绩导入'!$B$4:$B$1500=$B50)*('系统实绩导入'!$C$4:$C$1500=$C50)*('系统实绩导入'!$D$4:$D$1500=$D50)*('系统实绩导入'!$F$4:$F$1500="实绩销售额")*('系统实绩导入'!$G$3:$R$3&lt;=$F$1)*'系统实绩导入'!$G$4:$R$1500))</f>
        <v/>
      </c>
      <c r="K50" s="38">
        <f>IF($B50="","",SUMPRODUCT(('系统实绩导入'!$B$4:$B$1500=$B50)*('系统实绩导入'!$C$4:$C$1500=$C50)*('系统实绩导入'!$D$4:$D$1500=$D50)*('系统实绩导入'!$F$4:$F$1500="实绩毛利")*('系统实绩导入'!$G$3:$R$3&lt;=$F$1)*'系统实绩导入'!$G$4:$R$1500))</f>
        <v/>
      </c>
      <c r="L50" s="39">
        <f>IF($B50="","",IFERROR(K50/J50,""))</f>
        <v/>
      </c>
      <c r="M50" s="38">
        <f>IF($B50="","",SUMIFS('目标填报'!$S$4:$S$1500,'目标填报'!$B$4:$B$1500,$B50,'目标填报'!$C$4:$C$1500,$C50,'目标填报'!$D$4:$D$1500,$D50,'目标填报'!$F$4:$F$1500,"销售目标额"))</f>
        <v/>
      </c>
      <c r="N50" s="39">
        <f>IF($B50="","",IFERROR(J50/M50,""))</f>
        <v/>
      </c>
      <c r="O50" s="40">
        <f>IF($B50="","",J50-M50)</f>
        <v/>
      </c>
      <c r="P50" s="38">
        <f>IF($B50="","",SUMPRODUCT(('目标填报'!$B$4:$B$1500=$B50)*('目标填报'!$C$4:$C$1500=$C50)*('目标填报'!$D$4:$D$1500=$D50)*('目标填报'!$F$4:$F$1500="在手订单")*('目标填报'!$G$3:$R$3=$F$1)*'目标填报'!$G$4:$R$1500))</f>
        <v/>
      </c>
      <c r="Q50" s="38">
        <f>IF($B50="","",SUMPRODUCT(('目标填报'!$B$4:$B$1500=$B50)*('目标填报'!$C$4:$C$1500=$C50)*('目标填报'!$D$4:$D$1500=$D50)*('目标填报'!$F$4:$F$1500="在手订单目标")*('目标填报'!$G$3:$R$3=$F$1)*'目标填报'!$G$4:$R$1500))</f>
        <v/>
      </c>
      <c r="R50" s="39">
        <f>IF($B50="","",IFERROR(P50/Q50,""))</f>
        <v/>
      </c>
      <c r="S50" s="38">
        <f>IF($B50="","",SUMPRODUCT(('目标填报'!$B$4:$B$1500=$B50)*('目标填报'!$C$4:$C$1500=$C50)*('目标填报'!$D$4:$D$1500=$D50)*('目标填报'!$F$4:$F$1500="目标客户机会")*('目标填报'!$G$3:$R$3=$F$1)*'目标填报'!$G$4:$R$1500))</f>
        <v/>
      </c>
      <c r="T50" s="38">
        <f>IF($B50="","",SUMPRODUCT(('目标填报'!$B$4:$B$1500=$B50)*('目标填报'!$C$4:$C$1500=$C50)*('目标填报'!$D$4:$D$1500=$D50)*('目标填报'!$F$4:$F$1500="目标客户机会目标")*('目标填报'!$G$3:$R$3=$F$1)*'目标填报'!$G$4:$R$1500))</f>
        <v/>
      </c>
      <c r="U50" s="39">
        <f>IF($B50="","",IFERROR(S50/T50,""))</f>
        <v/>
      </c>
      <c r="V50" s="38">
        <f>IF($B50="","",P50+S50)</f>
        <v/>
      </c>
      <c r="W50" s="38">
        <f>IF($B50="","",M50-J50)</f>
        <v/>
      </c>
      <c r="X50" s="39">
        <f>IF($B50="","",IFERROR(V50/W50,""))</f>
        <v/>
      </c>
      <c r="Y50" s="40">
        <f>IF($B50="","",V50-W50)</f>
        <v/>
      </c>
    </row>
    <row r="51">
      <c r="A51" s="37">
        <f>IF($B51="","",ROW()-3)</f>
        <v/>
      </c>
      <c r="B51" s="13">
        <f>IF(47+1&gt;COUNTA('维度字典'!$C$2:$C$200)*COUNTA('维度字典'!$A$2:$A$200)*COUNTA('维度字典'!$E$2:$E$200),"",INDEX('维度字典'!$C$2:$C$200,MOD(INT(47/(COUNTA('维度字典'!$E$2:$E$200)*COUNTA('维度字典'!$A$2:$A$200))),COUNTA('维度字典'!$C$2:$C$200))+1))</f>
        <v/>
      </c>
      <c r="C51" s="13">
        <f>IF($B51="","",INDEX('维度字典'!$A$2:$A$200,MOD(INT(47/COUNTA('维度字典'!$E$2:$E$200)),COUNTA('维度字典'!$A$2:$A$200))+1))</f>
        <v/>
      </c>
      <c r="D51" s="13">
        <f>IF($B51="","",INDEX('维度字典'!$E$2:$E$200,MOD(47,COUNTA('维度字典'!$E$2:$E$200))+1))</f>
        <v/>
      </c>
      <c r="E51" s="38">
        <f>IF($B51="","",SUMPRODUCT(('系统实绩导入'!$B$4:$B$1500=$B51)*('系统实绩导入'!$C$4:$C$1500=$C51)*('系统实绩导入'!$D$4:$D$1500=$D51)*('系统实绩导入'!$F$4:$F$1500="实绩销售额")*('系统实绩导入'!$G$3:$R$3=$F$1)*'系统实绩导入'!$G$4:$R$1500))</f>
        <v/>
      </c>
      <c r="F51" s="38">
        <f>IF($B51="","",SUMPRODUCT(('系统实绩导入'!$B$4:$B$1500=$B51)*('系统实绩导入'!$C$4:$C$1500=$C51)*('系统实绩导入'!$D$4:$D$1500=$D51)*('系统实绩导入'!$F$4:$F$1500="实绩毛利")*('系统实绩导入'!$G$3:$R$3=$F$1)*'系统实绩导入'!$G$4:$R$1500))</f>
        <v/>
      </c>
      <c r="G51" s="39">
        <f>IF($B51="","",IFERROR(F51/E51,""))</f>
        <v/>
      </c>
      <c r="H51" s="38">
        <f>IF($B51="","",SUMPRODUCT(('目标填报'!$B$4:$B$1500=$B51)*('目标填报'!$C$4:$C$1500=$C51)*('目标填报'!$D$4:$D$1500=$D51)*('目标填报'!$F$4:$F$1500="销售目标额")*('目标填报'!$G$3:$R$3=$F$1)*'目标填报'!$G$4:$R$1500))</f>
        <v/>
      </c>
      <c r="I51" s="39">
        <f>IF($B51="","",IFERROR(E51/H51,""))</f>
        <v/>
      </c>
      <c r="J51" s="38">
        <f>IF($B51="","",SUMPRODUCT(('系统实绩导入'!$B$4:$B$1500=$B51)*('系统实绩导入'!$C$4:$C$1500=$C51)*('系统实绩导入'!$D$4:$D$1500=$D51)*('系统实绩导入'!$F$4:$F$1500="实绩销售额")*('系统实绩导入'!$G$3:$R$3&lt;=$F$1)*'系统实绩导入'!$G$4:$R$1500))</f>
        <v/>
      </c>
      <c r="K51" s="38">
        <f>IF($B51="","",SUMPRODUCT(('系统实绩导入'!$B$4:$B$1500=$B51)*('系统实绩导入'!$C$4:$C$1500=$C51)*('系统实绩导入'!$D$4:$D$1500=$D51)*('系统实绩导入'!$F$4:$F$1500="实绩毛利")*('系统实绩导入'!$G$3:$R$3&lt;=$F$1)*'系统实绩导入'!$G$4:$R$1500))</f>
        <v/>
      </c>
      <c r="L51" s="39">
        <f>IF($B51="","",IFERROR(K51/J51,""))</f>
        <v/>
      </c>
      <c r="M51" s="38">
        <f>IF($B51="","",SUMIFS('目标填报'!$S$4:$S$1500,'目标填报'!$B$4:$B$1500,$B51,'目标填报'!$C$4:$C$1500,$C51,'目标填报'!$D$4:$D$1500,$D51,'目标填报'!$F$4:$F$1500,"销售目标额"))</f>
        <v/>
      </c>
      <c r="N51" s="39">
        <f>IF($B51="","",IFERROR(J51/M51,""))</f>
        <v/>
      </c>
      <c r="O51" s="40">
        <f>IF($B51="","",J51-M51)</f>
        <v/>
      </c>
      <c r="P51" s="38">
        <f>IF($B51="","",SUMPRODUCT(('目标填报'!$B$4:$B$1500=$B51)*('目标填报'!$C$4:$C$1500=$C51)*('目标填报'!$D$4:$D$1500=$D51)*('目标填报'!$F$4:$F$1500="在手订单")*('目标填报'!$G$3:$R$3=$F$1)*'目标填报'!$G$4:$R$1500))</f>
        <v/>
      </c>
      <c r="Q51" s="38">
        <f>IF($B51="","",SUMPRODUCT(('目标填报'!$B$4:$B$1500=$B51)*('目标填报'!$C$4:$C$1500=$C51)*('目标填报'!$D$4:$D$1500=$D51)*('目标填报'!$F$4:$F$1500="在手订单目标")*('目标填报'!$G$3:$R$3=$F$1)*'目标填报'!$G$4:$R$1500))</f>
        <v/>
      </c>
      <c r="R51" s="39">
        <f>IF($B51="","",IFERROR(P51/Q51,""))</f>
        <v/>
      </c>
      <c r="S51" s="38">
        <f>IF($B51="","",SUMPRODUCT(('目标填报'!$B$4:$B$1500=$B51)*('目标填报'!$C$4:$C$1500=$C51)*('目标填报'!$D$4:$D$1500=$D51)*('目标填报'!$F$4:$F$1500="目标客户机会")*('目标填报'!$G$3:$R$3=$F$1)*'目标填报'!$G$4:$R$1500))</f>
        <v/>
      </c>
      <c r="T51" s="38">
        <f>IF($B51="","",SUMPRODUCT(('目标填报'!$B$4:$B$1500=$B51)*('目标填报'!$C$4:$C$1500=$C51)*('目标填报'!$D$4:$D$1500=$D51)*('目标填报'!$F$4:$F$1500="目标客户机会目标")*('目标填报'!$G$3:$R$3=$F$1)*'目标填报'!$G$4:$R$1500))</f>
        <v/>
      </c>
      <c r="U51" s="39">
        <f>IF($B51="","",IFERROR(S51/T51,""))</f>
        <v/>
      </c>
      <c r="V51" s="38">
        <f>IF($B51="","",P51+S51)</f>
        <v/>
      </c>
      <c r="W51" s="38">
        <f>IF($B51="","",M51-J51)</f>
        <v/>
      </c>
      <c r="X51" s="39">
        <f>IF($B51="","",IFERROR(V51/W51,""))</f>
        <v/>
      </c>
      <c r="Y51" s="40">
        <f>IF($B51="","",V51-W51)</f>
        <v/>
      </c>
    </row>
    <row r="52">
      <c r="A52" s="37">
        <f>IF($B52="","",ROW()-3)</f>
        <v/>
      </c>
      <c r="B52" s="13">
        <f>IF(48+1&gt;COUNTA('维度字典'!$C$2:$C$200)*COUNTA('维度字典'!$A$2:$A$200)*COUNTA('维度字典'!$E$2:$E$200),"",INDEX('维度字典'!$C$2:$C$200,MOD(INT(48/(COUNTA('维度字典'!$E$2:$E$200)*COUNTA('维度字典'!$A$2:$A$200))),COUNTA('维度字典'!$C$2:$C$200))+1))</f>
        <v/>
      </c>
      <c r="C52" s="13">
        <f>IF($B52="","",INDEX('维度字典'!$A$2:$A$200,MOD(INT(48/COUNTA('维度字典'!$E$2:$E$200)),COUNTA('维度字典'!$A$2:$A$200))+1))</f>
        <v/>
      </c>
      <c r="D52" s="13">
        <f>IF($B52="","",INDEX('维度字典'!$E$2:$E$200,MOD(48,COUNTA('维度字典'!$E$2:$E$200))+1))</f>
        <v/>
      </c>
      <c r="E52" s="38">
        <f>IF($B52="","",SUMPRODUCT(('系统实绩导入'!$B$4:$B$1500=$B52)*('系统实绩导入'!$C$4:$C$1500=$C52)*('系统实绩导入'!$D$4:$D$1500=$D52)*('系统实绩导入'!$F$4:$F$1500="实绩销售额")*('系统实绩导入'!$G$3:$R$3=$F$1)*'系统实绩导入'!$G$4:$R$1500))</f>
        <v/>
      </c>
      <c r="F52" s="38">
        <f>IF($B52="","",SUMPRODUCT(('系统实绩导入'!$B$4:$B$1500=$B52)*('系统实绩导入'!$C$4:$C$1500=$C52)*('系统实绩导入'!$D$4:$D$1500=$D52)*('系统实绩导入'!$F$4:$F$1500="实绩毛利")*('系统实绩导入'!$G$3:$R$3=$F$1)*'系统实绩导入'!$G$4:$R$1500))</f>
        <v/>
      </c>
      <c r="G52" s="39">
        <f>IF($B52="","",IFERROR(F52/E52,""))</f>
        <v/>
      </c>
      <c r="H52" s="38">
        <f>IF($B52="","",SUMPRODUCT(('目标填报'!$B$4:$B$1500=$B52)*('目标填报'!$C$4:$C$1500=$C52)*('目标填报'!$D$4:$D$1500=$D52)*('目标填报'!$F$4:$F$1500="销售目标额")*('目标填报'!$G$3:$R$3=$F$1)*'目标填报'!$G$4:$R$1500))</f>
        <v/>
      </c>
      <c r="I52" s="39">
        <f>IF($B52="","",IFERROR(E52/H52,""))</f>
        <v/>
      </c>
      <c r="J52" s="38">
        <f>IF($B52="","",SUMPRODUCT(('系统实绩导入'!$B$4:$B$1500=$B52)*('系统实绩导入'!$C$4:$C$1500=$C52)*('系统实绩导入'!$D$4:$D$1500=$D52)*('系统实绩导入'!$F$4:$F$1500="实绩销售额")*('系统实绩导入'!$G$3:$R$3&lt;=$F$1)*'系统实绩导入'!$G$4:$R$1500))</f>
        <v/>
      </c>
      <c r="K52" s="38">
        <f>IF($B52="","",SUMPRODUCT(('系统实绩导入'!$B$4:$B$1500=$B52)*('系统实绩导入'!$C$4:$C$1500=$C52)*('系统实绩导入'!$D$4:$D$1500=$D52)*('系统实绩导入'!$F$4:$F$1500="实绩毛利")*('系统实绩导入'!$G$3:$R$3&lt;=$F$1)*'系统实绩导入'!$G$4:$R$1500))</f>
        <v/>
      </c>
      <c r="L52" s="39">
        <f>IF($B52="","",IFERROR(K52/J52,""))</f>
        <v/>
      </c>
      <c r="M52" s="38">
        <f>IF($B52="","",SUMIFS('目标填报'!$S$4:$S$1500,'目标填报'!$B$4:$B$1500,$B52,'目标填报'!$C$4:$C$1500,$C52,'目标填报'!$D$4:$D$1500,$D52,'目标填报'!$F$4:$F$1500,"销售目标额"))</f>
        <v/>
      </c>
      <c r="N52" s="39">
        <f>IF($B52="","",IFERROR(J52/M52,""))</f>
        <v/>
      </c>
      <c r="O52" s="40">
        <f>IF($B52="","",J52-M52)</f>
        <v/>
      </c>
      <c r="P52" s="38">
        <f>IF($B52="","",SUMPRODUCT(('目标填报'!$B$4:$B$1500=$B52)*('目标填报'!$C$4:$C$1500=$C52)*('目标填报'!$D$4:$D$1500=$D52)*('目标填报'!$F$4:$F$1500="在手订单")*('目标填报'!$G$3:$R$3=$F$1)*'目标填报'!$G$4:$R$1500))</f>
        <v/>
      </c>
      <c r="Q52" s="38">
        <f>IF($B52="","",SUMPRODUCT(('目标填报'!$B$4:$B$1500=$B52)*('目标填报'!$C$4:$C$1500=$C52)*('目标填报'!$D$4:$D$1500=$D52)*('目标填报'!$F$4:$F$1500="在手订单目标")*('目标填报'!$G$3:$R$3=$F$1)*'目标填报'!$G$4:$R$1500))</f>
        <v/>
      </c>
      <c r="R52" s="39">
        <f>IF($B52="","",IFERROR(P52/Q52,""))</f>
        <v/>
      </c>
      <c r="S52" s="38">
        <f>IF($B52="","",SUMPRODUCT(('目标填报'!$B$4:$B$1500=$B52)*('目标填报'!$C$4:$C$1500=$C52)*('目标填报'!$D$4:$D$1500=$D52)*('目标填报'!$F$4:$F$1500="目标客户机会")*('目标填报'!$G$3:$R$3=$F$1)*'目标填报'!$G$4:$R$1500))</f>
        <v/>
      </c>
      <c r="T52" s="38">
        <f>IF($B52="","",SUMPRODUCT(('目标填报'!$B$4:$B$1500=$B52)*('目标填报'!$C$4:$C$1500=$C52)*('目标填报'!$D$4:$D$1500=$D52)*('目标填报'!$F$4:$F$1500="目标客户机会目标")*('目标填报'!$G$3:$R$3=$F$1)*'目标填报'!$G$4:$R$1500))</f>
        <v/>
      </c>
      <c r="U52" s="39">
        <f>IF($B52="","",IFERROR(S52/T52,""))</f>
        <v/>
      </c>
      <c r="V52" s="38">
        <f>IF($B52="","",P52+S52)</f>
        <v/>
      </c>
      <c r="W52" s="38">
        <f>IF($B52="","",M52-J52)</f>
        <v/>
      </c>
      <c r="X52" s="39">
        <f>IF($B52="","",IFERROR(V52/W52,""))</f>
        <v/>
      </c>
      <c r="Y52" s="40">
        <f>IF($B52="","",V52-W52)</f>
        <v/>
      </c>
    </row>
    <row r="53">
      <c r="A53" s="37">
        <f>IF($B53="","",ROW()-3)</f>
        <v/>
      </c>
      <c r="B53" s="13">
        <f>IF(49+1&gt;COUNTA('维度字典'!$C$2:$C$200)*COUNTA('维度字典'!$A$2:$A$200)*COUNTA('维度字典'!$E$2:$E$200),"",INDEX('维度字典'!$C$2:$C$200,MOD(INT(49/(COUNTA('维度字典'!$E$2:$E$200)*COUNTA('维度字典'!$A$2:$A$200))),COUNTA('维度字典'!$C$2:$C$200))+1))</f>
        <v/>
      </c>
      <c r="C53" s="13">
        <f>IF($B53="","",INDEX('维度字典'!$A$2:$A$200,MOD(INT(49/COUNTA('维度字典'!$E$2:$E$200)),COUNTA('维度字典'!$A$2:$A$200))+1))</f>
        <v/>
      </c>
      <c r="D53" s="13">
        <f>IF($B53="","",INDEX('维度字典'!$E$2:$E$200,MOD(49,COUNTA('维度字典'!$E$2:$E$200))+1))</f>
        <v/>
      </c>
      <c r="E53" s="38">
        <f>IF($B53="","",SUMPRODUCT(('系统实绩导入'!$B$4:$B$1500=$B53)*('系统实绩导入'!$C$4:$C$1500=$C53)*('系统实绩导入'!$D$4:$D$1500=$D53)*('系统实绩导入'!$F$4:$F$1500="实绩销售额")*('系统实绩导入'!$G$3:$R$3=$F$1)*'系统实绩导入'!$G$4:$R$1500))</f>
        <v/>
      </c>
      <c r="F53" s="38">
        <f>IF($B53="","",SUMPRODUCT(('系统实绩导入'!$B$4:$B$1500=$B53)*('系统实绩导入'!$C$4:$C$1500=$C53)*('系统实绩导入'!$D$4:$D$1500=$D53)*('系统实绩导入'!$F$4:$F$1500="实绩毛利")*('系统实绩导入'!$G$3:$R$3=$F$1)*'系统实绩导入'!$G$4:$R$1500))</f>
        <v/>
      </c>
      <c r="G53" s="39">
        <f>IF($B53="","",IFERROR(F53/E53,""))</f>
        <v/>
      </c>
      <c r="H53" s="38">
        <f>IF($B53="","",SUMPRODUCT(('目标填报'!$B$4:$B$1500=$B53)*('目标填报'!$C$4:$C$1500=$C53)*('目标填报'!$D$4:$D$1500=$D53)*('目标填报'!$F$4:$F$1500="销售目标额")*('目标填报'!$G$3:$R$3=$F$1)*'目标填报'!$G$4:$R$1500))</f>
        <v/>
      </c>
      <c r="I53" s="39">
        <f>IF($B53="","",IFERROR(E53/H53,""))</f>
        <v/>
      </c>
      <c r="J53" s="38">
        <f>IF($B53="","",SUMPRODUCT(('系统实绩导入'!$B$4:$B$1500=$B53)*('系统实绩导入'!$C$4:$C$1500=$C53)*('系统实绩导入'!$D$4:$D$1500=$D53)*('系统实绩导入'!$F$4:$F$1500="实绩销售额")*('系统实绩导入'!$G$3:$R$3&lt;=$F$1)*'系统实绩导入'!$G$4:$R$1500))</f>
        <v/>
      </c>
      <c r="K53" s="38">
        <f>IF($B53="","",SUMPRODUCT(('系统实绩导入'!$B$4:$B$1500=$B53)*('系统实绩导入'!$C$4:$C$1500=$C53)*('系统实绩导入'!$D$4:$D$1500=$D53)*('系统实绩导入'!$F$4:$F$1500="实绩毛利")*('系统实绩导入'!$G$3:$R$3&lt;=$F$1)*'系统实绩导入'!$G$4:$R$1500))</f>
        <v/>
      </c>
      <c r="L53" s="39">
        <f>IF($B53="","",IFERROR(K53/J53,""))</f>
        <v/>
      </c>
      <c r="M53" s="38">
        <f>IF($B53="","",SUMIFS('目标填报'!$S$4:$S$1500,'目标填报'!$B$4:$B$1500,$B53,'目标填报'!$C$4:$C$1500,$C53,'目标填报'!$D$4:$D$1500,$D53,'目标填报'!$F$4:$F$1500,"销售目标额"))</f>
        <v/>
      </c>
      <c r="N53" s="39">
        <f>IF($B53="","",IFERROR(J53/M53,""))</f>
        <v/>
      </c>
      <c r="O53" s="40">
        <f>IF($B53="","",J53-M53)</f>
        <v/>
      </c>
      <c r="P53" s="38">
        <f>IF($B53="","",SUMPRODUCT(('目标填报'!$B$4:$B$1500=$B53)*('目标填报'!$C$4:$C$1500=$C53)*('目标填报'!$D$4:$D$1500=$D53)*('目标填报'!$F$4:$F$1500="在手订单")*('目标填报'!$G$3:$R$3=$F$1)*'目标填报'!$G$4:$R$1500))</f>
        <v/>
      </c>
      <c r="Q53" s="38">
        <f>IF($B53="","",SUMPRODUCT(('目标填报'!$B$4:$B$1500=$B53)*('目标填报'!$C$4:$C$1500=$C53)*('目标填报'!$D$4:$D$1500=$D53)*('目标填报'!$F$4:$F$1500="在手订单目标")*('目标填报'!$G$3:$R$3=$F$1)*'目标填报'!$G$4:$R$1500))</f>
        <v/>
      </c>
      <c r="R53" s="39">
        <f>IF($B53="","",IFERROR(P53/Q53,""))</f>
        <v/>
      </c>
      <c r="S53" s="38">
        <f>IF($B53="","",SUMPRODUCT(('目标填报'!$B$4:$B$1500=$B53)*('目标填报'!$C$4:$C$1500=$C53)*('目标填报'!$D$4:$D$1500=$D53)*('目标填报'!$F$4:$F$1500="目标客户机会")*('目标填报'!$G$3:$R$3=$F$1)*'目标填报'!$G$4:$R$1500))</f>
        <v/>
      </c>
      <c r="T53" s="38">
        <f>IF($B53="","",SUMPRODUCT(('目标填报'!$B$4:$B$1500=$B53)*('目标填报'!$C$4:$C$1500=$C53)*('目标填报'!$D$4:$D$1500=$D53)*('目标填报'!$F$4:$F$1500="目标客户机会目标")*('目标填报'!$G$3:$R$3=$F$1)*'目标填报'!$G$4:$R$1500))</f>
        <v/>
      </c>
      <c r="U53" s="39">
        <f>IF($B53="","",IFERROR(S53/T53,""))</f>
        <v/>
      </c>
      <c r="V53" s="38">
        <f>IF($B53="","",P53+S53)</f>
        <v/>
      </c>
      <c r="W53" s="38">
        <f>IF($B53="","",M53-J53)</f>
        <v/>
      </c>
      <c r="X53" s="39">
        <f>IF($B53="","",IFERROR(V53/W53,""))</f>
        <v/>
      </c>
      <c r="Y53" s="40">
        <f>IF($B53="","",V53-W53)</f>
        <v/>
      </c>
    </row>
    <row r="54">
      <c r="A54" s="37">
        <f>IF($B54="","",ROW()-3)</f>
        <v/>
      </c>
      <c r="B54" s="13">
        <f>IF(50+1&gt;COUNTA('维度字典'!$C$2:$C$200)*COUNTA('维度字典'!$A$2:$A$200)*COUNTA('维度字典'!$E$2:$E$200),"",INDEX('维度字典'!$C$2:$C$200,MOD(INT(50/(COUNTA('维度字典'!$E$2:$E$200)*COUNTA('维度字典'!$A$2:$A$200))),COUNTA('维度字典'!$C$2:$C$200))+1))</f>
        <v/>
      </c>
      <c r="C54" s="13">
        <f>IF($B54="","",INDEX('维度字典'!$A$2:$A$200,MOD(INT(50/COUNTA('维度字典'!$E$2:$E$200)),COUNTA('维度字典'!$A$2:$A$200))+1))</f>
        <v/>
      </c>
      <c r="D54" s="13">
        <f>IF($B54="","",INDEX('维度字典'!$E$2:$E$200,MOD(50,COUNTA('维度字典'!$E$2:$E$200))+1))</f>
        <v/>
      </c>
      <c r="E54" s="38">
        <f>IF($B54="","",SUMPRODUCT(('系统实绩导入'!$B$4:$B$1500=$B54)*('系统实绩导入'!$C$4:$C$1500=$C54)*('系统实绩导入'!$D$4:$D$1500=$D54)*('系统实绩导入'!$F$4:$F$1500="实绩销售额")*('系统实绩导入'!$G$3:$R$3=$F$1)*'系统实绩导入'!$G$4:$R$1500))</f>
        <v/>
      </c>
      <c r="F54" s="38">
        <f>IF($B54="","",SUMPRODUCT(('系统实绩导入'!$B$4:$B$1500=$B54)*('系统实绩导入'!$C$4:$C$1500=$C54)*('系统实绩导入'!$D$4:$D$1500=$D54)*('系统实绩导入'!$F$4:$F$1500="实绩毛利")*('系统实绩导入'!$G$3:$R$3=$F$1)*'系统实绩导入'!$G$4:$R$1500))</f>
        <v/>
      </c>
      <c r="G54" s="39">
        <f>IF($B54="","",IFERROR(F54/E54,""))</f>
        <v/>
      </c>
      <c r="H54" s="38">
        <f>IF($B54="","",SUMPRODUCT(('目标填报'!$B$4:$B$1500=$B54)*('目标填报'!$C$4:$C$1500=$C54)*('目标填报'!$D$4:$D$1500=$D54)*('目标填报'!$F$4:$F$1500="销售目标额")*('目标填报'!$G$3:$R$3=$F$1)*'目标填报'!$G$4:$R$1500))</f>
        <v/>
      </c>
      <c r="I54" s="39">
        <f>IF($B54="","",IFERROR(E54/H54,""))</f>
        <v/>
      </c>
      <c r="J54" s="38">
        <f>IF($B54="","",SUMPRODUCT(('系统实绩导入'!$B$4:$B$1500=$B54)*('系统实绩导入'!$C$4:$C$1500=$C54)*('系统实绩导入'!$D$4:$D$1500=$D54)*('系统实绩导入'!$F$4:$F$1500="实绩销售额")*('系统实绩导入'!$G$3:$R$3&lt;=$F$1)*'系统实绩导入'!$G$4:$R$1500))</f>
        <v/>
      </c>
      <c r="K54" s="38">
        <f>IF($B54="","",SUMPRODUCT(('系统实绩导入'!$B$4:$B$1500=$B54)*('系统实绩导入'!$C$4:$C$1500=$C54)*('系统实绩导入'!$D$4:$D$1500=$D54)*('系统实绩导入'!$F$4:$F$1500="实绩毛利")*('系统实绩导入'!$G$3:$R$3&lt;=$F$1)*'系统实绩导入'!$G$4:$R$1500))</f>
        <v/>
      </c>
      <c r="L54" s="39">
        <f>IF($B54="","",IFERROR(K54/J54,""))</f>
        <v/>
      </c>
      <c r="M54" s="38">
        <f>IF($B54="","",SUMIFS('目标填报'!$S$4:$S$1500,'目标填报'!$B$4:$B$1500,$B54,'目标填报'!$C$4:$C$1500,$C54,'目标填报'!$D$4:$D$1500,$D54,'目标填报'!$F$4:$F$1500,"销售目标额"))</f>
        <v/>
      </c>
      <c r="N54" s="39">
        <f>IF($B54="","",IFERROR(J54/M54,""))</f>
        <v/>
      </c>
      <c r="O54" s="40">
        <f>IF($B54="","",J54-M54)</f>
        <v/>
      </c>
      <c r="P54" s="38">
        <f>IF($B54="","",SUMPRODUCT(('目标填报'!$B$4:$B$1500=$B54)*('目标填报'!$C$4:$C$1500=$C54)*('目标填报'!$D$4:$D$1500=$D54)*('目标填报'!$F$4:$F$1500="在手订单")*('目标填报'!$G$3:$R$3=$F$1)*'目标填报'!$G$4:$R$1500))</f>
        <v/>
      </c>
      <c r="Q54" s="38">
        <f>IF($B54="","",SUMPRODUCT(('目标填报'!$B$4:$B$1500=$B54)*('目标填报'!$C$4:$C$1500=$C54)*('目标填报'!$D$4:$D$1500=$D54)*('目标填报'!$F$4:$F$1500="在手订单目标")*('目标填报'!$G$3:$R$3=$F$1)*'目标填报'!$G$4:$R$1500))</f>
        <v/>
      </c>
      <c r="R54" s="39">
        <f>IF($B54="","",IFERROR(P54/Q54,""))</f>
        <v/>
      </c>
      <c r="S54" s="38">
        <f>IF($B54="","",SUMPRODUCT(('目标填报'!$B$4:$B$1500=$B54)*('目标填报'!$C$4:$C$1500=$C54)*('目标填报'!$D$4:$D$1500=$D54)*('目标填报'!$F$4:$F$1500="目标客户机会")*('目标填报'!$G$3:$R$3=$F$1)*'目标填报'!$G$4:$R$1500))</f>
        <v/>
      </c>
      <c r="T54" s="38">
        <f>IF($B54="","",SUMPRODUCT(('目标填报'!$B$4:$B$1500=$B54)*('目标填报'!$C$4:$C$1500=$C54)*('目标填报'!$D$4:$D$1500=$D54)*('目标填报'!$F$4:$F$1500="目标客户机会目标")*('目标填报'!$G$3:$R$3=$F$1)*'目标填报'!$G$4:$R$1500))</f>
        <v/>
      </c>
      <c r="U54" s="39">
        <f>IF($B54="","",IFERROR(S54/T54,""))</f>
        <v/>
      </c>
      <c r="V54" s="38">
        <f>IF($B54="","",P54+S54)</f>
        <v/>
      </c>
      <c r="W54" s="38">
        <f>IF($B54="","",M54-J54)</f>
        <v/>
      </c>
      <c r="X54" s="39">
        <f>IF($B54="","",IFERROR(V54/W54,""))</f>
        <v/>
      </c>
      <c r="Y54" s="40">
        <f>IF($B54="","",V54-W54)</f>
        <v/>
      </c>
    </row>
    <row r="55">
      <c r="A55" s="37">
        <f>IF($B55="","",ROW()-3)</f>
        <v/>
      </c>
      <c r="B55" s="13">
        <f>IF(51+1&gt;COUNTA('维度字典'!$C$2:$C$200)*COUNTA('维度字典'!$A$2:$A$200)*COUNTA('维度字典'!$E$2:$E$200),"",INDEX('维度字典'!$C$2:$C$200,MOD(INT(51/(COUNTA('维度字典'!$E$2:$E$200)*COUNTA('维度字典'!$A$2:$A$200))),COUNTA('维度字典'!$C$2:$C$200))+1))</f>
        <v/>
      </c>
      <c r="C55" s="13">
        <f>IF($B55="","",INDEX('维度字典'!$A$2:$A$200,MOD(INT(51/COUNTA('维度字典'!$E$2:$E$200)),COUNTA('维度字典'!$A$2:$A$200))+1))</f>
        <v/>
      </c>
      <c r="D55" s="13">
        <f>IF($B55="","",INDEX('维度字典'!$E$2:$E$200,MOD(51,COUNTA('维度字典'!$E$2:$E$200))+1))</f>
        <v/>
      </c>
      <c r="E55" s="38">
        <f>IF($B55="","",SUMPRODUCT(('系统实绩导入'!$B$4:$B$1500=$B55)*('系统实绩导入'!$C$4:$C$1500=$C55)*('系统实绩导入'!$D$4:$D$1500=$D55)*('系统实绩导入'!$F$4:$F$1500="实绩销售额")*('系统实绩导入'!$G$3:$R$3=$F$1)*'系统实绩导入'!$G$4:$R$1500))</f>
        <v/>
      </c>
      <c r="F55" s="38">
        <f>IF($B55="","",SUMPRODUCT(('系统实绩导入'!$B$4:$B$1500=$B55)*('系统实绩导入'!$C$4:$C$1500=$C55)*('系统实绩导入'!$D$4:$D$1500=$D55)*('系统实绩导入'!$F$4:$F$1500="实绩毛利")*('系统实绩导入'!$G$3:$R$3=$F$1)*'系统实绩导入'!$G$4:$R$1500))</f>
        <v/>
      </c>
      <c r="G55" s="39">
        <f>IF($B55="","",IFERROR(F55/E55,""))</f>
        <v/>
      </c>
      <c r="H55" s="38">
        <f>IF($B55="","",SUMPRODUCT(('目标填报'!$B$4:$B$1500=$B55)*('目标填报'!$C$4:$C$1500=$C55)*('目标填报'!$D$4:$D$1500=$D55)*('目标填报'!$F$4:$F$1500="销售目标额")*('目标填报'!$G$3:$R$3=$F$1)*'目标填报'!$G$4:$R$1500))</f>
        <v/>
      </c>
      <c r="I55" s="39">
        <f>IF($B55="","",IFERROR(E55/H55,""))</f>
        <v/>
      </c>
      <c r="J55" s="38">
        <f>IF($B55="","",SUMPRODUCT(('系统实绩导入'!$B$4:$B$1500=$B55)*('系统实绩导入'!$C$4:$C$1500=$C55)*('系统实绩导入'!$D$4:$D$1500=$D55)*('系统实绩导入'!$F$4:$F$1500="实绩销售额")*('系统实绩导入'!$G$3:$R$3&lt;=$F$1)*'系统实绩导入'!$G$4:$R$1500))</f>
        <v/>
      </c>
      <c r="K55" s="38">
        <f>IF($B55="","",SUMPRODUCT(('系统实绩导入'!$B$4:$B$1500=$B55)*('系统实绩导入'!$C$4:$C$1500=$C55)*('系统实绩导入'!$D$4:$D$1500=$D55)*('系统实绩导入'!$F$4:$F$1500="实绩毛利")*('系统实绩导入'!$G$3:$R$3&lt;=$F$1)*'系统实绩导入'!$G$4:$R$1500))</f>
        <v/>
      </c>
      <c r="L55" s="39">
        <f>IF($B55="","",IFERROR(K55/J55,""))</f>
        <v/>
      </c>
      <c r="M55" s="38">
        <f>IF($B55="","",SUMIFS('目标填报'!$S$4:$S$1500,'目标填报'!$B$4:$B$1500,$B55,'目标填报'!$C$4:$C$1500,$C55,'目标填报'!$D$4:$D$1500,$D55,'目标填报'!$F$4:$F$1500,"销售目标额"))</f>
        <v/>
      </c>
      <c r="N55" s="39">
        <f>IF($B55="","",IFERROR(J55/M55,""))</f>
        <v/>
      </c>
      <c r="O55" s="40">
        <f>IF($B55="","",J55-M55)</f>
        <v/>
      </c>
      <c r="P55" s="38">
        <f>IF($B55="","",SUMPRODUCT(('目标填报'!$B$4:$B$1500=$B55)*('目标填报'!$C$4:$C$1500=$C55)*('目标填报'!$D$4:$D$1500=$D55)*('目标填报'!$F$4:$F$1500="在手订单")*('目标填报'!$G$3:$R$3=$F$1)*'目标填报'!$G$4:$R$1500))</f>
        <v/>
      </c>
      <c r="Q55" s="38">
        <f>IF($B55="","",SUMPRODUCT(('目标填报'!$B$4:$B$1500=$B55)*('目标填报'!$C$4:$C$1500=$C55)*('目标填报'!$D$4:$D$1500=$D55)*('目标填报'!$F$4:$F$1500="在手订单目标")*('目标填报'!$G$3:$R$3=$F$1)*'目标填报'!$G$4:$R$1500))</f>
        <v/>
      </c>
      <c r="R55" s="39">
        <f>IF($B55="","",IFERROR(P55/Q55,""))</f>
        <v/>
      </c>
      <c r="S55" s="38">
        <f>IF($B55="","",SUMPRODUCT(('目标填报'!$B$4:$B$1500=$B55)*('目标填报'!$C$4:$C$1500=$C55)*('目标填报'!$D$4:$D$1500=$D55)*('目标填报'!$F$4:$F$1500="目标客户机会")*('目标填报'!$G$3:$R$3=$F$1)*'目标填报'!$G$4:$R$1500))</f>
        <v/>
      </c>
      <c r="T55" s="38">
        <f>IF($B55="","",SUMPRODUCT(('目标填报'!$B$4:$B$1500=$B55)*('目标填报'!$C$4:$C$1500=$C55)*('目标填报'!$D$4:$D$1500=$D55)*('目标填报'!$F$4:$F$1500="目标客户机会目标")*('目标填报'!$G$3:$R$3=$F$1)*'目标填报'!$G$4:$R$1500))</f>
        <v/>
      </c>
      <c r="U55" s="39">
        <f>IF($B55="","",IFERROR(S55/T55,""))</f>
        <v/>
      </c>
      <c r="V55" s="38">
        <f>IF($B55="","",P55+S55)</f>
        <v/>
      </c>
      <c r="W55" s="38">
        <f>IF($B55="","",M55-J55)</f>
        <v/>
      </c>
      <c r="X55" s="39">
        <f>IF($B55="","",IFERROR(V55/W55,""))</f>
        <v/>
      </c>
      <c r="Y55" s="40">
        <f>IF($B55="","",V55-W55)</f>
        <v/>
      </c>
    </row>
    <row r="56">
      <c r="A56" s="37">
        <f>IF($B56="","",ROW()-3)</f>
        <v/>
      </c>
      <c r="B56" s="13">
        <f>IF(52+1&gt;COUNTA('维度字典'!$C$2:$C$200)*COUNTA('维度字典'!$A$2:$A$200)*COUNTA('维度字典'!$E$2:$E$200),"",INDEX('维度字典'!$C$2:$C$200,MOD(INT(52/(COUNTA('维度字典'!$E$2:$E$200)*COUNTA('维度字典'!$A$2:$A$200))),COUNTA('维度字典'!$C$2:$C$200))+1))</f>
        <v/>
      </c>
      <c r="C56" s="13">
        <f>IF($B56="","",INDEX('维度字典'!$A$2:$A$200,MOD(INT(52/COUNTA('维度字典'!$E$2:$E$200)),COUNTA('维度字典'!$A$2:$A$200))+1))</f>
        <v/>
      </c>
      <c r="D56" s="13">
        <f>IF($B56="","",INDEX('维度字典'!$E$2:$E$200,MOD(52,COUNTA('维度字典'!$E$2:$E$200))+1))</f>
        <v/>
      </c>
      <c r="E56" s="38">
        <f>IF($B56="","",SUMPRODUCT(('系统实绩导入'!$B$4:$B$1500=$B56)*('系统实绩导入'!$C$4:$C$1500=$C56)*('系统实绩导入'!$D$4:$D$1500=$D56)*('系统实绩导入'!$F$4:$F$1500="实绩销售额")*('系统实绩导入'!$G$3:$R$3=$F$1)*'系统实绩导入'!$G$4:$R$1500))</f>
        <v/>
      </c>
      <c r="F56" s="38">
        <f>IF($B56="","",SUMPRODUCT(('系统实绩导入'!$B$4:$B$1500=$B56)*('系统实绩导入'!$C$4:$C$1500=$C56)*('系统实绩导入'!$D$4:$D$1500=$D56)*('系统实绩导入'!$F$4:$F$1500="实绩毛利")*('系统实绩导入'!$G$3:$R$3=$F$1)*'系统实绩导入'!$G$4:$R$1500))</f>
        <v/>
      </c>
      <c r="G56" s="39">
        <f>IF($B56="","",IFERROR(F56/E56,""))</f>
        <v/>
      </c>
      <c r="H56" s="38">
        <f>IF($B56="","",SUMPRODUCT(('目标填报'!$B$4:$B$1500=$B56)*('目标填报'!$C$4:$C$1500=$C56)*('目标填报'!$D$4:$D$1500=$D56)*('目标填报'!$F$4:$F$1500="销售目标额")*('目标填报'!$G$3:$R$3=$F$1)*'目标填报'!$G$4:$R$1500))</f>
        <v/>
      </c>
      <c r="I56" s="39">
        <f>IF($B56="","",IFERROR(E56/H56,""))</f>
        <v/>
      </c>
      <c r="J56" s="38">
        <f>IF($B56="","",SUMPRODUCT(('系统实绩导入'!$B$4:$B$1500=$B56)*('系统实绩导入'!$C$4:$C$1500=$C56)*('系统实绩导入'!$D$4:$D$1500=$D56)*('系统实绩导入'!$F$4:$F$1500="实绩销售额")*('系统实绩导入'!$G$3:$R$3&lt;=$F$1)*'系统实绩导入'!$G$4:$R$1500))</f>
        <v/>
      </c>
      <c r="K56" s="38">
        <f>IF($B56="","",SUMPRODUCT(('系统实绩导入'!$B$4:$B$1500=$B56)*('系统实绩导入'!$C$4:$C$1500=$C56)*('系统实绩导入'!$D$4:$D$1500=$D56)*('系统实绩导入'!$F$4:$F$1500="实绩毛利")*('系统实绩导入'!$G$3:$R$3&lt;=$F$1)*'系统实绩导入'!$G$4:$R$1500))</f>
        <v/>
      </c>
      <c r="L56" s="39">
        <f>IF($B56="","",IFERROR(K56/J56,""))</f>
        <v/>
      </c>
      <c r="M56" s="38">
        <f>IF($B56="","",SUMIFS('目标填报'!$S$4:$S$1500,'目标填报'!$B$4:$B$1500,$B56,'目标填报'!$C$4:$C$1500,$C56,'目标填报'!$D$4:$D$1500,$D56,'目标填报'!$F$4:$F$1500,"销售目标额"))</f>
        <v/>
      </c>
      <c r="N56" s="39">
        <f>IF($B56="","",IFERROR(J56/M56,""))</f>
        <v/>
      </c>
      <c r="O56" s="40">
        <f>IF($B56="","",J56-M56)</f>
        <v/>
      </c>
      <c r="P56" s="38">
        <f>IF($B56="","",SUMPRODUCT(('目标填报'!$B$4:$B$1500=$B56)*('目标填报'!$C$4:$C$1500=$C56)*('目标填报'!$D$4:$D$1500=$D56)*('目标填报'!$F$4:$F$1500="在手订单")*('目标填报'!$G$3:$R$3=$F$1)*'目标填报'!$G$4:$R$1500))</f>
        <v/>
      </c>
      <c r="Q56" s="38">
        <f>IF($B56="","",SUMPRODUCT(('目标填报'!$B$4:$B$1500=$B56)*('目标填报'!$C$4:$C$1500=$C56)*('目标填报'!$D$4:$D$1500=$D56)*('目标填报'!$F$4:$F$1500="在手订单目标")*('目标填报'!$G$3:$R$3=$F$1)*'目标填报'!$G$4:$R$1500))</f>
        <v/>
      </c>
      <c r="R56" s="39">
        <f>IF($B56="","",IFERROR(P56/Q56,""))</f>
        <v/>
      </c>
      <c r="S56" s="38">
        <f>IF($B56="","",SUMPRODUCT(('目标填报'!$B$4:$B$1500=$B56)*('目标填报'!$C$4:$C$1500=$C56)*('目标填报'!$D$4:$D$1500=$D56)*('目标填报'!$F$4:$F$1500="目标客户机会")*('目标填报'!$G$3:$R$3=$F$1)*'目标填报'!$G$4:$R$1500))</f>
        <v/>
      </c>
      <c r="T56" s="38">
        <f>IF($B56="","",SUMPRODUCT(('目标填报'!$B$4:$B$1500=$B56)*('目标填报'!$C$4:$C$1500=$C56)*('目标填报'!$D$4:$D$1500=$D56)*('目标填报'!$F$4:$F$1500="目标客户机会目标")*('目标填报'!$G$3:$R$3=$F$1)*'目标填报'!$G$4:$R$1500))</f>
        <v/>
      </c>
      <c r="U56" s="39">
        <f>IF($B56="","",IFERROR(S56/T56,""))</f>
        <v/>
      </c>
      <c r="V56" s="38">
        <f>IF($B56="","",P56+S56)</f>
        <v/>
      </c>
      <c r="W56" s="38">
        <f>IF($B56="","",M56-J56)</f>
        <v/>
      </c>
      <c r="X56" s="39">
        <f>IF($B56="","",IFERROR(V56/W56,""))</f>
        <v/>
      </c>
      <c r="Y56" s="40">
        <f>IF($B56="","",V56-W56)</f>
        <v/>
      </c>
    </row>
    <row r="57">
      <c r="A57" s="37">
        <f>IF($B57="","",ROW()-3)</f>
        <v/>
      </c>
      <c r="B57" s="13">
        <f>IF(53+1&gt;COUNTA('维度字典'!$C$2:$C$200)*COUNTA('维度字典'!$A$2:$A$200)*COUNTA('维度字典'!$E$2:$E$200),"",INDEX('维度字典'!$C$2:$C$200,MOD(INT(53/(COUNTA('维度字典'!$E$2:$E$200)*COUNTA('维度字典'!$A$2:$A$200))),COUNTA('维度字典'!$C$2:$C$200))+1))</f>
        <v/>
      </c>
      <c r="C57" s="13">
        <f>IF($B57="","",INDEX('维度字典'!$A$2:$A$200,MOD(INT(53/COUNTA('维度字典'!$E$2:$E$200)),COUNTA('维度字典'!$A$2:$A$200))+1))</f>
        <v/>
      </c>
      <c r="D57" s="13">
        <f>IF($B57="","",INDEX('维度字典'!$E$2:$E$200,MOD(53,COUNTA('维度字典'!$E$2:$E$200))+1))</f>
        <v/>
      </c>
      <c r="E57" s="38">
        <f>IF($B57="","",SUMPRODUCT(('系统实绩导入'!$B$4:$B$1500=$B57)*('系统实绩导入'!$C$4:$C$1500=$C57)*('系统实绩导入'!$D$4:$D$1500=$D57)*('系统实绩导入'!$F$4:$F$1500="实绩销售额")*('系统实绩导入'!$G$3:$R$3=$F$1)*'系统实绩导入'!$G$4:$R$1500))</f>
        <v/>
      </c>
      <c r="F57" s="38">
        <f>IF($B57="","",SUMPRODUCT(('系统实绩导入'!$B$4:$B$1500=$B57)*('系统实绩导入'!$C$4:$C$1500=$C57)*('系统实绩导入'!$D$4:$D$1500=$D57)*('系统实绩导入'!$F$4:$F$1500="实绩毛利")*('系统实绩导入'!$G$3:$R$3=$F$1)*'系统实绩导入'!$G$4:$R$1500))</f>
        <v/>
      </c>
      <c r="G57" s="39">
        <f>IF($B57="","",IFERROR(F57/E57,""))</f>
        <v/>
      </c>
      <c r="H57" s="38">
        <f>IF($B57="","",SUMPRODUCT(('目标填报'!$B$4:$B$1500=$B57)*('目标填报'!$C$4:$C$1500=$C57)*('目标填报'!$D$4:$D$1500=$D57)*('目标填报'!$F$4:$F$1500="销售目标额")*('目标填报'!$G$3:$R$3=$F$1)*'目标填报'!$G$4:$R$1500))</f>
        <v/>
      </c>
      <c r="I57" s="39">
        <f>IF($B57="","",IFERROR(E57/H57,""))</f>
        <v/>
      </c>
      <c r="J57" s="38">
        <f>IF($B57="","",SUMPRODUCT(('系统实绩导入'!$B$4:$B$1500=$B57)*('系统实绩导入'!$C$4:$C$1500=$C57)*('系统实绩导入'!$D$4:$D$1500=$D57)*('系统实绩导入'!$F$4:$F$1500="实绩销售额")*('系统实绩导入'!$G$3:$R$3&lt;=$F$1)*'系统实绩导入'!$G$4:$R$1500))</f>
        <v/>
      </c>
      <c r="K57" s="38">
        <f>IF($B57="","",SUMPRODUCT(('系统实绩导入'!$B$4:$B$1500=$B57)*('系统实绩导入'!$C$4:$C$1500=$C57)*('系统实绩导入'!$D$4:$D$1500=$D57)*('系统实绩导入'!$F$4:$F$1500="实绩毛利")*('系统实绩导入'!$G$3:$R$3&lt;=$F$1)*'系统实绩导入'!$G$4:$R$1500))</f>
        <v/>
      </c>
      <c r="L57" s="39">
        <f>IF($B57="","",IFERROR(K57/J57,""))</f>
        <v/>
      </c>
      <c r="M57" s="38">
        <f>IF($B57="","",SUMIFS('目标填报'!$S$4:$S$1500,'目标填报'!$B$4:$B$1500,$B57,'目标填报'!$C$4:$C$1500,$C57,'目标填报'!$D$4:$D$1500,$D57,'目标填报'!$F$4:$F$1500,"销售目标额"))</f>
        <v/>
      </c>
      <c r="N57" s="39">
        <f>IF($B57="","",IFERROR(J57/M57,""))</f>
        <v/>
      </c>
      <c r="O57" s="40">
        <f>IF($B57="","",J57-M57)</f>
        <v/>
      </c>
      <c r="P57" s="38">
        <f>IF($B57="","",SUMPRODUCT(('目标填报'!$B$4:$B$1500=$B57)*('目标填报'!$C$4:$C$1500=$C57)*('目标填报'!$D$4:$D$1500=$D57)*('目标填报'!$F$4:$F$1500="在手订单")*('目标填报'!$G$3:$R$3=$F$1)*'目标填报'!$G$4:$R$1500))</f>
        <v/>
      </c>
      <c r="Q57" s="38">
        <f>IF($B57="","",SUMPRODUCT(('目标填报'!$B$4:$B$1500=$B57)*('目标填报'!$C$4:$C$1500=$C57)*('目标填报'!$D$4:$D$1500=$D57)*('目标填报'!$F$4:$F$1500="在手订单目标")*('目标填报'!$G$3:$R$3=$F$1)*'目标填报'!$G$4:$R$1500))</f>
        <v/>
      </c>
      <c r="R57" s="39">
        <f>IF($B57="","",IFERROR(P57/Q57,""))</f>
        <v/>
      </c>
      <c r="S57" s="38">
        <f>IF($B57="","",SUMPRODUCT(('目标填报'!$B$4:$B$1500=$B57)*('目标填报'!$C$4:$C$1500=$C57)*('目标填报'!$D$4:$D$1500=$D57)*('目标填报'!$F$4:$F$1500="目标客户机会")*('目标填报'!$G$3:$R$3=$F$1)*'目标填报'!$G$4:$R$1500))</f>
        <v/>
      </c>
      <c r="T57" s="38">
        <f>IF($B57="","",SUMPRODUCT(('目标填报'!$B$4:$B$1500=$B57)*('目标填报'!$C$4:$C$1500=$C57)*('目标填报'!$D$4:$D$1500=$D57)*('目标填报'!$F$4:$F$1500="目标客户机会目标")*('目标填报'!$G$3:$R$3=$F$1)*'目标填报'!$G$4:$R$1500))</f>
        <v/>
      </c>
      <c r="U57" s="39">
        <f>IF($B57="","",IFERROR(S57/T57,""))</f>
        <v/>
      </c>
      <c r="V57" s="38">
        <f>IF($B57="","",P57+S57)</f>
        <v/>
      </c>
      <c r="W57" s="38">
        <f>IF($B57="","",M57-J57)</f>
        <v/>
      </c>
      <c r="X57" s="39">
        <f>IF($B57="","",IFERROR(V57/W57,""))</f>
        <v/>
      </c>
      <c r="Y57" s="40">
        <f>IF($B57="","",V57-W57)</f>
        <v/>
      </c>
    </row>
    <row r="58">
      <c r="A58" s="37">
        <f>IF($B58="","",ROW()-3)</f>
        <v/>
      </c>
      <c r="B58" s="13">
        <f>IF(54+1&gt;COUNTA('维度字典'!$C$2:$C$200)*COUNTA('维度字典'!$A$2:$A$200)*COUNTA('维度字典'!$E$2:$E$200),"",INDEX('维度字典'!$C$2:$C$200,MOD(INT(54/(COUNTA('维度字典'!$E$2:$E$200)*COUNTA('维度字典'!$A$2:$A$200))),COUNTA('维度字典'!$C$2:$C$200))+1))</f>
        <v/>
      </c>
      <c r="C58" s="13">
        <f>IF($B58="","",INDEX('维度字典'!$A$2:$A$200,MOD(INT(54/COUNTA('维度字典'!$E$2:$E$200)),COUNTA('维度字典'!$A$2:$A$200))+1))</f>
        <v/>
      </c>
      <c r="D58" s="13">
        <f>IF($B58="","",INDEX('维度字典'!$E$2:$E$200,MOD(54,COUNTA('维度字典'!$E$2:$E$200))+1))</f>
        <v/>
      </c>
      <c r="E58" s="38">
        <f>IF($B58="","",SUMPRODUCT(('系统实绩导入'!$B$4:$B$1500=$B58)*('系统实绩导入'!$C$4:$C$1500=$C58)*('系统实绩导入'!$D$4:$D$1500=$D58)*('系统实绩导入'!$F$4:$F$1500="实绩销售额")*('系统实绩导入'!$G$3:$R$3=$F$1)*'系统实绩导入'!$G$4:$R$1500))</f>
        <v/>
      </c>
      <c r="F58" s="38">
        <f>IF($B58="","",SUMPRODUCT(('系统实绩导入'!$B$4:$B$1500=$B58)*('系统实绩导入'!$C$4:$C$1500=$C58)*('系统实绩导入'!$D$4:$D$1500=$D58)*('系统实绩导入'!$F$4:$F$1500="实绩毛利")*('系统实绩导入'!$G$3:$R$3=$F$1)*'系统实绩导入'!$G$4:$R$1500))</f>
        <v/>
      </c>
      <c r="G58" s="39">
        <f>IF($B58="","",IFERROR(F58/E58,""))</f>
        <v/>
      </c>
      <c r="H58" s="38">
        <f>IF($B58="","",SUMPRODUCT(('目标填报'!$B$4:$B$1500=$B58)*('目标填报'!$C$4:$C$1500=$C58)*('目标填报'!$D$4:$D$1500=$D58)*('目标填报'!$F$4:$F$1500="销售目标额")*('目标填报'!$G$3:$R$3=$F$1)*'目标填报'!$G$4:$R$1500))</f>
        <v/>
      </c>
      <c r="I58" s="39">
        <f>IF($B58="","",IFERROR(E58/H58,""))</f>
        <v/>
      </c>
      <c r="J58" s="38">
        <f>IF($B58="","",SUMPRODUCT(('系统实绩导入'!$B$4:$B$1500=$B58)*('系统实绩导入'!$C$4:$C$1500=$C58)*('系统实绩导入'!$D$4:$D$1500=$D58)*('系统实绩导入'!$F$4:$F$1500="实绩销售额")*('系统实绩导入'!$G$3:$R$3&lt;=$F$1)*'系统实绩导入'!$G$4:$R$1500))</f>
        <v/>
      </c>
      <c r="K58" s="38">
        <f>IF($B58="","",SUMPRODUCT(('系统实绩导入'!$B$4:$B$1500=$B58)*('系统实绩导入'!$C$4:$C$1500=$C58)*('系统实绩导入'!$D$4:$D$1500=$D58)*('系统实绩导入'!$F$4:$F$1500="实绩毛利")*('系统实绩导入'!$G$3:$R$3&lt;=$F$1)*'系统实绩导入'!$G$4:$R$1500))</f>
        <v/>
      </c>
      <c r="L58" s="39">
        <f>IF($B58="","",IFERROR(K58/J58,""))</f>
        <v/>
      </c>
      <c r="M58" s="38">
        <f>IF($B58="","",SUMIFS('目标填报'!$S$4:$S$1500,'目标填报'!$B$4:$B$1500,$B58,'目标填报'!$C$4:$C$1500,$C58,'目标填报'!$D$4:$D$1500,$D58,'目标填报'!$F$4:$F$1500,"销售目标额"))</f>
        <v/>
      </c>
      <c r="N58" s="39">
        <f>IF($B58="","",IFERROR(J58/M58,""))</f>
        <v/>
      </c>
      <c r="O58" s="40">
        <f>IF($B58="","",J58-M58)</f>
        <v/>
      </c>
      <c r="P58" s="38">
        <f>IF($B58="","",SUMPRODUCT(('目标填报'!$B$4:$B$1500=$B58)*('目标填报'!$C$4:$C$1500=$C58)*('目标填报'!$D$4:$D$1500=$D58)*('目标填报'!$F$4:$F$1500="在手订单")*('目标填报'!$G$3:$R$3=$F$1)*'目标填报'!$G$4:$R$1500))</f>
        <v/>
      </c>
      <c r="Q58" s="38">
        <f>IF($B58="","",SUMPRODUCT(('目标填报'!$B$4:$B$1500=$B58)*('目标填报'!$C$4:$C$1500=$C58)*('目标填报'!$D$4:$D$1500=$D58)*('目标填报'!$F$4:$F$1500="在手订单目标")*('目标填报'!$G$3:$R$3=$F$1)*'目标填报'!$G$4:$R$1500))</f>
        <v/>
      </c>
      <c r="R58" s="39">
        <f>IF($B58="","",IFERROR(P58/Q58,""))</f>
        <v/>
      </c>
      <c r="S58" s="38">
        <f>IF($B58="","",SUMPRODUCT(('目标填报'!$B$4:$B$1500=$B58)*('目标填报'!$C$4:$C$1500=$C58)*('目标填报'!$D$4:$D$1500=$D58)*('目标填报'!$F$4:$F$1500="目标客户机会")*('目标填报'!$G$3:$R$3=$F$1)*'目标填报'!$G$4:$R$1500))</f>
        <v/>
      </c>
      <c r="T58" s="38">
        <f>IF($B58="","",SUMPRODUCT(('目标填报'!$B$4:$B$1500=$B58)*('目标填报'!$C$4:$C$1500=$C58)*('目标填报'!$D$4:$D$1500=$D58)*('目标填报'!$F$4:$F$1500="目标客户机会目标")*('目标填报'!$G$3:$R$3=$F$1)*'目标填报'!$G$4:$R$1500))</f>
        <v/>
      </c>
      <c r="U58" s="39">
        <f>IF($B58="","",IFERROR(S58/T58,""))</f>
        <v/>
      </c>
      <c r="V58" s="38">
        <f>IF($B58="","",P58+S58)</f>
        <v/>
      </c>
      <c r="W58" s="38">
        <f>IF($B58="","",M58-J58)</f>
        <v/>
      </c>
      <c r="X58" s="39">
        <f>IF($B58="","",IFERROR(V58/W58,""))</f>
        <v/>
      </c>
      <c r="Y58" s="40">
        <f>IF($B58="","",V58-W58)</f>
        <v/>
      </c>
    </row>
    <row r="59">
      <c r="A59" s="37">
        <f>IF($B59="","",ROW()-3)</f>
        <v/>
      </c>
      <c r="B59" s="13">
        <f>IF(55+1&gt;COUNTA('维度字典'!$C$2:$C$200)*COUNTA('维度字典'!$A$2:$A$200)*COUNTA('维度字典'!$E$2:$E$200),"",INDEX('维度字典'!$C$2:$C$200,MOD(INT(55/(COUNTA('维度字典'!$E$2:$E$200)*COUNTA('维度字典'!$A$2:$A$200))),COUNTA('维度字典'!$C$2:$C$200))+1))</f>
        <v/>
      </c>
      <c r="C59" s="13">
        <f>IF($B59="","",INDEX('维度字典'!$A$2:$A$200,MOD(INT(55/COUNTA('维度字典'!$E$2:$E$200)),COUNTA('维度字典'!$A$2:$A$200))+1))</f>
        <v/>
      </c>
      <c r="D59" s="13">
        <f>IF($B59="","",INDEX('维度字典'!$E$2:$E$200,MOD(55,COUNTA('维度字典'!$E$2:$E$200))+1))</f>
        <v/>
      </c>
      <c r="E59" s="38">
        <f>IF($B59="","",SUMPRODUCT(('系统实绩导入'!$B$4:$B$1500=$B59)*('系统实绩导入'!$C$4:$C$1500=$C59)*('系统实绩导入'!$D$4:$D$1500=$D59)*('系统实绩导入'!$F$4:$F$1500="实绩销售额")*('系统实绩导入'!$G$3:$R$3=$F$1)*'系统实绩导入'!$G$4:$R$1500))</f>
        <v/>
      </c>
      <c r="F59" s="38">
        <f>IF($B59="","",SUMPRODUCT(('系统实绩导入'!$B$4:$B$1500=$B59)*('系统实绩导入'!$C$4:$C$1500=$C59)*('系统实绩导入'!$D$4:$D$1500=$D59)*('系统实绩导入'!$F$4:$F$1500="实绩毛利")*('系统实绩导入'!$G$3:$R$3=$F$1)*'系统实绩导入'!$G$4:$R$1500))</f>
        <v/>
      </c>
      <c r="G59" s="39">
        <f>IF($B59="","",IFERROR(F59/E59,""))</f>
        <v/>
      </c>
      <c r="H59" s="38">
        <f>IF($B59="","",SUMPRODUCT(('目标填报'!$B$4:$B$1500=$B59)*('目标填报'!$C$4:$C$1500=$C59)*('目标填报'!$D$4:$D$1500=$D59)*('目标填报'!$F$4:$F$1500="销售目标额")*('目标填报'!$G$3:$R$3=$F$1)*'目标填报'!$G$4:$R$1500))</f>
        <v/>
      </c>
      <c r="I59" s="39">
        <f>IF($B59="","",IFERROR(E59/H59,""))</f>
        <v/>
      </c>
      <c r="J59" s="38">
        <f>IF($B59="","",SUMPRODUCT(('系统实绩导入'!$B$4:$B$1500=$B59)*('系统实绩导入'!$C$4:$C$1500=$C59)*('系统实绩导入'!$D$4:$D$1500=$D59)*('系统实绩导入'!$F$4:$F$1500="实绩销售额")*('系统实绩导入'!$G$3:$R$3&lt;=$F$1)*'系统实绩导入'!$G$4:$R$1500))</f>
        <v/>
      </c>
      <c r="K59" s="38">
        <f>IF($B59="","",SUMPRODUCT(('系统实绩导入'!$B$4:$B$1500=$B59)*('系统实绩导入'!$C$4:$C$1500=$C59)*('系统实绩导入'!$D$4:$D$1500=$D59)*('系统实绩导入'!$F$4:$F$1500="实绩毛利")*('系统实绩导入'!$G$3:$R$3&lt;=$F$1)*'系统实绩导入'!$G$4:$R$1500))</f>
        <v/>
      </c>
      <c r="L59" s="39">
        <f>IF($B59="","",IFERROR(K59/J59,""))</f>
        <v/>
      </c>
      <c r="M59" s="38">
        <f>IF($B59="","",SUMIFS('目标填报'!$S$4:$S$1500,'目标填报'!$B$4:$B$1500,$B59,'目标填报'!$C$4:$C$1500,$C59,'目标填报'!$D$4:$D$1500,$D59,'目标填报'!$F$4:$F$1500,"销售目标额"))</f>
        <v/>
      </c>
      <c r="N59" s="39">
        <f>IF($B59="","",IFERROR(J59/M59,""))</f>
        <v/>
      </c>
      <c r="O59" s="40">
        <f>IF($B59="","",J59-M59)</f>
        <v/>
      </c>
      <c r="P59" s="38">
        <f>IF($B59="","",SUMPRODUCT(('目标填报'!$B$4:$B$1500=$B59)*('目标填报'!$C$4:$C$1500=$C59)*('目标填报'!$D$4:$D$1500=$D59)*('目标填报'!$F$4:$F$1500="在手订单")*('目标填报'!$G$3:$R$3=$F$1)*'目标填报'!$G$4:$R$1500))</f>
        <v/>
      </c>
      <c r="Q59" s="38">
        <f>IF($B59="","",SUMPRODUCT(('目标填报'!$B$4:$B$1500=$B59)*('目标填报'!$C$4:$C$1500=$C59)*('目标填报'!$D$4:$D$1500=$D59)*('目标填报'!$F$4:$F$1500="在手订单目标")*('目标填报'!$G$3:$R$3=$F$1)*'目标填报'!$G$4:$R$1500))</f>
        <v/>
      </c>
      <c r="R59" s="39">
        <f>IF($B59="","",IFERROR(P59/Q59,""))</f>
        <v/>
      </c>
      <c r="S59" s="38">
        <f>IF($B59="","",SUMPRODUCT(('目标填报'!$B$4:$B$1500=$B59)*('目标填报'!$C$4:$C$1500=$C59)*('目标填报'!$D$4:$D$1500=$D59)*('目标填报'!$F$4:$F$1500="目标客户机会")*('目标填报'!$G$3:$R$3=$F$1)*'目标填报'!$G$4:$R$1500))</f>
        <v/>
      </c>
      <c r="T59" s="38">
        <f>IF($B59="","",SUMPRODUCT(('目标填报'!$B$4:$B$1500=$B59)*('目标填报'!$C$4:$C$1500=$C59)*('目标填报'!$D$4:$D$1500=$D59)*('目标填报'!$F$4:$F$1500="目标客户机会目标")*('目标填报'!$G$3:$R$3=$F$1)*'目标填报'!$G$4:$R$1500))</f>
        <v/>
      </c>
      <c r="U59" s="39">
        <f>IF($B59="","",IFERROR(S59/T59,""))</f>
        <v/>
      </c>
      <c r="V59" s="38">
        <f>IF($B59="","",P59+S59)</f>
        <v/>
      </c>
      <c r="W59" s="38">
        <f>IF($B59="","",M59-J59)</f>
        <v/>
      </c>
      <c r="X59" s="39">
        <f>IF($B59="","",IFERROR(V59/W59,""))</f>
        <v/>
      </c>
      <c r="Y59" s="40">
        <f>IF($B59="","",V59-W59)</f>
        <v/>
      </c>
    </row>
    <row r="60">
      <c r="A60" s="37">
        <f>IF($B60="","",ROW()-3)</f>
        <v/>
      </c>
      <c r="B60" s="13">
        <f>IF(56+1&gt;COUNTA('维度字典'!$C$2:$C$200)*COUNTA('维度字典'!$A$2:$A$200)*COUNTA('维度字典'!$E$2:$E$200),"",INDEX('维度字典'!$C$2:$C$200,MOD(INT(56/(COUNTA('维度字典'!$E$2:$E$200)*COUNTA('维度字典'!$A$2:$A$200))),COUNTA('维度字典'!$C$2:$C$200))+1))</f>
        <v/>
      </c>
      <c r="C60" s="13">
        <f>IF($B60="","",INDEX('维度字典'!$A$2:$A$200,MOD(INT(56/COUNTA('维度字典'!$E$2:$E$200)),COUNTA('维度字典'!$A$2:$A$200))+1))</f>
        <v/>
      </c>
      <c r="D60" s="13">
        <f>IF($B60="","",INDEX('维度字典'!$E$2:$E$200,MOD(56,COUNTA('维度字典'!$E$2:$E$200))+1))</f>
        <v/>
      </c>
      <c r="E60" s="38">
        <f>IF($B60="","",SUMPRODUCT(('系统实绩导入'!$B$4:$B$1500=$B60)*('系统实绩导入'!$C$4:$C$1500=$C60)*('系统实绩导入'!$D$4:$D$1500=$D60)*('系统实绩导入'!$F$4:$F$1500="实绩销售额")*('系统实绩导入'!$G$3:$R$3=$F$1)*'系统实绩导入'!$G$4:$R$1500))</f>
        <v/>
      </c>
      <c r="F60" s="38">
        <f>IF($B60="","",SUMPRODUCT(('系统实绩导入'!$B$4:$B$1500=$B60)*('系统实绩导入'!$C$4:$C$1500=$C60)*('系统实绩导入'!$D$4:$D$1500=$D60)*('系统实绩导入'!$F$4:$F$1500="实绩毛利")*('系统实绩导入'!$G$3:$R$3=$F$1)*'系统实绩导入'!$G$4:$R$1500))</f>
        <v/>
      </c>
      <c r="G60" s="39">
        <f>IF($B60="","",IFERROR(F60/E60,""))</f>
        <v/>
      </c>
      <c r="H60" s="38">
        <f>IF($B60="","",SUMPRODUCT(('目标填报'!$B$4:$B$1500=$B60)*('目标填报'!$C$4:$C$1500=$C60)*('目标填报'!$D$4:$D$1500=$D60)*('目标填报'!$F$4:$F$1500="销售目标额")*('目标填报'!$G$3:$R$3=$F$1)*'目标填报'!$G$4:$R$1500))</f>
        <v/>
      </c>
      <c r="I60" s="39">
        <f>IF($B60="","",IFERROR(E60/H60,""))</f>
        <v/>
      </c>
      <c r="J60" s="38">
        <f>IF($B60="","",SUMPRODUCT(('系统实绩导入'!$B$4:$B$1500=$B60)*('系统实绩导入'!$C$4:$C$1500=$C60)*('系统实绩导入'!$D$4:$D$1500=$D60)*('系统实绩导入'!$F$4:$F$1500="实绩销售额")*('系统实绩导入'!$G$3:$R$3&lt;=$F$1)*'系统实绩导入'!$G$4:$R$1500))</f>
        <v/>
      </c>
      <c r="K60" s="38">
        <f>IF($B60="","",SUMPRODUCT(('系统实绩导入'!$B$4:$B$1500=$B60)*('系统实绩导入'!$C$4:$C$1500=$C60)*('系统实绩导入'!$D$4:$D$1500=$D60)*('系统实绩导入'!$F$4:$F$1500="实绩毛利")*('系统实绩导入'!$G$3:$R$3&lt;=$F$1)*'系统实绩导入'!$G$4:$R$1500))</f>
        <v/>
      </c>
      <c r="L60" s="39">
        <f>IF($B60="","",IFERROR(K60/J60,""))</f>
        <v/>
      </c>
      <c r="M60" s="38">
        <f>IF($B60="","",SUMIFS('目标填报'!$S$4:$S$1500,'目标填报'!$B$4:$B$1500,$B60,'目标填报'!$C$4:$C$1500,$C60,'目标填报'!$D$4:$D$1500,$D60,'目标填报'!$F$4:$F$1500,"销售目标额"))</f>
        <v/>
      </c>
      <c r="N60" s="39">
        <f>IF($B60="","",IFERROR(J60/M60,""))</f>
        <v/>
      </c>
      <c r="O60" s="40">
        <f>IF($B60="","",J60-M60)</f>
        <v/>
      </c>
      <c r="P60" s="38">
        <f>IF($B60="","",SUMPRODUCT(('目标填报'!$B$4:$B$1500=$B60)*('目标填报'!$C$4:$C$1500=$C60)*('目标填报'!$D$4:$D$1500=$D60)*('目标填报'!$F$4:$F$1500="在手订单")*('目标填报'!$G$3:$R$3=$F$1)*'目标填报'!$G$4:$R$1500))</f>
        <v/>
      </c>
      <c r="Q60" s="38">
        <f>IF($B60="","",SUMPRODUCT(('目标填报'!$B$4:$B$1500=$B60)*('目标填报'!$C$4:$C$1500=$C60)*('目标填报'!$D$4:$D$1500=$D60)*('目标填报'!$F$4:$F$1500="在手订单目标")*('目标填报'!$G$3:$R$3=$F$1)*'目标填报'!$G$4:$R$1500))</f>
        <v/>
      </c>
      <c r="R60" s="39">
        <f>IF($B60="","",IFERROR(P60/Q60,""))</f>
        <v/>
      </c>
      <c r="S60" s="38">
        <f>IF($B60="","",SUMPRODUCT(('目标填报'!$B$4:$B$1500=$B60)*('目标填报'!$C$4:$C$1500=$C60)*('目标填报'!$D$4:$D$1500=$D60)*('目标填报'!$F$4:$F$1500="目标客户机会")*('目标填报'!$G$3:$R$3=$F$1)*'目标填报'!$G$4:$R$1500))</f>
        <v/>
      </c>
      <c r="T60" s="38">
        <f>IF($B60="","",SUMPRODUCT(('目标填报'!$B$4:$B$1500=$B60)*('目标填报'!$C$4:$C$1500=$C60)*('目标填报'!$D$4:$D$1500=$D60)*('目标填报'!$F$4:$F$1500="目标客户机会目标")*('目标填报'!$G$3:$R$3=$F$1)*'目标填报'!$G$4:$R$1500))</f>
        <v/>
      </c>
      <c r="U60" s="39">
        <f>IF($B60="","",IFERROR(S60/T60,""))</f>
        <v/>
      </c>
      <c r="V60" s="38">
        <f>IF($B60="","",P60+S60)</f>
        <v/>
      </c>
      <c r="W60" s="38">
        <f>IF($B60="","",M60-J60)</f>
        <v/>
      </c>
      <c r="X60" s="39">
        <f>IF($B60="","",IFERROR(V60/W60,""))</f>
        <v/>
      </c>
      <c r="Y60" s="40">
        <f>IF($B60="","",V60-W60)</f>
        <v/>
      </c>
    </row>
    <row r="61">
      <c r="A61" s="37">
        <f>IF($B61="","",ROW()-3)</f>
        <v/>
      </c>
      <c r="B61" s="13">
        <f>IF(57+1&gt;COUNTA('维度字典'!$C$2:$C$200)*COUNTA('维度字典'!$A$2:$A$200)*COUNTA('维度字典'!$E$2:$E$200),"",INDEX('维度字典'!$C$2:$C$200,MOD(INT(57/(COUNTA('维度字典'!$E$2:$E$200)*COUNTA('维度字典'!$A$2:$A$200))),COUNTA('维度字典'!$C$2:$C$200))+1))</f>
        <v/>
      </c>
      <c r="C61" s="13">
        <f>IF($B61="","",INDEX('维度字典'!$A$2:$A$200,MOD(INT(57/COUNTA('维度字典'!$E$2:$E$200)),COUNTA('维度字典'!$A$2:$A$200))+1))</f>
        <v/>
      </c>
      <c r="D61" s="13">
        <f>IF($B61="","",INDEX('维度字典'!$E$2:$E$200,MOD(57,COUNTA('维度字典'!$E$2:$E$200))+1))</f>
        <v/>
      </c>
      <c r="E61" s="38">
        <f>IF($B61="","",SUMPRODUCT(('系统实绩导入'!$B$4:$B$1500=$B61)*('系统实绩导入'!$C$4:$C$1500=$C61)*('系统实绩导入'!$D$4:$D$1500=$D61)*('系统实绩导入'!$F$4:$F$1500="实绩销售额")*('系统实绩导入'!$G$3:$R$3=$F$1)*'系统实绩导入'!$G$4:$R$1500))</f>
        <v/>
      </c>
      <c r="F61" s="38">
        <f>IF($B61="","",SUMPRODUCT(('系统实绩导入'!$B$4:$B$1500=$B61)*('系统实绩导入'!$C$4:$C$1500=$C61)*('系统实绩导入'!$D$4:$D$1500=$D61)*('系统实绩导入'!$F$4:$F$1500="实绩毛利")*('系统实绩导入'!$G$3:$R$3=$F$1)*'系统实绩导入'!$G$4:$R$1500))</f>
        <v/>
      </c>
      <c r="G61" s="39">
        <f>IF($B61="","",IFERROR(F61/E61,""))</f>
        <v/>
      </c>
      <c r="H61" s="38">
        <f>IF($B61="","",SUMPRODUCT(('目标填报'!$B$4:$B$1500=$B61)*('目标填报'!$C$4:$C$1500=$C61)*('目标填报'!$D$4:$D$1500=$D61)*('目标填报'!$F$4:$F$1500="销售目标额")*('目标填报'!$G$3:$R$3=$F$1)*'目标填报'!$G$4:$R$1500))</f>
        <v/>
      </c>
      <c r="I61" s="39">
        <f>IF($B61="","",IFERROR(E61/H61,""))</f>
        <v/>
      </c>
      <c r="J61" s="38">
        <f>IF($B61="","",SUMPRODUCT(('系统实绩导入'!$B$4:$B$1500=$B61)*('系统实绩导入'!$C$4:$C$1500=$C61)*('系统实绩导入'!$D$4:$D$1500=$D61)*('系统实绩导入'!$F$4:$F$1500="实绩销售额")*('系统实绩导入'!$G$3:$R$3&lt;=$F$1)*'系统实绩导入'!$G$4:$R$1500))</f>
        <v/>
      </c>
      <c r="K61" s="38">
        <f>IF($B61="","",SUMPRODUCT(('系统实绩导入'!$B$4:$B$1500=$B61)*('系统实绩导入'!$C$4:$C$1500=$C61)*('系统实绩导入'!$D$4:$D$1500=$D61)*('系统实绩导入'!$F$4:$F$1500="实绩毛利")*('系统实绩导入'!$G$3:$R$3&lt;=$F$1)*'系统实绩导入'!$G$4:$R$1500))</f>
        <v/>
      </c>
      <c r="L61" s="39">
        <f>IF($B61="","",IFERROR(K61/J61,""))</f>
        <v/>
      </c>
      <c r="M61" s="38">
        <f>IF($B61="","",SUMIFS('目标填报'!$S$4:$S$1500,'目标填报'!$B$4:$B$1500,$B61,'目标填报'!$C$4:$C$1500,$C61,'目标填报'!$D$4:$D$1500,$D61,'目标填报'!$F$4:$F$1500,"销售目标额"))</f>
        <v/>
      </c>
      <c r="N61" s="39">
        <f>IF($B61="","",IFERROR(J61/M61,""))</f>
        <v/>
      </c>
      <c r="O61" s="40">
        <f>IF($B61="","",J61-M61)</f>
        <v/>
      </c>
      <c r="P61" s="38">
        <f>IF($B61="","",SUMPRODUCT(('目标填报'!$B$4:$B$1500=$B61)*('目标填报'!$C$4:$C$1500=$C61)*('目标填报'!$D$4:$D$1500=$D61)*('目标填报'!$F$4:$F$1500="在手订单")*('目标填报'!$G$3:$R$3=$F$1)*'目标填报'!$G$4:$R$1500))</f>
        <v/>
      </c>
      <c r="Q61" s="38">
        <f>IF($B61="","",SUMPRODUCT(('目标填报'!$B$4:$B$1500=$B61)*('目标填报'!$C$4:$C$1500=$C61)*('目标填报'!$D$4:$D$1500=$D61)*('目标填报'!$F$4:$F$1500="在手订单目标")*('目标填报'!$G$3:$R$3=$F$1)*'目标填报'!$G$4:$R$1500))</f>
        <v/>
      </c>
      <c r="R61" s="39">
        <f>IF($B61="","",IFERROR(P61/Q61,""))</f>
        <v/>
      </c>
      <c r="S61" s="38">
        <f>IF($B61="","",SUMPRODUCT(('目标填报'!$B$4:$B$1500=$B61)*('目标填报'!$C$4:$C$1500=$C61)*('目标填报'!$D$4:$D$1500=$D61)*('目标填报'!$F$4:$F$1500="目标客户机会")*('目标填报'!$G$3:$R$3=$F$1)*'目标填报'!$G$4:$R$1500))</f>
        <v/>
      </c>
      <c r="T61" s="38">
        <f>IF($B61="","",SUMPRODUCT(('目标填报'!$B$4:$B$1500=$B61)*('目标填报'!$C$4:$C$1500=$C61)*('目标填报'!$D$4:$D$1500=$D61)*('目标填报'!$F$4:$F$1500="目标客户机会目标")*('目标填报'!$G$3:$R$3=$F$1)*'目标填报'!$G$4:$R$1500))</f>
        <v/>
      </c>
      <c r="U61" s="39">
        <f>IF($B61="","",IFERROR(S61/T61,""))</f>
        <v/>
      </c>
      <c r="V61" s="38">
        <f>IF($B61="","",P61+S61)</f>
        <v/>
      </c>
      <c r="W61" s="38">
        <f>IF($B61="","",M61-J61)</f>
        <v/>
      </c>
      <c r="X61" s="39">
        <f>IF($B61="","",IFERROR(V61/W61,""))</f>
        <v/>
      </c>
      <c r="Y61" s="40">
        <f>IF($B61="","",V61-W61)</f>
        <v/>
      </c>
    </row>
    <row r="62">
      <c r="A62" s="37">
        <f>IF($B62="","",ROW()-3)</f>
        <v/>
      </c>
      <c r="B62" s="13">
        <f>IF(58+1&gt;COUNTA('维度字典'!$C$2:$C$200)*COUNTA('维度字典'!$A$2:$A$200)*COUNTA('维度字典'!$E$2:$E$200),"",INDEX('维度字典'!$C$2:$C$200,MOD(INT(58/(COUNTA('维度字典'!$E$2:$E$200)*COUNTA('维度字典'!$A$2:$A$200))),COUNTA('维度字典'!$C$2:$C$200))+1))</f>
        <v/>
      </c>
      <c r="C62" s="13">
        <f>IF($B62="","",INDEX('维度字典'!$A$2:$A$200,MOD(INT(58/COUNTA('维度字典'!$E$2:$E$200)),COUNTA('维度字典'!$A$2:$A$200))+1))</f>
        <v/>
      </c>
      <c r="D62" s="13">
        <f>IF($B62="","",INDEX('维度字典'!$E$2:$E$200,MOD(58,COUNTA('维度字典'!$E$2:$E$200))+1))</f>
        <v/>
      </c>
      <c r="E62" s="38">
        <f>IF($B62="","",SUMPRODUCT(('系统实绩导入'!$B$4:$B$1500=$B62)*('系统实绩导入'!$C$4:$C$1500=$C62)*('系统实绩导入'!$D$4:$D$1500=$D62)*('系统实绩导入'!$F$4:$F$1500="实绩销售额")*('系统实绩导入'!$G$3:$R$3=$F$1)*'系统实绩导入'!$G$4:$R$1500))</f>
        <v/>
      </c>
      <c r="F62" s="38">
        <f>IF($B62="","",SUMPRODUCT(('系统实绩导入'!$B$4:$B$1500=$B62)*('系统实绩导入'!$C$4:$C$1500=$C62)*('系统实绩导入'!$D$4:$D$1500=$D62)*('系统实绩导入'!$F$4:$F$1500="实绩毛利")*('系统实绩导入'!$G$3:$R$3=$F$1)*'系统实绩导入'!$G$4:$R$1500))</f>
        <v/>
      </c>
      <c r="G62" s="39">
        <f>IF($B62="","",IFERROR(F62/E62,""))</f>
        <v/>
      </c>
      <c r="H62" s="38">
        <f>IF($B62="","",SUMPRODUCT(('目标填报'!$B$4:$B$1500=$B62)*('目标填报'!$C$4:$C$1500=$C62)*('目标填报'!$D$4:$D$1500=$D62)*('目标填报'!$F$4:$F$1500="销售目标额")*('目标填报'!$G$3:$R$3=$F$1)*'目标填报'!$G$4:$R$1500))</f>
        <v/>
      </c>
      <c r="I62" s="39">
        <f>IF($B62="","",IFERROR(E62/H62,""))</f>
        <v/>
      </c>
      <c r="J62" s="38">
        <f>IF($B62="","",SUMPRODUCT(('系统实绩导入'!$B$4:$B$1500=$B62)*('系统实绩导入'!$C$4:$C$1500=$C62)*('系统实绩导入'!$D$4:$D$1500=$D62)*('系统实绩导入'!$F$4:$F$1500="实绩销售额")*('系统实绩导入'!$G$3:$R$3&lt;=$F$1)*'系统实绩导入'!$G$4:$R$1500))</f>
        <v/>
      </c>
      <c r="K62" s="38">
        <f>IF($B62="","",SUMPRODUCT(('系统实绩导入'!$B$4:$B$1500=$B62)*('系统实绩导入'!$C$4:$C$1500=$C62)*('系统实绩导入'!$D$4:$D$1500=$D62)*('系统实绩导入'!$F$4:$F$1500="实绩毛利")*('系统实绩导入'!$G$3:$R$3&lt;=$F$1)*'系统实绩导入'!$G$4:$R$1500))</f>
        <v/>
      </c>
      <c r="L62" s="39">
        <f>IF($B62="","",IFERROR(K62/J62,""))</f>
        <v/>
      </c>
      <c r="M62" s="38">
        <f>IF($B62="","",SUMIFS('目标填报'!$S$4:$S$1500,'目标填报'!$B$4:$B$1500,$B62,'目标填报'!$C$4:$C$1500,$C62,'目标填报'!$D$4:$D$1500,$D62,'目标填报'!$F$4:$F$1500,"销售目标额"))</f>
        <v/>
      </c>
      <c r="N62" s="39">
        <f>IF($B62="","",IFERROR(J62/M62,""))</f>
        <v/>
      </c>
      <c r="O62" s="40">
        <f>IF($B62="","",J62-M62)</f>
        <v/>
      </c>
      <c r="P62" s="38">
        <f>IF($B62="","",SUMPRODUCT(('目标填报'!$B$4:$B$1500=$B62)*('目标填报'!$C$4:$C$1500=$C62)*('目标填报'!$D$4:$D$1500=$D62)*('目标填报'!$F$4:$F$1500="在手订单")*('目标填报'!$G$3:$R$3=$F$1)*'目标填报'!$G$4:$R$1500))</f>
        <v/>
      </c>
      <c r="Q62" s="38">
        <f>IF($B62="","",SUMPRODUCT(('目标填报'!$B$4:$B$1500=$B62)*('目标填报'!$C$4:$C$1500=$C62)*('目标填报'!$D$4:$D$1500=$D62)*('目标填报'!$F$4:$F$1500="在手订单目标")*('目标填报'!$G$3:$R$3=$F$1)*'目标填报'!$G$4:$R$1500))</f>
        <v/>
      </c>
      <c r="R62" s="39">
        <f>IF($B62="","",IFERROR(P62/Q62,""))</f>
        <v/>
      </c>
      <c r="S62" s="38">
        <f>IF($B62="","",SUMPRODUCT(('目标填报'!$B$4:$B$1500=$B62)*('目标填报'!$C$4:$C$1500=$C62)*('目标填报'!$D$4:$D$1500=$D62)*('目标填报'!$F$4:$F$1500="目标客户机会")*('目标填报'!$G$3:$R$3=$F$1)*'目标填报'!$G$4:$R$1500))</f>
        <v/>
      </c>
      <c r="T62" s="38">
        <f>IF($B62="","",SUMPRODUCT(('目标填报'!$B$4:$B$1500=$B62)*('目标填报'!$C$4:$C$1500=$C62)*('目标填报'!$D$4:$D$1500=$D62)*('目标填报'!$F$4:$F$1500="目标客户机会目标")*('目标填报'!$G$3:$R$3=$F$1)*'目标填报'!$G$4:$R$1500))</f>
        <v/>
      </c>
      <c r="U62" s="39">
        <f>IF($B62="","",IFERROR(S62/T62,""))</f>
        <v/>
      </c>
      <c r="V62" s="38">
        <f>IF($B62="","",P62+S62)</f>
        <v/>
      </c>
      <c r="W62" s="38">
        <f>IF($B62="","",M62-J62)</f>
        <v/>
      </c>
      <c r="X62" s="39">
        <f>IF($B62="","",IFERROR(V62/W62,""))</f>
        <v/>
      </c>
      <c r="Y62" s="40">
        <f>IF($B62="","",V62-W62)</f>
        <v/>
      </c>
    </row>
    <row r="63">
      <c r="A63" s="37">
        <f>IF($B63="","",ROW()-3)</f>
        <v/>
      </c>
      <c r="B63" s="13">
        <f>IF(59+1&gt;COUNTA('维度字典'!$C$2:$C$200)*COUNTA('维度字典'!$A$2:$A$200)*COUNTA('维度字典'!$E$2:$E$200),"",INDEX('维度字典'!$C$2:$C$200,MOD(INT(59/(COUNTA('维度字典'!$E$2:$E$200)*COUNTA('维度字典'!$A$2:$A$200))),COUNTA('维度字典'!$C$2:$C$200))+1))</f>
        <v/>
      </c>
      <c r="C63" s="13">
        <f>IF($B63="","",INDEX('维度字典'!$A$2:$A$200,MOD(INT(59/COUNTA('维度字典'!$E$2:$E$200)),COUNTA('维度字典'!$A$2:$A$200))+1))</f>
        <v/>
      </c>
      <c r="D63" s="13">
        <f>IF($B63="","",INDEX('维度字典'!$E$2:$E$200,MOD(59,COUNTA('维度字典'!$E$2:$E$200))+1))</f>
        <v/>
      </c>
      <c r="E63" s="38">
        <f>IF($B63="","",SUMPRODUCT(('系统实绩导入'!$B$4:$B$1500=$B63)*('系统实绩导入'!$C$4:$C$1500=$C63)*('系统实绩导入'!$D$4:$D$1500=$D63)*('系统实绩导入'!$F$4:$F$1500="实绩销售额")*('系统实绩导入'!$G$3:$R$3=$F$1)*'系统实绩导入'!$G$4:$R$1500))</f>
        <v/>
      </c>
      <c r="F63" s="38">
        <f>IF($B63="","",SUMPRODUCT(('系统实绩导入'!$B$4:$B$1500=$B63)*('系统实绩导入'!$C$4:$C$1500=$C63)*('系统实绩导入'!$D$4:$D$1500=$D63)*('系统实绩导入'!$F$4:$F$1500="实绩毛利")*('系统实绩导入'!$G$3:$R$3=$F$1)*'系统实绩导入'!$G$4:$R$1500))</f>
        <v/>
      </c>
      <c r="G63" s="39">
        <f>IF($B63="","",IFERROR(F63/E63,""))</f>
        <v/>
      </c>
      <c r="H63" s="38">
        <f>IF($B63="","",SUMPRODUCT(('目标填报'!$B$4:$B$1500=$B63)*('目标填报'!$C$4:$C$1500=$C63)*('目标填报'!$D$4:$D$1500=$D63)*('目标填报'!$F$4:$F$1500="销售目标额")*('目标填报'!$G$3:$R$3=$F$1)*'目标填报'!$G$4:$R$1500))</f>
        <v/>
      </c>
      <c r="I63" s="39">
        <f>IF($B63="","",IFERROR(E63/H63,""))</f>
        <v/>
      </c>
      <c r="J63" s="38">
        <f>IF($B63="","",SUMPRODUCT(('系统实绩导入'!$B$4:$B$1500=$B63)*('系统实绩导入'!$C$4:$C$1500=$C63)*('系统实绩导入'!$D$4:$D$1500=$D63)*('系统实绩导入'!$F$4:$F$1500="实绩销售额")*('系统实绩导入'!$G$3:$R$3&lt;=$F$1)*'系统实绩导入'!$G$4:$R$1500))</f>
        <v/>
      </c>
      <c r="K63" s="38">
        <f>IF($B63="","",SUMPRODUCT(('系统实绩导入'!$B$4:$B$1500=$B63)*('系统实绩导入'!$C$4:$C$1500=$C63)*('系统实绩导入'!$D$4:$D$1500=$D63)*('系统实绩导入'!$F$4:$F$1500="实绩毛利")*('系统实绩导入'!$G$3:$R$3&lt;=$F$1)*'系统实绩导入'!$G$4:$R$1500))</f>
        <v/>
      </c>
      <c r="L63" s="39">
        <f>IF($B63="","",IFERROR(K63/J63,""))</f>
        <v/>
      </c>
      <c r="M63" s="38">
        <f>IF($B63="","",SUMIFS('目标填报'!$S$4:$S$1500,'目标填报'!$B$4:$B$1500,$B63,'目标填报'!$C$4:$C$1500,$C63,'目标填报'!$D$4:$D$1500,$D63,'目标填报'!$F$4:$F$1500,"销售目标额"))</f>
        <v/>
      </c>
      <c r="N63" s="39">
        <f>IF($B63="","",IFERROR(J63/M63,""))</f>
        <v/>
      </c>
      <c r="O63" s="40">
        <f>IF($B63="","",J63-M63)</f>
        <v/>
      </c>
      <c r="P63" s="38">
        <f>IF($B63="","",SUMPRODUCT(('目标填报'!$B$4:$B$1500=$B63)*('目标填报'!$C$4:$C$1500=$C63)*('目标填报'!$D$4:$D$1500=$D63)*('目标填报'!$F$4:$F$1500="在手订单")*('目标填报'!$G$3:$R$3=$F$1)*'目标填报'!$G$4:$R$1500))</f>
        <v/>
      </c>
      <c r="Q63" s="38">
        <f>IF($B63="","",SUMPRODUCT(('目标填报'!$B$4:$B$1500=$B63)*('目标填报'!$C$4:$C$1500=$C63)*('目标填报'!$D$4:$D$1500=$D63)*('目标填报'!$F$4:$F$1500="在手订单目标")*('目标填报'!$G$3:$R$3=$F$1)*'目标填报'!$G$4:$R$1500))</f>
        <v/>
      </c>
      <c r="R63" s="39">
        <f>IF($B63="","",IFERROR(P63/Q63,""))</f>
        <v/>
      </c>
      <c r="S63" s="38">
        <f>IF($B63="","",SUMPRODUCT(('目标填报'!$B$4:$B$1500=$B63)*('目标填报'!$C$4:$C$1500=$C63)*('目标填报'!$D$4:$D$1500=$D63)*('目标填报'!$F$4:$F$1500="目标客户机会")*('目标填报'!$G$3:$R$3=$F$1)*'目标填报'!$G$4:$R$1500))</f>
        <v/>
      </c>
      <c r="T63" s="38">
        <f>IF($B63="","",SUMPRODUCT(('目标填报'!$B$4:$B$1500=$B63)*('目标填报'!$C$4:$C$1500=$C63)*('目标填报'!$D$4:$D$1500=$D63)*('目标填报'!$F$4:$F$1500="目标客户机会目标")*('目标填报'!$G$3:$R$3=$F$1)*'目标填报'!$G$4:$R$1500))</f>
        <v/>
      </c>
      <c r="U63" s="39">
        <f>IF($B63="","",IFERROR(S63/T63,""))</f>
        <v/>
      </c>
      <c r="V63" s="38">
        <f>IF($B63="","",P63+S63)</f>
        <v/>
      </c>
      <c r="W63" s="38">
        <f>IF($B63="","",M63-J63)</f>
        <v/>
      </c>
      <c r="X63" s="39">
        <f>IF($B63="","",IFERROR(V63/W63,""))</f>
        <v/>
      </c>
      <c r="Y63" s="40">
        <f>IF($B63="","",V63-W63)</f>
        <v/>
      </c>
    </row>
    <row r="64">
      <c r="A64" s="37">
        <f>IF($B64="","",ROW()-3)</f>
        <v/>
      </c>
      <c r="B64" s="13">
        <f>IF(60+1&gt;COUNTA('维度字典'!$C$2:$C$200)*COUNTA('维度字典'!$A$2:$A$200)*COUNTA('维度字典'!$E$2:$E$200),"",INDEX('维度字典'!$C$2:$C$200,MOD(INT(60/(COUNTA('维度字典'!$E$2:$E$200)*COUNTA('维度字典'!$A$2:$A$200))),COUNTA('维度字典'!$C$2:$C$200))+1))</f>
        <v/>
      </c>
      <c r="C64" s="13">
        <f>IF($B64="","",INDEX('维度字典'!$A$2:$A$200,MOD(INT(60/COUNTA('维度字典'!$E$2:$E$200)),COUNTA('维度字典'!$A$2:$A$200))+1))</f>
        <v/>
      </c>
      <c r="D64" s="13">
        <f>IF($B64="","",INDEX('维度字典'!$E$2:$E$200,MOD(60,COUNTA('维度字典'!$E$2:$E$200))+1))</f>
        <v/>
      </c>
      <c r="E64" s="38">
        <f>IF($B64="","",SUMPRODUCT(('系统实绩导入'!$B$4:$B$1500=$B64)*('系统实绩导入'!$C$4:$C$1500=$C64)*('系统实绩导入'!$D$4:$D$1500=$D64)*('系统实绩导入'!$F$4:$F$1500="实绩销售额")*('系统实绩导入'!$G$3:$R$3=$F$1)*'系统实绩导入'!$G$4:$R$1500))</f>
        <v/>
      </c>
      <c r="F64" s="38">
        <f>IF($B64="","",SUMPRODUCT(('系统实绩导入'!$B$4:$B$1500=$B64)*('系统实绩导入'!$C$4:$C$1500=$C64)*('系统实绩导入'!$D$4:$D$1500=$D64)*('系统实绩导入'!$F$4:$F$1500="实绩毛利")*('系统实绩导入'!$G$3:$R$3=$F$1)*'系统实绩导入'!$G$4:$R$1500))</f>
        <v/>
      </c>
      <c r="G64" s="39">
        <f>IF($B64="","",IFERROR(F64/E64,""))</f>
        <v/>
      </c>
      <c r="H64" s="38">
        <f>IF($B64="","",SUMPRODUCT(('目标填报'!$B$4:$B$1500=$B64)*('目标填报'!$C$4:$C$1500=$C64)*('目标填报'!$D$4:$D$1500=$D64)*('目标填报'!$F$4:$F$1500="销售目标额")*('目标填报'!$G$3:$R$3=$F$1)*'目标填报'!$G$4:$R$1500))</f>
        <v/>
      </c>
      <c r="I64" s="39">
        <f>IF($B64="","",IFERROR(E64/H64,""))</f>
        <v/>
      </c>
      <c r="J64" s="38">
        <f>IF($B64="","",SUMPRODUCT(('系统实绩导入'!$B$4:$B$1500=$B64)*('系统实绩导入'!$C$4:$C$1500=$C64)*('系统实绩导入'!$D$4:$D$1500=$D64)*('系统实绩导入'!$F$4:$F$1500="实绩销售额")*('系统实绩导入'!$G$3:$R$3&lt;=$F$1)*'系统实绩导入'!$G$4:$R$1500))</f>
        <v/>
      </c>
      <c r="K64" s="38">
        <f>IF($B64="","",SUMPRODUCT(('系统实绩导入'!$B$4:$B$1500=$B64)*('系统实绩导入'!$C$4:$C$1500=$C64)*('系统实绩导入'!$D$4:$D$1500=$D64)*('系统实绩导入'!$F$4:$F$1500="实绩毛利")*('系统实绩导入'!$G$3:$R$3&lt;=$F$1)*'系统实绩导入'!$G$4:$R$1500))</f>
        <v/>
      </c>
      <c r="L64" s="39">
        <f>IF($B64="","",IFERROR(K64/J64,""))</f>
        <v/>
      </c>
      <c r="M64" s="38">
        <f>IF($B64="","",SUMIFS('目标填报'!$S$4:$S$1500,'目标填报'!$B$4:$B$1500,$B64,'目标填报'!$C$4:$C$1500,$C64,'目标填报'!$D$4:$D$1500,$D64,'目标填报'!$F$4:$F$1500,"销售目标额"))</f>
        <v/>
      </c>
      <c r="N64" s="39">
        <f>IF($B64="","",IFERROR(J64/M64,""))</f>
        <v/>
      </c>
      <c r="O64" s="40">
        <f>IF($B64="","",J64-M64)</f>
        <v/>
      </c>
      <c r="P64" s="38">
        <f>IF($B64="","",SUMPRODUCT(('目标填报'!$B$4:$B$1500=$B64)*('目标填报'!$C$4:$C$1500=$C64)*('目标填报'!$D$4:$D$1500=$D64)*('目标填报'!$F$4:$F$1500="在手订单")*('目标填报'!$G$3:$R$3=$F$1)*'目标填报'!$G$4:$R$1500))</f>
        <v/>
      </c>
      <c r="Q64" s="38">
        <f>IF($B64="","",SUMPRODUCT(('目标填报'!$B$4:$B$1500=$B64)*('目标填报'!$C$4:$C$1500=$C64)*('目标填报'!$D$4:$D$1500=$D64)*('目标填报'!$F$4:$F$1500="在手订单目标")*('目标填报'!$G$3:$R$3=$F$1)*'目标填报'!$G$4:$R$1500))</f>
        <v/>
      </c>
      <c r="R64" s="39">
        <f>IF($B64="","",IFERROR(P64/Q64,""))</f>
        <v/>
      </c>
      <c r="S64" s="38">
        <f>IF($B64="","",SUMPRODUCT(('目标填报'!$B$4:$B$1500=$B64)*('目标填报'!$C$4:$C$1500=$C64)*('目标填报'!$D$4:$D$1500=$D64)*('目标填报'!$F$4:$F$1500="目标客户机会")*('目标填报'!$G$3:$R$3=$F$1)*'目标填报'!$G$4:$R$1500))</f>
        <v/>
      </c>
      <c r="T64" s="38">
        <f>IF($B64="","",SUMPRODUCT(('目标填报'!$B$4:$B$1500=$B64)*('目标填报'!$C$4:$C$1500=$C64)*('目标填报'!$D$4:$D$1500=$D64)*('目标填报'!$F$4:$F$1500="目标客户机会目标")*('目标填报'!$G$3:$R$3=$F$1)*'目标填报'!$G$4:$R$1500))</f>
        <v/>
      </c>
      <c r="U64" s="39">
        <f>IF($B64="","",IFERROR(S64/T64,""))</f>
        <v/>
      </c>
      <c r="V64" s="38">
        <f>IF($B64="","",P64+S64)</f>
        <v/>
      </c>
      <c r="W64" s="38">
        <f>IF($B64="","",M64-J64)</f>
        <v/>
      </c>
      <c r="X64" s="39">
        <f>IF($B64="","",IFERROR(V64/W64,""))</f>
        <v/>
      </c>
      <c r="Y64" s="40">
        <f>IF($B64="","",V64-W64)</f>
        <v/>
      </c>
    </row>
    <row r="65">
      <c r="A65" s="37">
        <f>IF($B65="","",ROW()-3)</f>
        <v/>
      </c>
      <c r="B65" s="13">
        <f>IF(61+1&gt;COUNTA('维度字典'!$C$2:$C$200)*COUNTA('维度字典'!$A$2:$A$200)*COUNTA('维度字典'!$E$2:$E$200),"",INDEX('维度字典'!$C$2:$C$200,MOD(INT(61/(COUNTA('维度字典'!$E$2:$E$200)*COUNTA('维度字典'!$A$2:$A$200))),COUNTA('维度字典'!$C$2:$C$200))+1))</f>
        <v/>
      </c>
      <c r="C65" s="13">
        <f>IF($B65="","",INDEX('维度字典'!$A$2:$A$200,MOD(INT(61/COUNTA('维度字典'!$E$2:$E$200)),COUNTA('维度字典'!$A$2:$A$200))+1))</f>
        <v/>
      </c>
      <c r="D65" s="13">
        <f>IF($B65="","",INDEX('维度字典'!$E$2:$E$200,MOD(61,COUNTA('维度字典'!$E$2:$E$200))+1))</f>
        <v/>
      </c>
      <c r="E65" s="38">
        <f>IF($B65="","",SUMPRODUCT(('系统实绩导入'!$B$4:$B$1500=$B65)*('系统实绩导入'!$C$4:$C$1500=$C65)*('系统实绩导入'!$D$4:$D$1500=$D65)*('系统实绩导入'!$F$4:$F$1500="实绩销售额")*('系统实绩导入'!$G$3:$R$3=$F$1)*'系统实绩导入'!$G$4:$R$1500))</f>
        <v/>
      </c>
      <c r="F65" s="38">
        <f>IF($B65="","",SUMPRODUCT(('系统实绩导入'!$B$4:$B$1500=$B65)*('系统实绩导入'!$C$4:$C$1500=$C65)*('系统实绩导入'!$D$4:$D$1500=$D65)*('系统实绩导入'!$F$4:$F$1500="实绩毛利")*('系统实绩导入'!$G$3:$R$3=$F$1)*'系统实绩导入'!$G$4:$R$1500))</f>
        <v/>
      </c>
      <c r="G65" s="39">
        <f>IF($B65="","",IFERROR(F65/E65,""))</f>
        <v/>
      </c>
      <c r="H65" s="38">
        <f>IF($B65="","",SUMPRODUCT(('目标填报'!$B$4:$B$1500=$B65)*('目标填报'!$C$4:$C$1500=$C65)*('目标填报'!$D$4:$D$1500=$D65)*('目标填报'!$F$4:$F$1500="销售目标额")*('目标填报'!$G$3:$R$3=$F$1)*'目标填报'!$G$4:$R$1500))</f>
        <v/>
      </c>
      <c r="I65" s="39">
        <f>IF($B65="","",IFERROR(E65/H65,""))</f>
        <v/>
      </c>
      <c r="J65" s="38">
        <f>IF($B65="","",SUMPRODUCT(('系统实绩导入'!$B$4:$B$1500=$B65)*('系统实绩导入'!$C$4:$C$1500=$C65)*('系统实绩导入'!$D$4:$D$1500=$D65)*('系统实绩导入'!$F$4:$F$1500="实绩销售额")*('系统实绩导入'!$G$3:$R$3&lt;=$F$1)*'系统实绩导入'!$G$4:$R$1500))</f>
        <v/>
      </c>
      <c r="K65" s="38">
        <f>IF($B65="","",SUMPRODUCT(('系统实绩导入'!$B$4:$B$1500=$B65)*('系统实绩导入'!$C$4:$C$1500=$C65)*('系统实绩导入'!$D$4:$D$1500=$D65)*('系统实绩导入'!$F$4:$F$1500="实绩毛利")*('系统实绩导入'!$G$3:$R$3&lt;=$F$1)*'系统实绩导入'!$G$4:$R$1500))</f>
        <v/>
      </c>
      <c r="L65" s="39">
        <f>IF($B65="","",IFERROR(K65/J65,""))</f>
        <v/>
      </c>
      <c r="M65" s="38">
        <f>IF($B65="","",SUMIFS('目标填报'!$S$4:$S$1500,'目标填报'!$B$4:$B$1500,$B65,'目标填报'!$C$4:$C$1500,$C65,'目标填报'!$D$4:$D$1500,$D65,'目标填报'!$F$4:$F$1500,"销售目标额"))</f>
        <v/>
      </c>
      <c r="N65" s="39">
        <f>IF($B65="","",IFERROR(J65/M65,""))</f>
        <v/>
      </c>
      <c r="O65" s="40">
        <f>IF($B65="","",J65-M65)</f>
        <v/>
      </c>
      <c r="P65" s="38">
        <f>IF($B65="","",SUMPRODUCT(('目标填报'!$B$4:$B$1500=$B65)*('目标填报'!$C$4:$C$1500=$C65)*('目标填报'!$D$4:$D$1500=$D65)*('目标填报'!$F$4:$F$1500="在手订单")*('目标填报'!$G$3:$R$3=$F$1)*'目标填报'!$G$4:$R$1500))</f>
        <v/>
      </c>
      <c r="Q65" s="38">
        <f>IF($B65="","",SUMPRODUCT(('目标填报'!$B$4:$B$1500=$B65)*('目标填报'!$C$4:$C$1500=$C65)*('目标填报'!$D$4:$D$1500=$D65)*('目标填报'!$F$4:$F$1500="在手订单目标")*('目标填报'!$G$3:$R$3=$F$1)*'目标填报'!$G$4:$R$1500))</f>
        <v/>
      </c>
      <c r="R65" s="39">
        <f>IF($B65="","",IFERROR(P65/Q65,""))</f>
        <v/>
      </c>
      <c r="S65" s="38">
        <f>IF($B65="","",SUMPRODUCT(('目标填报'!$B$4:$B$1500=$B65)*('目标填报'!$C$4:$C$1500=$C65)*('目标填报'!$D$4:$D$1500=$D65)*('目标填报'!$F$4:$F$1500="目标客户机会")*('目标填报'!$G$3:$R$3=$F$1)*'目标填报'!$G$4:$R$1500))</f>
        <v/>
      </c>
      <c r="T65" s="38">
        <f>IF($B65="","",SUMPRODUCT(('目标填报'!$B$4:$B$1500=$B65)*('目标填报'!$C$4:$C$1500=$C65)*('目标填报'!$D$4:$D$1500=$D65)*('目标填报'!$F$4:$F$1500="目标客户机会目标")*('目标填报'!$G$3:$R$3=$F$1)*'目标填报'!$G$4:$R$1500))</f>
        <v/>
      </c>
      <c r="U65" s="39">
        <f>IF($B65="","",IFERROR(S65/T65,""))</f>
        <v/>
      </c>
      <c r="V65" s="38">
        <f>IF($B65="","",P65+S65)</f>
        <v/>
      </c>
      <c r="W65" s="38">
        <f>IF($B65="","",M65-J65)</f>
        <v/>
      </c>
      <c r="X65" s="39">
        <f>IF($B65="","",IFERROR(V65/W65,""))</f>
        <v/>
      </c>
      <c r="Y65" s="40">
        <f>IF($B65="","",V65-W65)</f>
        <v/>
      </c>
    </row>
    <row r="66">
      <c r="A66" s="37">
        <f>IF($B66="","",ROW()-3)</f>
        <v/>
      </c>
      <c r="B66" s="13">
        <f>IF(62+1&gt;COUNTA('维度字典'!$C$2:$C$200)*COUNTA('维度字典'!$A$2:$A$200)*COUNTA('维度字典'!$E$2:$E$200),"",INDEX('维度字典'!$C$2:$C$200,MOD(INT(62/(COUNTA('维度字典'!$E$2:$E$200)*COUNTA('维度字典'!$A$2:$A$200))),COUNTA('维度字典'!$C$2:$C$200))+1))</f>
        <v/>
      </c>
      <c r="C66" s="13">
        <f>IF($B66="","",INDEX('维度字典'!$A$2:$A$200,MOD(INT(62/COUNTA('维度字典'!$E$2:$E$200)),COUNTA('维度字典'!$A$2:$A$200))+1))</f>
        <v/>
      </c>
      <c r="D66" s="13">
        <f>IF($B66="","",INDEX('维度字典'!$E$2:$E$200,MOD(62,COUNTA('维度字典'!$E$2:$E$200))+1))</f>
        <v/>
      </c>
      <c r="E66" s="38">
        <f>IF($B66="","",SUMPRODUCT(('系统实绩导入'!$B$4:$B$1500=$B66)*('系统实绩导入'!$C$4:$C$1500=$C66)*('系统实绩导入'!$D$4:$D$1500=$D66)*('系统实绩导入'!$F$4:$F$1500="实绩销售额")*('系统实绩导入'!$G$3:$R$3=$F$1)*'系统实绩导入'!$G$4:$R$1500))</f>
        <v/>
      </c>
      <c r="F66" s="38">
        <f>IF($B66="","",SUMPRODUCT(('系统实绩导入'!$B$4:$B$1500=$B66)*('系统实绩导入'!$C$4:$C$1500=$C66)*('系统实绩导入'!$D$4:$D$1500=$D66)*('系统实绩导入'!$F$4:$F$1500="实绩毛利")*('系统实绩导入'!$G$3:$R$3=$F$1)*'系统实绩导入'!$G$4:$R$1500))</f>
        <v/>
      </c>
      <c r="G66" s="39">
        <f>IF($B66="","",IFERROR(F66/E66,""))</f>
        <v/>
      </c>
      <c r="H66" s="38">
        <f>IF($B66="","",SUMPRODUCT(('目标填报'!$B$4:$B$1500=$B66)*('目标填报'!$C$4:$C$1500=$C66)*('目标填报'!$D$4:$D$1500=$D66)*('目标填报'!$F$4:$F$1500="销售目标额")*('目标填报'!$G$3:$R$3=$F$1)*'目标填报'!$G$4:$R$1500))</f>
        <v/>
      </c>
      <c r="I66" s="39">
        <f>IF($B66="","",IFERROR(E66/H66,""))</f>
        <v/>
      </c>
      <c r="J66" s="38">
        <f>IF($B66="","",SUMPRODUCT(('系统实绩导入'!$B$4:$B$1500=$B66)*('系统实绩导入'!$C$4:$C$1500=$C66)*('系统实绩导入'!$D$4:$D$1500=$D66)*('系统实绩导入'!$F$4:$F$1500="实绩销售额")*('系统实绩导入'!$G$3:$R$3&lt;=$F$1)*'系统实绩导入'!$G$4:$R$1500))</f>
        <v/>
      </c>
      <c r="K66" s="38">
        <f>IF($B66="","",SUMPRODUCT(('系统实绩导入'!$B$4:$B$1500=$B66)*('系统实绩导入'!$C$4:$C$1500=$C66)*('系统实绩导入'!$D$4:$D$1500=$D66)*('系统实绩导入'!$F$4:$F$1500="实绩毛利")*('系统实绩导入'!$G$3:$R$3&lt;=$F$1)*'系统实绩导入'!$G$4:$R$1500))</f>
        <v/>
      </c>
      <c r="L66" s="39">
        <f>IF($B66="","",IFERROR(K66/J66,""))</f>
        <v/>
      </c>
      <c r="M66" s="38">
        <f>IF($B66="","",SUMIFS('目标填报'!$S$4:$S$1500,'目标填报'!$B$4:$B$1500,$B66,'目标填报'!$C$4:$C$1500,$C66,'目标填报'!$D$4:$D$1500,$D66,'目标填报'!$F$4:$F$1500,"销售目标额"))</f>
        <v/>
      </c>
      <c r="N66" s="39">
        <f>IF($B66="","",IFERROR(J66/M66,""))</f>
        <v/>
      </c>
      <c r="O66" s="40">
        <f>IF($B66="","",J66-M66)</f>
        <v/>
      </c>
      <c r="P66" s="38">
        <f>IF($B66="","",SUMPRODUCT(('目标填报'!$B$4:$B$1500=$B66)*('目标填报'!$C$4:$C$1500=$C66)*('目标填报'!$D$4:$D$1500=$D66)*('目标填报'!$F$4:$F$1500="在手订单")*('目标填报'!$G$3:$R$3=$F$1)*'目标填报'!$G$4:$R$1500))</f>
        <v/>
      </c>
      <c r="Q66" s="38">
        <f>IF($B66="","",SUMPRODUCT(('目标填报'!$B$4:$B$1500=$B66)*('目标填报'!$C$4:$C$1500=$C66)*('目标填报'!$D$4:$D$1500=$D66)*('目标填报'!$F$4:$F$1500="在手订单目标")*('目标填报'!$G$3:$R$3=$F$1)*'目标填报'!$G$4:$R$1500))</f>
        <v/>
      </c>
      <c r="R66" s="39">
        <f>IF($B66="","",IFERROR(P66/Q66,""))</f>
        <v/>
      </c>
      <c r="S66" s="38">
        <f>IF($B66="","",SUMPRODUCT(('目标填报'!$B$4:$B$1500=$B66)*('目标填报'!$C$4:$C$1500=$C66)*('目标填报'!$D$4:$D$1500=$D66)*('目标填报'!$F$4:$F$1500="目标客户机会")*('目标填报'!$G$3:$R$3=$F$1)*'目标填报'!$G$4:$R$1500))</f>
        <v/>
      </c>
      <c r="T66" s="38">
        <f>IF($B66="","",SUMPRODUCT(('目标填报'!$B$4:$B$1500=$B66)*('目标填报'!$C$4:$C$1500=$C66)*('目标填报'!$D$4:$D$1500=$D66)*('目标填报'!$F$4:$F$1500="目标客户机会目标")*('目标填报'!$G$3:$R$3=$F$1)*'目标填报'!$G$4:$R$1500))</f>
        <v/>
      </c>
      <c r="U66" s="39">
        <f>IF($B66="","",IFERROR(S66/T66,""))</f>
        <v/>
      </c>
      <c r="V66" s="38">
        <f>IF($B66="","",P66+S66)</f>
        <v/>
      </c>
      <c r="W66" s="38">
        <f>IF($B66="","",M66-J66)</f>
        <v/>
      </c>
      <c r="X66" s="39">
        <f>IF($B66="","",IFERROR(V66/W66,""))</f>
        <v/>
      </c>
      <c r="Y66" s="40">
        <f>IF($B66="","",V66-W66)</f>
        <v/>
      </c>
    </row>
    <row r="67">
      <c r="A67" s="37">
        <f>IF($B67="","",ROW()-3)</f>
        <v/>
      </c>
      <c r="B67" s="13">
        <f>IF(63+1&gt;COUNTA('维度字典'!$C$2:$C$200)*COUNTA('维度字典'!$A$2:$A$200)*COUNTA('维度字典'!$E$2:$E$200),"",INDEX('维度字典'!$C$2:$C$200,MOD(INT(63/(COUNTA('维度字典'!$E$2:$E$200)*COUNTA('维度字典'!$A$2:$A$200))),COUNTA('维度字典'!$C$2:$C$200))+1))</f>
        <v/>
      </c>
      <c r="C67" s="13">
        <f>IF($B67="","",INDEX('维度字典'!$A$2:$A$200,MOD(INT(63/COUNTA('维度字典'!$E$2:$E$200)),COUNTA('维度字典'!$A$2:$A$200))+1))</f>
        <v/>
      </c>
      <c r="D67" s="13">
        <f>IF($B67="","",INDEX('维度字典'!$E$2:$E$200,MOD(63,COUNTA('维度字典'!$E$2:$E$200))+1))</f>
        <v/>
      </c>
      <c r="E67" s="38">
        <f>IF($B67="","",SUMPRODUCT(('系统实绩导入'!$B$4:$B$1500=$B67)*('系统实绩导入'!$C$4:$C$1500=$C67)*('系统实绩导入'!$D$4:$D$1500=$D67)*('系统实绩导入'!$F$4:$F$1500="实绩销售额")*('系统实绩导入'!$G$3:$R$3=$F$1)*'系统实绩导入'!$G$4:$R$1500))</f>
        <v/>
      </c>
      <c r="F67" s="38">
        <f>IF($B67="","",SUMPRODUCT(('系统实绩导入'!$B$4:$B$1500=$B67)*('系统实绩导入'!$C$4:$C$1500=$C67)*('系统实绩导入'!$D$4:$D$1500=$D67)*('系统实绩导入'!$F$4:$F$1500="实绩毛利")*('系统实绩导入'!$G$3:$R$3=$F$1)*'系统实绩导入'!$G$4:$R$1500))</f>
        <v/>
      </c>
      <c r="G67" s="39">
        <f>IF($B67="","",IFERROR(F67/E67,""))</f>
        <v/>
      </c>
      <c r="H67" s="38">
        <f>IF($B67="","",SUMPRODUCT(('目标填报'!$B$4:$B$1500=$B67)*('目标填报'!$C$4:$C$1500=$C67)*('目标填报'!$D$4:$D$1500=$D67)*('目标填报'!$F$4:$F$1500="销售目标额")*('目标填报'!$G$3:$R$3=$F$1)*'目标填报'!$G$4:$R$1500))</f>
        <v/>
      </c>
      <c r="I67" s="39">
        <f>IF($B67="","",IFERROR(E67/H67,""))</f>
        <v/>
      </c>
      <c r="J67" s="38">
        <f>IF($B67="","",SUMPRODUCT(('系统实绩导入'!$B$4:$B$1500=$B67)*('系统实绩导入'!$C$4:$C$1500=$C67)*('系统实绩导入'!$D$4:$D$1500=$D67)*('系统实绩导入'!$F$4:$F$1500="实绩销售额")*('系统实绩导入'!$G$3:$R$3&lt;=$F$1)*'系统实绩导入'!$G$4:$R$1500))</f>
        <v/>
      </c>
      <c r="K67" s="38">
        <f>IF($B67="","",SUMPRODUCT(('系统实绩导入'!$B$4:$B$1500=$B67)*('系统实绩导入'!$C$4:$C$1500=$C67)*('系统实绩导入'!$D$4:$D$1500=$D67)*('系统实绩导入'!$F$4:$F$1500="实绩毛利")*('系统实绩导入'!$G$3:$R$3&lt;=$F$1)*'系统实绩导入'!$G$4:$R$1500))</f>
        <v/>
      </c>
      <c r="L67" s="39">
        <f>IF($B67="","",IFERROR(K67/J67,""))</f>
        <v/>
      </c>
      <c r="M67" s="38">
        <f>IF($B67="","",SUMIFS('目标填报'!$S$4:$S$1500,'目标填报'!$B$4:$B$1500,$B67,'目标填报'!$C$4:$C$1500,$C67,'目标填报'!$D$4:$D$1500,$D67,'目标填报'!$F$4:$F$1500,"销售目标额"))</f>
        <v/>
      </c>
      <c r="N67" s="39">
        <f>IF($B67="","",IFERROR(J67/M67,""))</f>
        <v/>
      </c>
      <c r="O67" s="40">
        <f>IF($B67="","",J67-M67)</f>
        <v/>
      </c>
      <c r="P67" s="38">
        <f>IF($B67="","",SUMPRODUCT(('目标填报'!$B$4:$B$1500=$B67)*('目标填报'!$C$4:$C$1500=$C67)*('目标填报'!$D$4:$D$1500=$D67)*('目标填报'!$F$4:$F$1500="在手订单")*('目标填报'!$G$3:$R$3=$F$1)*'目标填报'!$G$4:$R$1500))</f>
        <v/>
      </c>
      <c r="Q67" s="38">
        <f>IF($B67="","",SUMPRODUCT(('目标填报'!$B$4:$B$1500=$B67)*('目标填报'!$C$4:$C$1500=$C67)*('目标填报'!$D$4:$D$1500=$D67)*('目标填报'!$F$4:$F$1500="在手订单目标")*('目标填报'!$G$3:$R$3=$F$1)*'目标填报'!$G$4:$R$1500))</f>
        <v/>
      </c>
      <c r="R67" s="39">
        <f>IF($B67="","",IFERROR(P67/Q67,""))</f>
        <v/>
      </c>
      <c r="S67" s="38">
        <f>IF($B67="","",SUMPRODUCT(('目标填报'!$B$4:$B$1500=$B67)*('目标填报'!$C$4:$C$1500=$C67)*('目标填报'!$D$4:$D$1500=$D67)*('目标填报'!$F$4:$F$1500="目标客户机会")*('目标填报'!$G$3:$R$3=$F$1)*'目标填报'!$G$4:$R$1500))</f>
        <v/>
      </c>
      <c r="T67" s="38">
        <f>IF($B67="","",SUMPRODUCT(('目标填报'!$B$4:$B$1500=$B67)*('目标填报'!$C$4:$C$1500=$C67)*('目标填报'!$D$4:$D$1500=$D67)*('目标填报'!$F$4:$F$1500="目标客户机会目标")*('目标填报'!$G$3:$R$3=$F$1)*'目标填报'!$G$4:$R$1500))</f>
        <v/>
      </c>
      <c r="U67" s="39">
        <f>IF($B67="","",IFERROR(S67/T67,""))</f>
        <v/>
      </c>
      <c r="V67" s="38">
        <f>IF($B67="","",P67+S67)</f>
        <v/>
      </c>
      <c r="W67" s="38">
        <f>IF($B67="","",M67-J67)</f>
        <v/>
      </c>
      <c r="X67" s="39">
        <f>IF($B67="","",IFERROR(V67/W67,""))</f>
        <v/>
      </c>
      <c r="Y67" s="40">
        <f>IF($B67="","",V67-W67)</f>
        <v/>
      </c>
    </row>
    <row r="68">
      <c r="A68" s="37">
        <f>IF($B68="","",ROW()-3)</f>
        <v/>
      </c>
      <c r="B68" s="13">
        <f>IF(64+1&gt;COUNTA('维度字典'!$C$2:$C$200)*COUNTA('维度字典'!$A$2:$A$200)*COUNTA('维度字典'!$E$2:$E$200),"",INDEX('维度字典'!$C$2:$C$200,MOD(INT(64/(COUNTA('维度字典'!$E$2:$E$200)*COUNTA('维度字典'!$A$2:$A$200))),COUNTA('维度字典'!$C$2:$C$200))+1))</f>
        <v/>
      </c>
      <c r="C68" s="13">
        <f>IF($B68="","",INDEX('维度字典'!$A$2:$A$200,MOD(INT(64/COUNTA('维度字典'!$E$2:$E$200)),COUNTA('维度字典'!$A$2:$A$200))+1))</f>
        <v/>
      </c>
      <c r="D68" s="13">
        <f>IF($B68="","",INDEX('维度字典'!$E$2:$E$200,MOD(64,COUNTA('维度字典'!$E$2:$E$200))+1))</f>
        <v/>
      </c>
      <c r="E68" s="38">
        <f>IF($B68="","",SUMPRODUCT(('系统实绩导入'!$B$4:$B$1500=$B68)*('系统实绩导入'!$C$4:$C$1500=$C68)*('系统实绩导入'!$D$4:$D$1500=$D68)*('系统实绩导入'!$F$4:$F$1500="实绩销售额")*('系统实绩导入'!$G$3:$R$3=$F$1)*'系统实绩导入'!$G$4:$R$1500))</f>
        <v/>
      </c>
      <c r="F68" s="38">
        <f>IF($B68="","",SUMPRODUCT(('系统实绩导入'!$B$4:$B$1500=$B68)*('系统实绩导入'!$C$4:$C$1500=$C68)*('系统实绩导入'!$D$4:$D$1500=$D68)*('系统实绩导入'!$F$4:$F$1500="实绩毛利")*('系统实绩导入'!$G$3:$R$3=$F$1)*'系统实绩导入'!$G$4:$R$1500))</f>
        <v/>
      </c>
      <c r="G68" s="39">
        <f>IF($B68="","",IFERROR(F68/E68,""))</f>
        <v/>
      </c>
      <c r="H68" s="38">
        <f>IF($B68="","",SUMPRODUCT(('目标填报'!$B$4:$B$1500=$B68)*('目标填报'!$C$4:$C$1500=$C68)*('目标填报'!$D$4:$D$1500=$D68)*('目标填报'!$F$4:$F$1500="销售目标额")*('目标填报'!$G$3:$R$3=$F$1)*'目标填报'!$G$4:$R$1500))</f>
        <v/>
      </c>
      <c r="I68" s="39">
        <f>IF($B68="","",IFERROR(E68/H68,""))</f>
        <v/>
      </c>
      <c r="J68" s="38">
        <f>IF($B68="","",SUMPRODUCT(('系统实绩导入'!$B$4:$B$1500=$B68)*('系统实绩导入'!$C$4:$C$1500=$C68)*('系统实绩导入'!$D$4:$D$1500=$D68)*('系统实绩导入'!$F$4:$F$1500="实绩销售额")*('系统实绩导入'!$G$3:$R$3&lt;=$F$1)*'系统实绩导入'!$G$4:$R$1500))</f>
        <v/>
      </c>
      <c r="K68" s="38">
        <f>IF($B68="","",SUMPRODUCT(('系统实绩导入'!$B$4:$B$1500=$B68)*('系统实绩导入'!$C$4:$C$1500=$C68)*('系统实绩导入'!$D$4:$D$1500=$D68)*('系统实绩导入'!$F$4:$F$1500="实绩毛利")*('系统实绩导入'!$G$3:$R$3&lt;=$F$1)*'系统实绩导入'!$G$4:$R$1500))</f>
        <v/>
      </c>
      <c r="L68" s="39">
        <f>IF($B68="","",IFERROR(K68/J68,""))</f>
        <v/>
      </c>
      <c r="M68" s="38">
        <f>IF($B68="","",SUMIFS('目标填报'!$S$4:$S$1500,'目标填报'!$B$4:$B$1500,$B68,'目标填报'!$C$4:$C$1500,$C68,'目标填报'!$D$4:$D$1500,$D68,'目标填报'!$F$4:$F$1500,"销售目标额"))</f>
        <v/>
      </c>
      <c r="N68" s="39">
        <f>IF($B68="","",IFERROR(J68/M68,""))</f>
        <v/>
      </c>
      <c r="O68" s="40">
        <f>IF($B68="","",J68-M68)</f>
        <v/>
      </c>
      <c r="P68" s="38">
        <f>IF($B68="","",SUMPRODUCT(('目标填报'!$B$4:$B$1500=$B68)*('目标填报'!$C$4:$C$1500=$C68)*('目标填报'!$D$4:$D$1500=$D68)*('目标填报'!$F$4:$F$1500="在手订单")*('目标填报'!$G$3:$R$3=$F$1)*'目标填报'!$G$4:$R$1500))</f>
        <v/>
      </c>
      <c r="Q68" s="38">
        <f>IF($B68="","",SUMPRODUCT(('目标填报'!$B$4:$B$1500=$B68)*('目标填报'!$C$4:$C$1500=$C68)*('目标填报'!$D$4:$D$1500=$D68)*('目标填报'!$F$4:$F$1500="在手订单目标")*('目标填报'!$G$3:$R$3=$F$1)*'目标填报'!$G$4:$R$1500))</f>
        <v/>
      </c>
      <c r="R68" s="39">
        <f>IF($B68="","",IFERROR(P68/Q68,""))</f>
        <v/>
      </c>
      <c r="S68" s="38">
        <f>IF($B68="","",SUMPRODUCT(('目标填报'!$B$4:$B$1500=$B68)*('目标填报'!$C$4:$C$1500=$C68)*('目标填报'!$D$4:$D$1500=$D68)*('目标填报'!$F$4:$F$1500="目标客户机会")*('目标填报'!$G$3:$R$3=$F$1)*'目标填报'!$G$4:$R$1500))</f>
        <v/>
      </c>
      <c r="T68" s="38">
        <f>IF($B68="","",SUMPRODUCT(('目标填报'!$B$4:$B$1500=$B68)*('目标填报'!$C$4:$C$1500=$C68)*('目标填报'!$D$4:$D$1500=$D68)*('目标填报'!$F$4:$F$1500="目标客户机会目标")*('目标填报'!$G$3:$R$3=$F$1)*'目标填报'!$G$4:$R$1500))</f>
        <v/>
      </c>
      <c r="U68" s="39">
        <f>IF($B68="","",IFERROR(S68/T68,""))</f>
        <v/>
      </c>
      <c r="V68" s="38">
        <f>IF($B68="","",P68+S68)</f>
        <v/>
      </c>
      <c r="W68" s="38">
        <f>IF($B68="","",M68-J68)</f>
        <v/>
      </c>
      <c r="X68" s="39">
        <f>IF($B68="","",IFERROR(V68/W68,""))</f>
        <v/>
      </c>
      <c r="Y68" s="40">
        <f>IF($B68="","",V68-W68)</f>
        <v/>
      </c>
    </row>
    <row r="69">
      <c r="A69" s="37">
        <f>IF($B69="","",ROW()-3)</f>
        <v/>
      </c>
      <c r="B69" s="13">
        <f>IF(65+1&gt;COUNTA('维度字典'!$C$2:$C$200)*COUNTA('维度字典'!$A$2:$A$200)*COUNTA('维度字典'!$E$2:$E$200),"",INDEX('维度字典'!$C$2:$C$200,MOD(INT(65/(COUNTA('维度字典'!$E$2:$E$200)*COUNTA('维度字典'!$A$2:$A$200))),COUNTA('维度字典'!$C$2:$C$200))+1))</f>
        <v/>
      </c>
      <c r="C69" s="13">
        <f>IF($B69="","",INDEX('维度字典'!$A$2:$A$200,MOD(INT(65/COUNTA('维度字典'!$E$2:$E$200)),COUNTA('维度字典'!$A$2:$A$200))+1))</f>
        <v/>
      </c>
      <c r="D69" s="13">
        <f>IF($B69="","",INDEX('维度字典'!$E$2:$E$200,MOD(65,COUNTA('维度字典'!$E$2:$E$200))+1))</f>
        <v/>
      </c>
      <c r="E69" s="38">
        <f>IF($B69="","",SUMPRODUCT(('系统实绩导入'!$B$4:$B$1500=$B69)*('系统实绩导入'!$C$4:$C$1500=$C69)*('系统实绩导入'!$D$4:$D$1500=$D69)*('系统实绩导入'!$F$4:$F$1500="实绩销售额")*('系统实绩导入'!$G$3:$R$3=$F$1)*'系统实绩导入'!$G$4:$R$1500))</f>
        <v/>
      </c>
      <c r="F69" s="38">
        <f>IF($B69="","",SUMPRODUCT(('系统实绩导入'!$B$4:$B$1500=$B69)*('系统实绩导入'!$C$4:$C$1500=$C69)*('系统实绩导入'!$D$4:$D$1500=$D69)*('系统实绩导入'!$F$4:$F$1500="实绩毛利")*('系统实绩导入'!$G$3:$R$3=$F$1)*'系统实绩导入'!$G$4:$R$1500))</f>
        <v/>
      </c>
      <c r="G69" s="39">
        <f>IF($B69="","",IFERROR(F69/E69,""))</f>
        <v/>
      </c>
      <c r="H69" s="38">
        <f>IF($B69="","",SUMPRODUCT(('目标填报'!$B$4:$B$1500=$B69)*('目标填报'!$C$4:$C$1500=$C69)*('目标填报'!$D$4:$D$1500=$D69)*('目标填报'!$F$4:$F$1500="销售目标额")*('目标填报'!$G$3:$R$3=$F$1)*'目标填报'!$G$4:$R$1500))</f>
        <v/>
      </c>
      <c r="I69" s="39">
        <f>IF($B69="","",IFERROR(E69/H69,""))</f>
        <v/>
      </c>
      <c r="J69" s="38">
        <f>IF($B69="","",SUMPRODUCT(('系统实绩导入'!$B$4:$B$1500=$B69)*('系统实绩导入'!$C$4:$C$1500=$C69)*('系统实绩导入'!$D$4:$D$1500=$D69)*('系统实绩导入'!$F$4:$F$1500="实绩销售额")*('系统实绩导入'!$G$3:$R$3&lt;=$F$1)*'系统实绩导入'!$G$4:$R$1500))</f>
        <v/>
      </c>
      <c r="K69" s="38">
        <f>IF($B69="","",SUMPRODUCT(('系统实绩导入'!$B$4:$B$1500=$B69)*('系统实绩导入'!$C$4:$C$1500=$C69)*('系统实绩导入'!$D$4:$D$1500=$D69)*('系统实绩导入'!$F$4:$F$1500="实绩毛利")*('系统实绩导入'!$G$3:$R$3&lt;=$F$1)*'系统实绩导入'!$G$4:$R$1500))</f>
        <v/>
      </c>
      <c r="L69" s="39">
        <f>IF($B69="","",IFERROR(K69/J69,""))</f>
        <v/>
      </c>
      <c r="M69" s="38">
        <f>IF($B69="","",SUMIFS('目标填报'!$S$4:$S$1500,'目标填报'!$B$4:$B$1500,$B69,'目标填报'!$C$4:$C$1500,$C69,'目标填报'!$D$4:$D$1500,$D69,'目标填报'!$F$4:$F$1500,"销售目标额"))</f>
        <v/>
      </c>
      <c r="N69" s="39">
        <f>IF($B69="","",IFERROR(J69/M69,""))</f>
        <v/>
      </c>
      <c r="O69" s="40">
        <f>IF($B69="","",J69-M69)</f>
        <v/>
      </c>
      <c r="P69" s="38">
        <f>IF($B69="","",SUMPRODUCT(('目标填报'!$B$4:$B$1500=$B69)*('目标填报'!$C$4:$C$1500=$C69)*('目标填报'!$D$4:$D$1500=$D69)*('目标填报'!$F$4:$F$1500="在手订单")*('目标填报'!$G$3:$R$3=$F$1)*'目标填报'!$G$4:$R$1500))</f>
        <v/>
      </c>
      <c r="Q69" s="38">
        <f>IF($B69="","",SUMPRODUCT(('目标填报'!$B$4:$B$1500=$B69)*('目标填报'!$C$4:$C$1500=$C69)*('目标填报'!$D$4:$D$1500=$D69)*('目标填报'!$F$4:$F$1500="在手订单目标")*('目标填报'!$G$3:$R$3=$F$1)*'目标填报'!$G$4:$R$1500))</f>
        <v/>
      </c>
      <c r="R69" s="39">
        <f>IF($B69="","",IFERROR(P69/Q69,""))</f>
        <v/>
      </c>
      <c r="S69" s="38">
        <f>IF($B69="","",SUMPRODUCT(('目标填报'!$B$4:$B$1500=$B69)*('目标填报'!$C$4:$C$1500=$C69)*('目标填报'!$D$4:$D$1500=$D69)*('目标填报'!$F$4:$F$1500="目标客户机会")*('目标填报'!$G$3:$R$3=$F$1)*'目标填报'!$G$4:$R$1500))</f>
        <v/>
      </c>
      <c r="T69" s="38">
        <f>IF($B69="","",SUMPRODUCT(('目标填报'!$B$4:$B$1500=$B69)*('目标填报'!$C$4:$C$1500=$C69)*('目标填报'!$D$4:$D$1500=$D69)*('目标填报'!$F$4:$F$1500="目标客户机会目标")*('目标填报'!$G$3:$R$3=$F$1)*'目标填报'!$G$4:$R$1500))</f>
        <v/>
      </c>
      <c r="U69" s="39">
        <f>IF($B69="","",IFERROR(S69/T69,""))</f>
        <v/>
      </c>
      <c r="V69" s="38">
        <f>IF($B69="","",P69+S69)</f>
        <v/>
      </c>
      <c r="W69" s="38">
        <f>IF($B69="","",M69-J69)</f>
        <v/>
      </c>
      <c r="X69" s="39">
        <f>IF($B69="","",IFERROR(V69/W69,""))</f>
        <v/>
      </c>
      <c r="Y69" s="40">
        <f>IF($B69="","",V69-W69)</f>
        <v/>
      </c>
    </row>
    <row r="70">
      <c r="A70" s="37">
        <f>IF($B70="","",ROW()-3)</f>
        <v/>
      </c>
      <c r="B70" s="13">
        <f>IF(66+1&gt;COUNTA('维度字典'!$C$2:$C$200)*COUNTA('维度字典'!$A$2:$A$200)*COUNTA('维度字典'!$E$2:$E$200),"",INDEX('维度字典'!$C$2:$C$200,MOD(INT(66/(COUNTA('维度字典'!$E$2:$E$200)*COUNTA('维度字典'!$A$2:$A$200))),COUNTA('维度字典'!$C$2:$C$200))+1))</f>
        <v/>
      </c>
      <c r="C70" s="13">
        <f>IF($B70="","",INDEX('维度字典'!$A$2:$A$200,MOD(INT(66/COUNTA('维度字典'!$E$2:$E$200)),COUNTA('维度字典'!$A$2:$A$200))+1))</f>
        <v/>
      </c>
      <c r="D70" s="13">
        <f>IF($B70="","",INDEX('维度字典'!$E$2:$E$200,MOD(66,COUNTA('维度字典'!$E$2:$E$200))+1))</f>
        <v/>
      </c>
      <c r="E70" s="38">
        <f>IF($B70="","",SUMPRODUCT(('系统实绩导入'!$B$4:$B$1500=$B70)*('系统实绩导入'!$C$4:$C$1500=$C70)*('系统实绩导入'!$D$4:$D$1500=$D70)*('系统实绩导入'!$F$4:$F$1500="实绩销售额")*('系统实绩导入'!$G$3:$R$3=$F$1)*'系统实绩导入'!$G$4:$R$1500))</f>
        <v/>
      </c>
      <c r="F70" s="38">
        <f>IF($B70="","",SUMPRODUCT(('系统实绩导入'!$B$4:$B$1500=$B70)*('系统实绩导入'!$C$4:$C$1500=$C70)*('系统实绩导入'!$D$4:$D$1500=$D70)*('系统实绩导入'!$F$4:$F$1500="实绩毛利")*('系统实绩导入'!$G$3:$R$3=$F$1)*'系统实绩导入'!$G$4:$R$1500))</f>
        <v/>
      </c>
      <c r="G70" s="39">
        <f>IF($B70="","",IFERROR(F70/E70,""))</f>
        <v/>
      </c>
      <c r="H70" s="38">
        <f>IF($B70="","",SUMPRODUCT(('目标填报'!$B$4:$B$1500=$B70)*('目标填报'!$C$4:$C$1500=$C70)*('目标填报'!$D$4:$D$1500=$D70)*('目标填报'!$F$4:$F$1500="销售目标额")*('目标填报'!$G$3:$R$3=$F$1)*'目标填报'!$G$4:$R$1500))</f>
        <v/>
      </c>
      <c r="I70" s="39">
        <f>IF($B70="","",IFERROR(E70/H70,""))</f>
        <v/>
      </c>
      <c r="J70" s="38">
        <f>IF($B70="","",SUMPRODUCT(('系统实绩导入'!$B$4:$B$1500=$B70)*('系统实绩导入'!$C$4:$C$1500=$C70)*('系统实绩导入'!$D$4:$D$1500=$D70)*('系统实绩导入'!$F$4:$F$1500="实绩销售额")*('系统实绩导入'!$G$3:$R$3&lt;=$F$1)*'系统实绩导入'!$G$4:$R$1500))</f>
        <v/>
      </c>
      <c r="K70" s="38">
        <f>IF($B70="","",SUMPRODUCT(('系统实绩导入'!$B$4:$B$1500=$B70)*('系统实绩导入'!$C$4:$C$1500=$C70)*('系统实绩导入'!$D$4:$D$1500=$D70)*('系统实绩导入'!$F$4:$F$1500="实绩毛利")*('系统实绩导入'!$G$3:$R$3&lt;=$F$1)*'系统实绩导入'!$G$4:$R$1500))</f>
        <v/>
      </c>
      <c r="L70" s="39">
        <f>IF($B70="","",IFERROR(K70/J70,""))</f>
        <v/>
      </c>
      <c r="M70" s="38">
        <f>IF($B70="","",SUMIFS('目标填报'!$S$4:$S$1500,'目标填报'!$B$4:$B$1500,$B70,'目标填报'!$C$4:$C$1500,$C70,'目标填报'!$D$4:$D$1500,$D70,'目标填报'!$F$4:$F$1500,"销售目标额"))</f>
        <v/>
      </c>
      <c r="N70" s="39">
        <f>IF($B70="","",IFERROR(J70/M70,""))</f>
        <v/>
      </c>
      <c r="O70" s="40">
        <f>IF($B70="","",J70-M70)</f>
        <v/>
      </c>
      <c r="P70" s="38">
        <f>IF($B70="","",SUMPRODUCT(('目标填报'!$B$4:$B$1500=$B70)*('目标填报'!$C$4:$C$1500=$C70)*('目标填报'!$D$4:$D$1500=$D70)*('目标填报'!$F$4:$F$1500="在手订单")*('目标填报'!$G$3:$R$3=$F$1)*'目标填报'!$G$4:$R$1500))</f>
        <v/>
      </c>
      <c r="Q70" s="38">
        <f>IF($B70="","",SUMPRODUCT(('目标填报'!$B$4:$B$1500=$B70)*('目标填报'!$C$4:$C$1500=$C70)*('目标填报'!$D$4:$D$1500=$D70)*('目标填报'!$F$4:$F$1500="在手订单目标")*('目标填报'!$G$3:$R$3=$F$1)*'目标填报'!$G$4:$R$1500))</f>
        <v/>
      </c>
      <c r="R70" s="39">
        <f>IF($B70="","",IFERROR(P70/Q70,""))</f>
        <v/>
      </c>
      <c r="S70" s="38">
        <f>IF($B70="","",SUMPRODUCT(('目标填报'!$B$4:$B$1500=$B70)*('目标填报'!$C$4:$C$1500=$C70)*('目标填报'!$D$4:$D$1500=$D70)*('目标填报'!$F$4:$F$1500="目标客户机会")*('目标填报'!$G$3:$R$3=$F$1)*'目标填报'!$G$4:$R$1500))</f>
        <v/>
      </c>
      <c r="T70" s="38">
        <f>IF($B70="","",SUMPRODUCT(('目标填报'!$B$4:$B$1500=$B70)*('目标填报'!$C$4:$C$1500=$C70)*('目标填报'!$D$4:$D$1500=$D70)*('目标填报'!$F$4:$F$1500="目标客户机会目标")*('目标填报'!$G$3:$R$3=$F$1)*'目标填报'!$G$4:$R$1500))</f>
        <v/>
      </c>
      <c r="U70" s="39">
        <f>IF($B70="","",IFERROR(S70/T70,""))</f>
        <v/>
      </c>
      <c r="V70" s="38">
        <f>IF($B70="","",P70+S70)</f>
        <v/>
      </c>
      <c r="W70" s="38">
        <f>IF($B70="","",M70-J70)</f>
        <v/>
      </c>
      <c r="X70" s="39">
        <f>IF($B70="","",IFERROR(V70/W70,""))</f>
        <v/>
      </c>
      <c r="Y70" s="40">
        <f>IF($B70="","",V70-W70)</f>
        <v/>
      </c>
    </row>
    <row r="71">
      <c r="A71" s="37">
        <f>IF($B71="","",ROW()-3)</f>
        <v/>
      </c>
      <c r="B71" s="13">
        <f>IF(67+1&gt;COUNTA('维度字典'!$C$2:$C$200)*COUNTA('维度字典'!$A$2:$A$200)*COUNTA('维度字典'!$E$2:$E$200),"",INDEX('维度字典'!$C$2:$C$200,MOD(INT(67/(COUNTA('维度字典'!$E$2:$E$200)*COUNTA('维度字典'!$A$2:$A$200))),COUNTA('维度字典'!$C$2:$C$200))+1))</f>
        <v/>
      </c>
      <c r="C71" s="13">
        <f>IF($B71="","",INDEX('维度字典'!$A$2:$A$200,MOD(INT(67/COUNTA('维度字典'!$E$2:$E$200)),COUNTA('维度字典'!$A$2:$A$200))+1))</f>
        <v/>
      </c>
      <c r="D71" s="13">
        <f>IF($B71="","",INDEX('维度字典'!$E$2:$E$200,MOD(67,COUNTA('维度字典'!$E$2:$E$200))+1))</f>
        <v/>
      </c>
      <c r="E71" s="38">
        <f>IF($B71="","",SUMPRODUCT(('系统实绩导入'!$B$4:$B$1500=$B71)*('系统实绩导入'!$C$4:$C$1500=$C71)*('系统实绩导入'!$D$4:$D$1500=$D71)*('系统实绩导入'!$F$4:$F$1500="实绩销售额")*('系统实绩导入'!$G$3:$R$3=$F$1)*'系统实绩导入'!$G$4:$R$1500))</f>
        <v/>
      </c>
      <c r="F71" s="38">
        <f>IF($B71="","",SUMPRODUCT(('系统实绩导入'!$B$4:$B$1500=$B71)*('系统实绩导入'!$C$4:$C$1500=$C71)*('系统实绩导入'!$D$4:$D$1500=$D71)*('系统实绩导入'!$F$4:$F$1500="实绩毛利")*('系统实绩导入'!$G$3:$R$3=$F$1)*'系统实绩导入'!$G$4:$R$1500))</f>
        <v/>
      </c>
      <c r="G71" s="39">
        <f>IF($B71="","",IFERROR(F71/E71,""))</f>
        <v/>
      </c>
      <c r="H71" s="38">
        <f>IF($B71="","",SUMPRODUCT(('目标填报'!$B$4:$B$1500=$B71)*('目标填报'!$C$4:$C$1500=$C71)*('目标填报'!$D$4:$D$1500=$D71)*('目标填报'!$F$4:$F$1500="销售目标额")*('目标填报'!$G$3:$R$3=$F$1)*'目标填报'!$G$4:$R$1500))</f>
        <v/>
      </c>
      <c r="I71" s="39">
        <f>IF($B71="","",IFERROR(E71/H71,""))</f>
        <v/>
      </c>
      <c r="J71" s="38">
        <f>IF($B71="","",SUMPRODUCT(('系统实绩导入'!$B$4:$B$1500=$B71)*('系统实绩导入'!$C$4:$C$1500=$C71)*('系统实绩导入'!$D$4:$D$1500=$D71)*('系统实绩导入'!$F$4:$F$1500="实绩销售额")*('系统实绩导入'!$G$3:$R$3&lt;=$F$1)*'系统实绩导入'!$G$4:$R$1500))</f>
        <v/>
      </c>
      <c r="K71" s="38">
        <f>IF($B71="","",SUMPRODUCT(('系统实绩导入'!$B$4:$B$1500=$B71)*('系统实绩导入'!$C$4:$C$1500=$C71)*('系统实绩导入'!$D$4:$D$1500=$D71)*('系统实绩导入'!$F$4:$F$1500="实绩毛利")*('系统实绩导入'!$G$3:$R$3&lt;=$F$1)*'系统实绩导入'!$G$4:$R$1500))</f>
        <v/>
      </c>
      <c r="L71" s="39">
        <f>IF($B71="","",IFERROR(K71/J71,""))</f>
        <v/>
      </c>
      <c r="M71" s="38">
        <f>IF($B71="","",SUMIFS('目标填报'!$S$4:$S$1500,'目标填报'!$B$4:$B$1500,$B71,'目标填报'!$C$4:$C$1500,$C71,'目标填报'!$D$4:$D$1500,$D71,'目标填报'!$F$4:$F$1500,"销售目标额"))</f>
        <v/>
      </c>
      <c r="N71" s="39">
        <f>IF($B71="","",IFERROR(J71/M71,""))</f>
        <v/>
      </c>
      <c r="O71" s="40">
        <f>IF($B71="","",J71-M71)</f>
        <v/>
      </c>
      <c r="P71" s="38">
        <f>IF($B71="","",SUMPRODUCT(('目标填报'!$B$4:$B$1500=$B71)*('目标填报'!$C$4:$C$1500=$C71)*('目标填报'!$D$4:$D$1500=$D71)*('目标填报'!$F$4:$F$1500="在手订单")*('目标填报'!$G$3:$R$3=$F$1)*'目标填报'!$G$4:$R$1500))</f>
        <v/>
      </c>
      <c r="Q71" s="38">
        <f>IF($B71="","",SUMPRODUCT(('目标填报'!$B$4:$B$1500=$B71)*('目标填报'!$C$4:$C$1500=$C71)*('目标填报'!$D$4:$D$1500=$D71)*('目标填报'!$F$4:$F$1500="在手订单目标")*('目标填报'!$G$3:$R$3=$F$1)*'目标填报'!$G$4:$R$1500))</f>
        <v/>
      </c>
      <c r="R71" s="39">
        <f>IF($B71="","",IFERROR(P71/Q71,""))</f>
        <v/>
      </c>
      <c r="S71" s="38">
        <f>IF($B71="","",SUMPRODUCT(('目标填报'!$B$4:$B$1500=$B71)*('目标填报'!$C$4:$C$1500=$C71)*('目标填报'!$D$4:$D$1500=$D71)*('目标填报'!$F$4:$F$1500="目标客户机会")*('目标填报'!$G$3:$R$3=$F$1)*'目标填报'!$G$4:$R$1500))</f>
        <v/>
      </c>
      <c r="T71" s="38">
        <f>IF($B71="","",SUMPRODUCT(('目标填报'!$B$4:$B$1500=$B71)*('目标填报'!$C$4:$C$1500=$C71)*('目标填报'!$D$4:$D$1500=$D71)*('目标填报'!$F$4:$F$1500="目标客户机会目标")*('目标填报'!$G$3:$R$3=$F$1)*'目标填报'!$G$4:$R$1500))</f>
        <v/>
      </c>
      <c r="U71" s="39">
        <f>IF($B71="","",IFERROR(S71/T71,""))</f>
        <v/>
      </c>
      <c r="V71" s="38">
        <f>IF($B71="","",P71+S71)</f>
        <v/>
      </c>
      <c r="W71" s="38">
        <f>IF($B71="","",M71-J71)</f>
        <v/>
      </c>
      <c r="X71" s="39">
        <f>IF($B71="","",IFERROR(V71/W71,""))</f>
        <v/>
      </c>
      <c r="Y71" s="40">
        <f>IF($B71="","",V71-W71)</f>
        <v/>
      </c>
    </row>
    <row r="72">
      <c r="A72" s="37">
        <f>IF($B72="","",ROW()-3)</f>
        <v/>
      </c>
      <c r="B72" s="13">
        <f>IF(68+1&gt;COUNTA('维度字典'!$C$2:$C$200)*COUNTA('维度字典'!$A$2:$A$200)*COUNTA('维度字典'!$E$2:$E$200),"",INDEX('维度字典'!$C$2:$C$200,MOD(INT(68/(COUNTA('维度字典'!$E$2:$E$200)*COUNTA('维度字典'!$A$2:$A$200))),COUNTA('维度字典'!$C$2:$C$200))+1))</f>
        <v/>
      </c>
      <c r="C72" s="13">
        <f>IF($B72="","",INDEX('维度字典'!$A$2:$A$200,MOD(INT(68/COUNTA('维度字典'!$E$2:$E$200)),COUNTA('维度字典'!$A$2:$A$200))+1))</f>
        <v/>
      </c>
      <c r="D72" s="13">
        <f>IF($B72="","",INDEX('维度字典'!$E$2:$E$200,MOD(68,COUNTA('维度字典'!$E$2:$E$200))+1))</f>
        <v/>
      </c>
      <c r="E72" s="38">
        <f>IF($B72="","",SUMPRODUCT(('系统实绩导入'!$B$4:$B$1500=$B72)*('系统实绩导入'!$C$4:$C$1500=$C72)*('系统实绩导入'!$D$4:$D$1500=$D72)*('系统实绩导入'!$F$4:$F$1500="实绩销售额")*('系统实绩导入'!$G$3:$R$3=$F$1)*'系统实绩导入'!$G$4:$R$1500))</f>
        <v/>
      </c>
      <c r="F72" s="38">
        <f>IF($B72="","",SUMPRODUCT(('系统实绩导入'!$B$4:$B$1500=$B72)*('系统实绩导入'!$C$4:$C$1500=$C72)*('系统实绩导入'!$D$4:$D$1500=$D72)*('系统实绩导入'!$F$4:$F$1500="实绩毛利")*('系统实绩导入'!$G$3:$R$3=$F$1)*'系统实绩导入'!$G$4:$R$1500))</f>
        <v/>
      </c>
      <c r="G72" s="39">
        <f>IF($B72="","",IFERROR(F72/E72,""))</f>
        <v/>
      </c>
      <c r="H72" s="38">
        <f>IF($B72="","",SUMPRODUCT(('目标填报'!$B$4:$B$1500=$B72)*('目标填报'!$C$4:$C$1500=$C72)*('目标填报'!$D$4:$D$1500=$D72)*('目标填报'!$F$4:$F$1500="销售目标额")*('目标填报'!$G$3:$R$3=$F$1)*'目标填报'!$G$4:$R$1500))</f>
        <v/>
      </c>
      <c r="I72" s="39">
        <f>IF($B72="","",IFERROR(E72/H72,""))</f>
        <v/>
      </c>
      <c r="J72" s="38">
        <f>IF($B72="","",SUMPRODUCT(('系统实绩导入'!$B$4:$B$1500=$B72)*('系统实绩导入'!$C$4:$C$1500=$C72)*('系统实绩导入'!$D$4:$D$1500=$D72)*('系统实绩导入'!$F$4:$F$1500="实绩销售额")*('系统实绩导入'!$G$3:$R$3&lt;=$F$1)*'系统实绩导入'!$G$4:$R$1500))</f>
        <v/>
      </c>
      <c r="K72" s="38">
        <f>IF($B72="","",SUMPRODUCT(('系统实绩导入'!$B$4:$B$1500=$B72)*('系统实绩导入'!$C$4:$C$1500=$C72)*('系统实绩导入'!$D$4:$D$1500=$D72)*('系统实绩导入'!$F$4:$F$1500="实绩毛利")*('系统实绩导入'!$G$3:$R$3&lt;=$F$1)*'系统实绩导入'!$G$4:$R$1500))</f>
        <v/>
      </c>
      <c r="L72" s="39">
        <f>IF($B72="","",IFERROR(K72/J72,""))</f>
        <v/>
      </c>
      <c r="M72" s="38">
        <f>IF($B72="","",SUMIFS('目标填报'!$S$4:$S$1500,'目标填报'!$B$4:$B$1500,$B72,'目标填报'!$C$4:$C$1500,$C72,'目标填报'!$D$4:$D$1500,$D72,'目标填报'!$F$4:$F$1500,"销售目标额"))</f>
        <v/>
      </c>
      <c r="N72" s="39">
        <f>IF($B72="","",IFERROR(J72/M72,""))</f>
        <v/>
      </c>
      <c r="O72" s="40">
        <f>IF($B72="","",J72-M72)</f>
        <v/>
      </c>
      <c r="P72" s="38">
        <f>IF($B72="","",SUMPRODUCT(('目标填报'!$B$4:$B$1500=$B72)*('目标填报'!$C$4:$C$1500=$C72)*('目标填报'!$D$4:$D$1500=$D72)*('目标填报'!$F$4:$F$1500="在手订单")*('目标填报'!$G$3:$R$3=$F$1)*'目标填报'!$G$4:$R$1500))</f>
        <v/>
      </c>
      <c r="Q72" s="38">
        <f>IF($B72="","",SUMPRODUCT(('目标填报'!$B$4:$B$1500=$B72)*('目标填报'!$C$4:$C$1500=$C72)*('目标填报'!$D$4:$D$1500=$D72)*('目标填报'!$F$4:$F$1500="在手订单目标")*('目标填报'!$G$3:$R$3=$F$1)*'目标填报'!$G$4:$R$1500))</f>
        <v/>
      </c>
      <c r="R72" s="39">
        <f>IF($B72="","",IFERROR(P72/Q72,""))</f>
        <v/>
      </c>
      <c r="S72" s="38">
        <f>IF($B72="","",SUMPRODUCT(('目标填报'!$B$4:$B$1500=$B72)*('目标填报'!$C$4:$C$1500=$C72)*('目标填报'!$D$4:$D$1500=$D72)*('目标填报'!$F$4:$F$1500="目标客户机会")*('目标填报'!$G$3:$R$3=$F$1)*'目标填报'!$G$4:$R$1500))</f>
        <v/>
      </c>
      <c r="T72" s="38">
        <f>IF($B72="","",SUMPRODUCT(('目标填报'!$B$4:$B$1500=$B72)*('目标填报'!$C$4:$C$1500=$C72)*('目标填报'!$D$4:$D$1500=$D72)*('目标填报'!$F$4:$F$1500="目标客户机会目标")*('目标填报'!$G$3:$R$3=$F$1)*'目标填报'!$G$4:$R$1500))</f>
        <v/>
      </c>
      <c r="U72" s="39">
        <f>IF($B72="","",IFERROR(S72/T72,""))</f>
        <v/>
      </c>
      <c r="V72" s="38">
        <f>IF($B72="","",P72+S72)</f>
        <v/>
      </c>
      <c r="W72" s="38">
        <f>IF($B72="","",M72-J72)</f>
        <v/>
      </c>
      <c r="X72" s="39">
        <f>IF($B72="","",IFERROR(V72/W72,""))</f>
        <v/>
      </c>
      <c r="Y72" s="40">
        <f>IF($B72="","",V72-W72)</f>
        <v/>
      </c>
    </row>
    <row r="73">
      <c r="A73" s="37">
        <f>IF($B73="","",ROW()-3)</f>
        <v/>
      </c>
      <c r="B73" s="13">
        <f>IF(69+1&gt;COUNTA('维度字典'!$C$2:$C$200)*COUNTA('维度字典'!$A$2:$A$200)*COUNTA('维度字典'!$E$2:$E$200),"",INDEX('维度字典'!$C$2:$C$200,MOD(INT(69/(COUNTA('维度字典'!$E$2:$E$200)*COUNTA('维度字典'!$A$2:$A$200))),COUNTA('维度字典'!$C$2:$C$200))+1))</f>
        <v/>
      </c>
      <c r="C73" s="13">
        <f>IF($B73="","",INDEX('维度字典'!$A$2:$A$200,MOD(INT(69/COUNTA('维度字典'!$E$2:$E$200)),COUNTA('维度字典'!$A$2:$A$200))+1))</f>
        <v/>
      </c>
      <c r="D73" s="13">
        <f>IF($B73="","",INDEX('维度字典'!$E$2:$E$200,MOD(69,COUNTA('维度字典'!$E$2:$E$200))+1))</f>
        <v/>
      </c>
      <c r="E73" s="38">
        <f>IF($B73="","",SUMPRODUCT(('系统实绩导入'!$B$4:$B$1500=$B73)*('系统实绩导入'!$C$4:$C$1500=$C73)*('系统实绩导入'!$D$4:$D$1500=$D73)*('系统实绩导入'!$F$4:$F$1500="实绩销售额")*('系统实绩导入'!$G$3:$R$3=$F$1)*'系统实绩导入'!$G$4:$R$1500))</f>
        <v/>
      </c>
      <c r="F73" s="38">
        <f>IF($B73="","",SUMPRODUCT(('系统实绩导入'!$B$4:$B$1500=$B73)*('系统实绩导入'!$C$4:$C$1500=$C73)*('系统实绩导入'!$D$4:$D$1500=$D73)*('系统实绩导入'!$F$4:$F$1500="实绩毛利")*('系统实绩导入'!$G$3:$R$3=$F$1)*'系统实绩导入'!$G$4:$R$1500))</f>
        <v/>
      </c>
      <c r="G73" s="39">
        <f>IF($B73="","",IFERROR(F73/E73,""))</f>
        <v/>
      </c>
      <c r="H73" s="38">
        <f>IF($B73="","",SUMPRODUCT(('目标填报'!$B$4:$B$1500=$B73)*('目标填报'!$C$4:$C$1500=$C73)*('目标填报'!$D$4:$D$1500=$D73)*('目标填报'!$F$4:$F$1500="销售目标额")*('目标填报'!$G$3:$R$3=$F$1)*'目标填报'!$G$4:$R$1500))</f>
        <v/>
      </c>
      <c r="I73" s="39">
        <f>IF($B73="","",IFERROR(E73/H73,""))</f>
        <v/>
      </c>
      <c r="J73" s="38">
        <f>IF($B73="","",SUMPRODUCT(('系统实绩导入'!$B$4:$B$1500=$B73)*('系统实绩导入'!$C$4:$C$1500=$C73)*('系统实绩导入'!$D$4:$D$1500=$D73)*('系统实绩导入'!$F$4:$F$1500="实绩销售额")*('系统实绩导入'!$G$3:$R$3&lt;=$F$1)*'系统实绩导入'!$G$4:$R$1500))</f>
        <v/>
      </c>
      <c r="K73" s="38">
        <f>IF($B73="","",SUMPRODUCT(('系统实绩导入'!$B$4:$B$1500=$B73)*('系统实绩导入'!$C$4:$C$1500=$C73)*('系统实绩导入'!$D$4:$D$1500=$D73)*('系统实绩导入'!$F$4:$F$1500="实绩毛利")*('系统实绩导入'!$G$3:$R$3&lt;=$F$1)*'系统实绩导入'!$G$4:$R$1500))</f>
        <v/>
      </c>
      <c r="L73" s="39">
        <f>IF($B73="","",IFERROR(K73/J73,""))</f>
        <v/>
      </c>
      <c r="M73" s="38">
        <f>IF($B73="","",SUMIFS('目标填报'!$S$4:$S$1500,'目标填报'!$B$4:$B$1500,$B73,'目标填报'!$C$4:$C$1500,$C73,'目标填报'!$D$4:$D$1500,$D73,'目标填报'!$F$4:$F$1500,"销售目标额"))</f>
        <v/>
      </c>
      <c r="N73" s="39">
        <f>IF($B73="","",IFERROR(J73/M73,""))</f>
        <v/>
      </c>
      <c r="O73" s="40">
        <f>IF($B73="","",J73-M73)</f>
        <v/>
      </c>
      <c r="P73" s="38">
        <f>IF($B73="","",SUMPRODUCT(('目标填报'!$B$4:$B$1500=$B73)*('目标填报'!$C$4:$C$1500=$C73)*('目标填报'!$D$4:$D$1500=$D73)*('目标填报'!$F$4:$F$1500="在手订单")*('目标填报'!$G$3:$R$3=$F$1)*'目标填报'!$G$4:$R$1500))</f>
        <v/>
      </c>
      <c r="Q73" s="38">
        <f>IF($B73="","",SUMPRODUCT(('目标填报'!$B$4:$B$1500=$B73)*('目标填报'!$C$4:$C$1500=$C73)*('目标填报'!$D$4:$D$1500=$D73)*('目标填报'!$F$4:$F$1500="在手订单目标")*('目标填报'!$G$3:$R$3=$F$1)*'目标填报'!$G$4:$R$1500))</f>
        <v/>
      </c>
      <c r="R73" s="39">
        <f>IF($B73="","",IFERROR(P73/Q73,""))</f>
        <v/>
      </c>
      <c r="S73" s="38">
        <f>IF($B73="","",SUMPRODUCT(('目标填报'!$B$4:$B$1500=$B73)*('目标填报'!$C$4:$C$1500=$C73)*('目标填报'!$D$4:$D$1500=$D73)*('目标填报'!$F$4:$F$1500="目标客户机会")*('目标填报'!$G$3:$R$3=$F$1)*'目标填报'!$G$4:$R$1500))</f>
        <v/>
      </c>
      <c r="T73" s="38">
        <f>IF($B73="","",SUMPRODUCT(('目标填报'!$B$4:$B$1500=$B73)*('目标填报'!$C$4:$C$1500=$C73)*('目标填报'!$D$4:$D$1500=$D73)*('目标填报'!$F$4:$F$1500="目标客户机会目标")*('目标填报'!$G$3:$R$3=$F$1)*'目标填报'!$G$4:$R$1500))</f>
        <v/>
      </c>
      <c r="U73" s="39">
        <f>IF($B73="","",IFERROR(S73/T73,""))</f>
        <v/>
      </c>
      <c r="V73" s="38">
        <f>IF($B73="","",P73+S73)</f>
        <v/>
      </c>
      <c r="W73" s="38">
        <f>IF($B73="","",M73-J73)</f>
        <v/>
      </c>
      <c r="X73" s="39">
        <f>IF($B73="","",IFERROR(V73/W73,""))</f>
        <v/>
      </c>
      <c r="Y73" s="40">
        <f>IF($B73="","",V73-W73)</f>
        <v/>
      </c>
    </row>
    <row r="74">
      <c r="A74" s="37">
        <f>IF($B74="","",ROW()-3)</f>
        <v/>
      </c>
      <c r="B74" s="13">
        <f>IF(70+1&gt;COUNTA('维度字典'!$C$2:$C$200)*COUNTA('维度字典'!$A$2:$A$200)*COUNTA('维度字典'!$E$2:$E$200),"",INDEX('维度字典'!$C$2:$C$200,MOD(INT(70/(COUNTA('维度字典'!$E$2:$E$200)*COUNTA('维度字典'!$A$2:$A$200))),COUNTA('维度字典'!$C$2:$C$200))+1))</f>
        <v/>
      </c>
      <c r="C74" s="13">
        <f>IF($B74="","",INDEX('维度字典'!$A$2:$A$200,MOD(INT(70/COUNTA('维度字典'!$E$2:$E$200)),COUNTA('维度字典'!$A$2:$A$200))+1))</f>
        <v/>
      </c>
      <c r="D74" s="13">
        <f>IF($B74="","",INDEX('维度字典'!$E$2:$E$200,MOD(70,COUNTA('维度字典'!$E$2:$E$200))+1))</f>
        <v/>
      </c>
      <c r="E74" s="38">
        <f>IF($B74="","",SUMPRODUCT(('系统实绩导入'!$B$4:$B$1500=$B74)*('系统实绩导入'!$C$4:$C$1500=$C74)*('系统实绩导入'!$D$4:$D$1500=$D74)*('系统实绩导入'!$F$4:$F$1500="实绩销售额")*('系统实绩导入'!$G$3:$R$3=$F$1)*'系统实绩导入'!$G$4:$R$1500))</f>
        <v/>
      </c>
      <c r="F74" s="38">
        <f>IF($B74="","",SUMPRODUCT(('系统实绩导入'!$B$4:$B$1500=$B74)*('系统实绩导入'!$C$4:$C$1500=$C74)*('系统实绩导入'!$D$4:$D$1500=$D74)*('系统实绩导入'!$F$4:$F$1500="实绩毛利")*('系统实绩导入'!$G$3:$R$3=$F$1)*'系统实绩导入'!$G$4:$R$1500))</f>
        <v/>
      </c>
      <c r="G74" s="39">
        <f>IF($B74="","",IFERROR(F74/E74,""))</f>
        <v/>
      </c>
      <c r="H74" s="38">
        <f>IF($B74="","",SUMPRODUCT(('目标填报'!$B$4:$B$1500=$B74)*('目标填报'!$C$4:$C$1500=$C74)*('目标填报'!$D$4:$D$1500=$D74)*('目标填报'!$F$4:$F$1500="销售目标额")*('目标填报'!$G$3:$R$3=$F$1)*'目标填报'!$G$4:$R$1500))</f>
        <v/>
      </c>
      <c r="I74" s="39">
        <f>IF($B74="","",IFERROR(E74/H74,""))</f>
        <v/>
      </c>
      <c r="J74" s="38">
        <f>IF($B74="","",SUMPRODUCT(('系统实绩导入'!$B$4:$B$1500=$B74)*('系统实绩导入'!$C$4:$C$1500=$C74)*('系统实绩导入'!$D$4:$D$1500=$D74)*('系统实绩导入'!$F$4:$F$1500="实绩销售额")*('系统实绩导入'!$G$3:$R$3&lt;=$F$1)*'系统实绩导入'!$G$4:$R$1500))</f>
        <v/>
      </c>
      <c r="K74" s="38">
        <f>IF($B74="","",SUMPRODUCT(('系统实绩导入'!$B$4:$B$1500=$B74)*('系统实绩导入'!$C$4:$C$1500=$C74)*('系统实绩导入'!$D$4:$D$1500=$D74)*('系统实绩导入'!$F$4:$F$1500="实绩毛利")*('系统实绩导入'!$G$3:$R$3&lt;=$F$1)*'系统实绩导入'!$G$4:$R$1500))</f>
        <v/>
      </c>
      <c r="L74" s="39">
        <f>IF($B74="","",IFERROR(K74/J74,""))</f>
        <v/>
      </c>
      <c r="M74" s="38">
        <f>IF($B74="","",SUMIFS('目标填报'!$S$4:$S$1500,'目标填报'!$B$4:$B$1500,$B74,'目标填报'!$C$4:$C$1500,$C74,'目标填报'!$D$4:$D$1500,$D74,'目标填报'!$F$4:$F$1500,"销售目标额"))</f>
        <v/>
      </c>
      <c r="N74" s="39">
        <f>IF($B74="","",IFERROR(J74/M74,""))</f>
        <v/>
      </c>
      <c r="O74" s="40">
        <f>IF($B74="","",J74-M74)</f>
        <v/>
      </c>
      <c r="P74" s="38">
        <f>IF($B74="","",SUMPRODUCT(('目标填报'!$B$4:$B$1500=$B74)*('目标填报'!$C$4:$C$1500=$C74)*('目标填报'!$D$4:$D$1500=$D74)*('目标填报'!$F$4:$F$1500="在手订单")*('目标填报'!$G$3:$R$3=$F$1)*'目标填报'!$G$4:$R$1500))</f>
        <v/>
      </c>
      <c r="Q74" s="38">
        <f>IF($B74="","",SUMPRODUCT(('目标填报'!$B$4:$B$1500=$B74)*('目标填报'!$C$4:$C$1500=$C74)*('目标填报'!$D$4:$D$1500=$D74)*('目标填报'!$F$4:$F$1500="在手订单目标")*('目标填报'!$G$3:$R$3=$F$1)*'目标填报'!$G$4:$R$1500))</f>
        <v/>
      </c>
      <c r="R74" s="39">
        <f>IF($B74="","",IFERROR(P74/Q74,""))</f>
        <v/>
      </c>
      <c r="S74" s="38">
        <f>IF($B74="","",SUMPRODUCT(('目标填报'!$B$4:$B$1500=$B74)*('目标填报'!$C$4:$C$1500=$C74)*('目标填报'!$D$4:$D$1500=$D74)*('目标填报'!$F$4:$F$1500="目标客户机会")*('目标填报'!$G$3:$R$3=$F$1)*'目标填报'!$G$4:$R$1500))</f>
        <v/>
      </c>
      <c r="T74" s="38">
        <f>IF($B74="","",SUMPRODUCT(('目标填报'!$B$4:$B$1500=$B74)*('目标填报'!$C$4:$C$1500=$C74)*('目标填报'!$D$4:$D$1500=$D74)*('目标填报'!$F$4:$F$1500="目标客户机会目标")*('目标填报'!$G$3:$R$3=$F$1)*'目标填报'!$G$4:$R$1500))</f>
        <v/>
      </c>
      <c r="U74" s="39">
        <f>IF($B74="","",IFERROR(S74/T74,""))</f>
        <v/>
      </c>
      <c r="V74" s="38">
        <f>IF($B74="","",P74+S74)</f>
        <v/>
      </c>
      <c r="W74" s="38">
        <f>IF($B74="","",M74-J74)</f>
        <v/>
      </c>
      <c r="X74" s="39">
        <f>IF($B74="","",IFERROR(V74/W74,""))</f>
        <v/>
      </c>
      <c r="Y74" s="40">
        <f>IF($B74="","",V74-W74)</f>
        <v/>
      </c>
    </row>
    <row r="75">
      <c r="A75" s="37">
        <f>IF($B75="","",ROW()-3)</f>
        <v/>
      </c>
      <c r="B75" s="13">
        <f>IF(71+1&gt;COUNTA('维度字典'!$C$2:$C$200)*COUNTA('维度字典'!$A$2:$A$200)*COUNTA('维度字典'!$E$2:$E$200),"",INDEX('维度字典'!$C$2:$C$200,MOD(INT(71/(COUNTA('维度字典'!$E$2:$E$200)*COUNTA('维度字典'!$A$2:$A$200))),COUNTA('维度字典'!$C$2:$C$200))+1))</f>
        <v/>
      </c>
      <c r="C75" s="13">
        <f>IF($B75="","",INDEX('维度字典'!$A$2:$A$200,MOD(INT(71/COUNTA('维度字典'!$E$2:$E$200)),COUNTA('维度字典'!$A$2:$A$200))+1))</f>
        <v/>
      </c>
      <c r="D75" s="13">
        <f>IF($B75="","",INDEX('维度字典'!$E$2:$E$200,MOD(71,COUNTA('维度字典'!$E$2:$E$200))+1))</f>
        <v/>
      </c>
      <c r="E75" s="38">
        <f>IF($B75="","",SUMPRODUCT(('系统实绩导入'!$B$4:$B$1500=$B75)*('系统实绩导入'!$C$4:$C$1500=$C75)*('系统实绩导入'!$D$4:$D$1500=$D75)*('系统实绩导入'!$F$4:$F$1500="实绩销售额")*('系统实绩导入'!$G$3:$R$3=$F$1)*'系统实绩导入'!$G$4:$R$1500))</f>
        <v/>
      </c>
      <c r="F75" s="38">
        <f>IF($B75="","",SUMPRODUCT(('系统实绩导入'!$B$4:$B$1500=$B75)*('系统实绩导入'!$C$4:$C$1500=$C75)*('系统实绩导入'!$D$4:$D$1500=$D75)*('系统实绩导入'!$F$4:$F$1500="实绩毛利")*('系统实绩导入'!$G$3:$R$3=$F$1)*'系统实绩导入'!$G$4:$R$1500))</f>
        <v/>
      </c>
      <c r="G75" s="39">
        <f>IF($B75="","",IFERROR(F75/E75,""))</f>
        <v/>
      </c>
      <c r="H75" s="38">
        <f>IF($B75="","",SUMPRODUCT(('目标填报'!$B$4:$B$1500=$B75)*('目标填报'!$C$4:$C$1500=$C75)*('目标填报'!$D$4:$D$1500=$D75)*('目标填报'!$F$4:$F$1500="销售目标额")*('目标填报'!$G$3:$R$3=$F$1)*'目标填报'!$G$4:$R$1500))</f>
        <v/>
      </c>
      <c r="I75" s="39">
        <f>IF($B75="","",IFERROR(E75/H75,""))</f>
        <v/>
      </c>
      <c r="J75" s="38">
        <f>IF($B75="","",SUMPRODUCT(('系统实绩导入'!$B$4:$B$1500=$B75)*('系统实绩导入'!$C$4:$C$1500=$C75)*('系统实绩导入'!$D$4:$D$1500=$D75)*('系统实绩导入'!$F$4:$F$1500="实绩销售额")*('系统实绩导入'!$G$3:$R$3&lt;=$F$1)*'系统实绩导入'!$G$4:$R$1500))</f>
        <v/>
      </c>
      <c r="K75" s="38">
        <f>IF($B75="","",SUMPRODUCT(('系统实绩导入'!$B$4:$B$1500=$B75)*('系统实绩导入'!$C$4:$C$1500=$C75)*('系统实绩导入'!$D$4:$D$1500=$D75)*('系统实绩导入'!$F$4:$F$1500="实绩毛利")*('系统实绩导入'!$G$3:$R$3&lt;=$F$1)*'系统实绩导入'!$G$4:$R$1500))</f>
        <v/>
      </c>
      <c r="L75" s="39">
        <f>IF($B75="","",IFERROR(K75/J75,""))</f>
        <v/>
      </c>
      <c r="M75" s="38">
        <f>IF($B75="","",SUMIFS('目标填报'!$S$4:$S$1500,'目标填报'!$B$4:$B$1500,$B75,'目标填报'!$C$4:$C$1500,$C75,'目标填报'!$D$4:$D$1500,$D75,'目标填报'!$F$4:$F$1500,"销售目标额"))</f>
        <v/>
      </c>
      <c r="N75" s="39">
        <f>IF($B75="","",IFERROR(J75/M75,""))</f>
        <v/>
      </c>
      <c r="O75" s="40">
        <f>IF($B75="","",J75-M75)</f>
        <v/>
      </c>
      <c r="P75" s="38">
        <f>IF($B75="","",SUMPRODUCT(('目标填报'!$B$4:$B$1500=$B75)*('目标填报'!$C$4:$C$1500=$C75)*('目标填报'!$D$4:$D$1500=$D75)*('目标填报'!$F$4:$F$1500="在手订单")*('目标填报'!$G$3:$R$3=$F$1)*'目标填报'!$G$4:$R$1500))</f>
        <v/>
      </c>
      <c r="Q75" s="38">
        <f>IF($B75="","",SUMPRODUCT(('目标填报'!$B$4:$B$1500=$B75)*('目标填报'!$C$4:$C$1500=$C75)*('目标填报'!$D$4:$D$1500=$D75)*('目标填报'!$F$4:$F$1500="在手订单目标")*('目标填报'!$G$3:$R$3=$F$1)*'目标填报'!$G$4:$R$1500))</f>
        <v/>
      </c>
      <c r="R75" s="39">
        <f>IF($B75="","",IFERROR(P75/Q75,""))</f>
        <v/>
      </c>
      <c r="S75" s="38">
        <f>IF($B75="","",SUMPRODUCT(('目标填报'!$B$4:$B$1500=$B75)*('目标填报'!$C$4:$C$1500=$C75)*('目标填报'!$D$4:$D$1500=$D75)*('目标填报'!$F$4:$F$1500="目标客户机会")*('目标填报'!$G$3:$R$3=$F$1)*'目标填报'!$G$4:$R$1500))</f>
        <v/>
      </c>
      <c r="T75" s="38">
        <f>IF($B75="","",SUMPRODUCT(('目标填报'!$B$4:$B$1500=$B75)*('目标填报'!$C$4:$C$1500=$C75)*('目标填报'!$D$4:$D$1500=$D75)*('目标填报'!$F$4:$F$1500="目标客户机会目标")*('目标填报'!$G$3:$R$3=$F$1)*'目标填报'!$G$4:$R$1500))</f>
        <v/>
      </c>
      <c r="U75" s="39">
        <f>IF($B75="","",IFERROR(S75/T75,""))</f>
        <v/>
      </c>
      <c r="V75" s="38">
        <f>IF($B75="","",P75+S75)</f>
        <v/>
      </c>
      <c r="W75" s="38">
        <f>IF($B75="","",M75-J75)</f>
        <v/>
      </c>
      <c r="X75" s="39">
        <f>IF($B75="","",IFERROR(V75/W75,""))</f>
        <v/>
      </c>
      <c r="Y75" s="40">
        <f>IF($B75="","",V75-W75)</f>
        <v/>
      </c>
    </row>
    <row r="76">
      <c r="A76" s="37">
        <f>IF($B76="","",ROW()-3)</f>
        <v/>
      </c>
      <c r="B76" s="13">
        <f>IF(72+1&gt;COUNTA('维度字典'!$C$2:$C$200)*COUNTA('维度字典'!$A$2:$A$200)*COUNTA('维度字典'!$E$2:$E$200),"",INDEX('维度字典'!$C$2:$C$200,MOD(INT(72/(COUNTA('维度字典'!$E$2:$E$200)*COUNTA('维度字典'!$A$2:$A$200))),COUNTA('维度字典'!$C$2:$C$200))+1))</f>
        <v/>
      </c>
      <c r="C76" s="13">
        <f>IF($B76="","",INDEX('维度字典'!$A$2:$A$200,MOD(INT(72/COUNTA('维度字典'!$E$2:$E$200)),COUNTA('维度字典'!$A$2:$A$200))+1))</f>
        <v/>
      </c>
      <c r="D76" s="13">
        <f>IF($B76="","",INDEX('维度字典'!$E$2:$E$200,MOD(72,COUNTA('维度字典'!$E$2:$E$200))+1))</f>
        <v/>
      </c>
      <c r="E76" s="38">
        <f>IF($B76="","",SUMPRODUCT(('系统实绩导入'!$B$4:$B$1500=$B76)*('系统实绩导入'!$C$4:$C$1500=$C76)*('系统实绩导入'!$D$4:$D$1500=$D76)*('系统实绩导入'!$F$4:$F$1500="实绩销售额")*('系统实绩导入'!$G$3:$R$3=$F$1)*'系统实绩导入'!$G$4:$R$1500))</f>
        <v/>
      </c>
      <c r="F76" s="38">
        <f>IF($B76="","",SUMPRODUCT(('系统实绩导入'!$B$4:$B$1500=$B76)*('系统实绩导入'!$C$4:$C$1500=$C76)*('系统实绩导入'!$D$4:$D$1500=$D76)*('系统实绩导入'!$F$4:$F$1500="实绩毛利")*('系统实绩导入'!$G$3:$R$3=$F$1)*'系统实绩导入'!$G$4:$R$1500))</f>
        <v/>
      </c>
      <c r="G76" s="39">
        <f>IF($B76="","",IFERROR(F76/E76,""))</f>
        <v/>
      </c>
      <c r="H76" s="38">
        <f>IF($B76="","",SUMPRODUCT(('目标填报'!$B$4:$B$1500=$B76)*('目标填报'!$C$4:$C$1500=$C76)*('目标填报'!$D$4:$D$1500=$D76)*('目标填报'!$F$4:$F$1500="销售目标额")*('目标填报'!$G$3:$R$3=$F$1)*'目标填报'!$G$4:$R$1500))</f>
        <v/>
      </c>
      <c r="I76" s="39">
        <f>IF($B76="","",IFERROR(E76/H76,""))</f>
        <v/>
      </c>
      <c r="J76" s="38">
        <f>IF($B76="","",SUMPRODUCT(('系统实绩导入'!$B$4:$B$1500=$B76)*('系统实绩导入'!$C$4:$C$1500=$C76)*('系统实绩导入'!$D$4:$D$1500=$D76)*('系统实绩导入'!$F$4:$F$1500="实绩销售额")*('系统实绩导入'!$G$3:$R$3&lt;=$F$1)*'系统实绩导入'!$G$4:$R$1500))</f>
        <v/>
      </c>
      <c r="K76" s="38">
        <f>IF($B76="","",SUMPRODUCT(('系统实绩导入'!$B$4:$B$1500=$B76)*('系统实绩导入'!$C$4:$C$1500=$C76)*('系统实绩导入'!$D$4:$D$1500=$D76)*('系统实绩导入'!$F$4:$F$1500="实绩毛利")*('系统实绩导入'!$G$3:$R$3&lt;=$F$1)*'系统实绩导入'!$G$4:$R$1500))</f>
        <v/>
      </c>
      <c r="L76" s="39">
        <f>IF($B76="","",IFERROR(K76/J76,""))</f>
        <v/>
      </c>
      <c r="M76" s="38">
        <f>IF($B76="","",SUMIFS('目标填报'!$S$4:$S$1500,'目标填报'!$B$4:$B$1500,$B76,'目标填报'!$C$4:$C$1500,$C76,'目标填报'!$D$4:$D$1500,$D76,'目标填报'!$F$4:$F$1500,"销售目标额"))</f>
        <v/>
      </c>
      <c r="N76" s="39">
        <f>IF($B76="","",IFERROR(J76/M76,""))</f>
        <v/>
      </c>
      <c r="O76" s="40">
        <f>IF($B76="","",J76-M76)</f>
        <v/>
      </c>
      <c r="P76" s="38">
        <f>IF($B76="","",SUMPRODUCT(('目标填报'!$B$4:$B$1500=$B76)*('目标填报'!$C$4:$C$1500=$C76)*('目标填报'!$D$4:$D$1500=$D76)*('目标填报'!$F$4:$F$1500="在手订单")*('目标填报'!$G$3:$R$3=$F$1)*'目标填报'!$G$4:$R$1500))</f>
        <v/>
      </c>
      <c r="Q76" s="38">
        <f>IF($B76="","",SUMPRODUCT(('目标填报'!$B$4:$B$1500=$B76)*('目标填报'!$C$4:$C$1500=$C76)*('目标填报'!$D$4:$D$1500=$D76)*('目标填报'!$F$4:$F$1500="在手订单目标")*('目标填报'!$G$3:$R$3=$F$1)*'目标填报'!$G$4:$R$1500))</f>
        <v/>
      </c>
      <c r="R76" s="39">
        <f>IF($B76="","",IFERROR(P76/Q76,""))</f>
        <v/>
      </c>
      <c r="S76" s="38">
        <f>IF($B76="","",SUMPRODUCT(('目标填报'!$B$4:$B$1500=$B76)*('目标填报'!$C$4:$C$1500=$C76)*('目标填报'!$D$4:$D$1500=$D76)*('目标填报'!$F$4:$F$1500="目标客户机会")*('目标填报'!$G$3:$R$3=$F$1)*'目标填报'!$G$4:$R$1500))</f>
        <v/>
      </c>
      <c r="T76" s="38">
        <f>IF($B76="","",SUMPRODUCT(('目标填报'!$B$4:$B$1500=$B76)*('目标填报'!$C$4:$C$1500=$C76)*('目标填报'!$D$4:$D$1500=$D76)*('目标填报'!$F$4:$F$1500="目标客户机会目标")*('目标填报'!$G$3:$R$3=$F$1)*'目标填报'!$G$4:$R$1500))</f>
        <v/>
      </c>
      <c r="U76" s="39">
        <f>IF($B76="","",IFERROR(S76/T76,""))</f>
        <v/>
      </c>
      <c r="V76" s="38">
        <f>IF($B76="","",P76+S76)</f>
        <v/>
      </c>
      <c r="W76" s="38">
        <f>IF($B76="","",M76-J76)</f>
        <v/>
      </c>
      <c r="X76" s="39">
        <f>IF($B76="","",IFERROR(V76/W76,""))</f>
        <v/>
      </c>
      <c r="Y76" s="40">
        <f>IF($B76="","",V76-W76)</f>
        <v/>
      </c>
    </row>
    <row r="77">
      <c r="A77" s="37">
        <f>IF($B77="","",ROW()-3)</f>
        <v/>
      </c>
      <c r="B77" s="13">
        <f>IF(73+1&gt;COUNTA('维度字典'!$C$2:$C$200)*COUNTA('维度字典'!$A$2:$A$200)*COUNTA('维度字典'!$E$2:$E$200),"",INDEX('维度字典'!$C$2:$C$200,MOD(INT(73/(COUNTA('维度字典'!$E$2:$E$200)*COUNTA('维度字典'!$A$2:$A$200))),COUNTA('维度字典'!$C$2:$C$200))+1))</f>
        <v/>
      </c>
      <c r="C77" s="13">
        <f>IF($B77="","",INDEX('维度字典'!$A$2:$A$200,MOD(INT(73/COUNTA('维度字典'!$E$2:$E$200)),COUNTA('维度字典'!$A$2:$A$200))+1))</f>
        <v/>
      </c>
      <c r="D77" s="13">
        <f>IF($B77="","",INDEX('维度字典'!$E$2:$E$200,MOD(73,COUNTA('维度字典'!$E$2:$E$200))+1))</f>
        <v/>
      </c>
      <c r="E77" s="38">
        <f>IF($B77="","",SUMPRODUCT(('系统实绩导入'!$B$4:$B$1500=$B77)*('系统实绩导入'!$C$4:$C$1500=$C77)*('系统实绩导入'!$D$4:$D$1500=$D77)*('系统实绩导入'!$F$4:$F$1500="实绩销售额")*('系统实绩导入'!$G$3:$R$3=$F$1)*'系统实绩导入'!$G$4:$R$1500))</f>
        <v/>
      </c>
      <c r="F77" s="38">
        <f>IF($B77="","",SUMPRODUCT(('系统实绩导入'!$B$4:$B$1500=$B77)*('系统实绩导入'!$C$4:$C$1500=$C77)*('系统实绩导入'!$D$4:$D$1500=$D77)*('系统实绩导入'!$F$4:$F$1500="实绩毛利")*('系统实绩导入'!$G$3:$R$3=$F$1)*'系统实绩导入'!$G$4:$R$1500))</f>
        <v/>
      </c>
      <c r="G77" s="39">
        <f>IF($B77="","",IFERROR(F77/E77,""))</f>
        <v/>
      </c>
      <c r="H77" s="38">
        <f>IF($B77="","",SUMPRODUCT(('目标填报'!$B$4:$B$1500=$B77)*('目标填报'!$C$4:$C$1500=$C77)*('目标填报'!$D$4:$D$1500=$D77)*('目标填报'!$F$4:$F$1500="销售目标额")*('目标填报'!$G$3:$R$3=$F$1)*'目标填报'!$G$4:$R$1500))</f>
        <v/>
      </c>
      <c r="I77" s="39">
        <f>IF($B77="","",IFERROR(E77/H77,""))</f>
        <v/>
      </c>
      <c r="J77" s="38">
        <f>IF($B77="","",SUMPRODUCT(('系统实绩导入'!$B$4:$B$1500=$B77)*('系统实绩导入'!$C$4:$C$1500=$C77)*('系统实绩导入'!$D$4:$D$1500=$D77)*('系统实绩导入'!$F$4:$F$1500="实绩销售额")*('系统实绩导入'!$G$3:$R$3&lt;=$F$1)*'系统实绩导入'!$G$4:$R$1500))</f>
        <v/>
      </c>
      <c r="K77" s="38">
        <f>IF($B77="","",SUMPRODUCT(('系统实绩导入'!$B$4:$B$1500=$B77)*('系统实绩导入'!$C$4:$C$1500=$C77)*('系统实绩导入'!$D$4:$D$1500=$D77)*('系统实绩导入'!$F$4:$F$1500="实绩毛利")*('系统实绩导入'!$G$3:$R$3&lt;=$F$1)*'系统实绩导入'!$G$4:$R$1500))</f>
        <v/>
      </c>
      <c r="L77" s="39">
        <f>IF($B77="","",IFERROR(K77/J77,""))</f>
        <v/>
      </c>
      <c r="M77" s="38">
        <f>IF($B77="","",SUMIFS('目标填报'!$S$4:$S$1500,'目标填报'!$B$4:$B$1500,$B77,'目标填报'!$C$4:$C$1500,$C77,'目标填报'!$D$4:$D$1500,$D77,'目标填报'!$F$4:$F$1500,"销售目标额"))</f>
        <v/>
      </c>
      <c r="N77" s="39">
        <f>IF($B77="","",IFERROR(J77/M77,""))</f>
        <v/>
      </c>
      <c r="O77" s="40">
        <f>IF($B77="","",J77-M77)</f>
        <v/>
      </c>
      <c r="P77" s="38">
        <f>IF($B77="","",SUMPRODUCT(('目标填报'!$B$4:$B$1500=$B77)*('目标填报'!$C$4:$C$1500=$C77)*('目标填报'!$D$4:$D$1500=$D77)*('目标填报'!$F$4:$F$1500="在手订单")*('目标填报'!$G$3:$R$3=$F$1)*'目标填报'!$G$4:$R$1500))</f>
        <v/>
      </c>
      <c r="Q77" s="38">
        <f>IF($B77="","",SUMPRODUCT(('目标填报'!$B$4:$B$1500=$B77)*('目标填报'!$C$4:$C$1500=$C77)*('目标填报'!$D$4:$D$1500=$D77)*('目标填报'!$F$4:$F$1500="在手订单目标")*('目标填报'!$G$3:$R$3=$F$1)*'目标填报'!$G$4:$R$1500))</f>
        <v/>
      </c>
      <c r="R77" s="39">
        <f>IF($B77="","",IFERROR(P77/Q77,""))</f>
        <v/>
      </c>
      <c r="S77" s="38">
        <f>IF($B77="","",SUMPRODUCT(('目标填报'!$B$4:$B$1500=$B77)*('目标填报'!$C$4:$C$1500=$C77)*('目标填报'!$D$4:$D$1500=$D77)*('目标填报'!$F$4:$F$1500="目标客户机会")*('目标填报'!$G$3:$R$3=$F$1)*'目标填报'!$G$4:$R$1500))</f>
        <v/>
      </c>
      <c r="T77" s="38">
        <f>IF($B77="","",SUMPRODUCT(('目标填报'!$B$4:$B$1500=$B77)*('目标填报'!$C$4:$C$1500=$C77)*('目标填报'!$D$4:$D$1500=$D77)*('目标填报'!$F$4:$F$1500="目标客户机会目标")*('目标填报'!$G$3:$R$3=$F$1)*'目标填报'!$G$4:$R$1500))</f>
        <v/>
      </c>
      <c r="U77" s="39">
        <f>IF($B77="","",IFERROR(S77/T77,""))</f>
        <v/>
      </c>
      <c r="V77" s="38">
        <f>IF($B77="","",P77+S77)</f>
        <v/>
      </c>
      <c r="W77" s="38">
        <f>IF($B77="","",M77-J77)</f>
        <v/>
      </c>
      <c r="X77" s="39">
        <f>IF($B77="","",IFERROR(V77/W77,""))</f>
        <v/>
      </c>
      <c r="Y77" s="40">
        <f>IF($B77="","",V77-W77)</f>
        <v/>
      </c>
    </row>
    <row r="78">
      <c r="A78" s="37">
        <f>IF($B78="","",ROW()-3)</f>
        <v/>
      </c>
      <c r="B78" s="13">
        <f>IF(74+1&gt;COUNTA('维度字典'!$C$2:$C$200)*COUNTA('维度字典'!$A$2:$A$200)*COUNTA('维度字典'!$E$2:$E$200),"",INDEX('维度字典'!$C$2:$C$200,MOD(INT(74/(COUNTA('维度字典'!$E$2:$E$200)*COUNTA('维度字典'!$A$2:$A$200))),COUNTA('维度字典'!$C$2:$C$200))+1))</f>
        <v/>
      </c>
      <c r="C78" s="13">
        <f>IF($B78="","",INDEX('维度字典'!$A$2:$A$200,MOD(INT(74/COUNTA('维度字典'!$E$2:$E$200)),COUNTA('维度字典'!$A$2:$A$200))+1))</f>
        <v/>
      </c>
      <c r="D78" s="13">
        <f>IF($B78="","",INDEX('维度字典'!$E$2:$E$200,MOD(74,COUNTA('维度字典'!$E$2:$E$200))+1))</f>
        <v/>
      </c>
      <c r="E78" s="38">
        <f>IF($B78="","",SUMPRODUCT(('系统实绩导入'!$B$4:$B$1500=$B78)*('系统实绩导入'!$C$4:$C$1500=$C78)*('系统实绩导入'!$D$4:$D$1500=$D78)*('系统实绩导入'!$F$4:$F$1500="实绩销售额")*('系统实绩导入'!$G$3:$R$3=$F$1)*'系统实绩导入'!$G$4:$R$1500))</f>
        <v/>
      </c>
      <c r="F78" s="38">
        <f>IF($B78="","",SUMPRODUCT(('系统实绩导入'!$B$4:$B$1500=$B78)*('系统实绩导入'!$C$4:$C$1500=$C78)*('系统实绩导入'!$D$4:$D$1500=$D78)*('系统实绩导入'!$F$4:$F$1500="实绩毛利")*('系统实绩导入'!$G$3:$R$3=$F$1)*'系统实绩导入'!$G$4:$R$1500))</f>
        <v/>
      </c>
      <c r="G78" s="39">
        <f>IF($B78="","",IFERROR(F78/E78,""))</f>
        <v/>
      </c>
      <c r="H78" s="38">
        <f>IF($B78="","",SUMPRODUCT(('目标填报'!$B$4:$B$1500=$B78)*('目标填报'!$C$4:$C$1500=$C78)*('目标填报'!$D$4:$D$1500=$D78)*('目标填报'!$F$4:$F$1500="销售目标额")*('目标填报'!$G$3:$R$3=$F$1)*'目标填报'!$G$4:$R$1500))</f>
        <v/>
      </c>
      <c r="I78" s="39">
        <f>IF($B78="","",IFERROR(E78/H78,""))</f>
        <v/>
      </c>
      <c r="J78" s="38">
        <f>IF($B78="","",SUMPRODUCT(('系统实绩导入'!$B$4:$B$1500=$B78)*('系统实绩导入'!$C$4:$C$1500=$C78)*('系统实绩导入'!$D$4:$D$1500=$D78)*('系统实绩导入'!$F$4:$F$1500="实绩销售额")*('系统实绩导入'!$G$3:$R$3&lt;=$F$1)*'系统实绩导入'!$G$4:$R$1500))</f>
        <v/>
      </c>
      <c r="K78" s="38">
        <f>IF($B78="","",SUMPRODUCT(('系统实绩导入'!$B$4:$B$1500=$B78)*('系统实绩导入'!$C$4:$C$1500=$C78)*('系统实绩导入'!$D$4:$D$1500=$D78)*('系统实绩导入'!$F$4:$F$1500="实绩毛利")*('系统实绩导入'!$G$3:$R$3&lt;=$F$1)*'系统实绩导入'!$G$4:$R$1500))</f>
        <v/>
      </c>
      <c r="L78" s="39">
        <f>IF($B78="","",IFERROR(K78/J78,""))</f>
        <v/>
      </c>
      <c r="M78" s="38">
        <f>IF($B78="","",SUMIFS('目标填报'!$S$4:$S$1500,'目标填报'!$B$4:$B$1500,$B78,'目标填报'!$C$4:$C$1500,$C78,'目标填报'!$D$4:$D$1500,$D78,'目标填报'!$F$4:$F$1500,"销售目标额"))</f>
        <v/>
      </c>
      <c r="N78" s="39">
        <f>IF($B78="","",IFERROR(J78/M78,""))</f>
        <v/>
      </c>
      <c r="O78" s="40">
        <f>IF($B78="","",J78-M78)</f>
        <v/>
      </c>
      <c r="P78" s="38">
        <f>IF($B78="","",SUMPRODUCT(('目标填报'!$B$4:$B$1500=$B78)*('目标填报'!$C$4:$C$1500=$C78)*('目标填报'!$D$4:$D$1500=$D78)*('目标填报'!$F$4:$F$1500="在手订单")*('目标填报'!$G$3:$R$3=$F$1)*'目标填报'!$G$4:$R$1500))</f>
        <v/>
      </c>
      <c r="Q78" s="38">
        <f>IF($B78="","",SUMPRODUCT(('目标填报'!$B$4:$B$1500=$B78)*('目标填报'!$C$4:$C$1500=$C78)*('目标填报'!$D$4:$D$1500=$D78)*('目标填报'!$F$4:$F$1500="在手订单目标")*('目标填报'!$G$3:$R$3=$F$1)*'目标填报'!$G$4:$R$1500))</f>
        <v/>
      </c>
      <c r="R78" s="39">
        <f>IF($B78="","",IFERROR(P78/Q78,""))</f>
        <v/>
      </c>
      <c r="S78" s="38">
        <f>IF($B78="","",SUMPRODUCT(('目标填报'!$B$4:$B$1500=$B78)*('目标填报'!$C$4:$C$1500=$C78)*('目标填报'!$D$4:$D$1500=$D78)*('目标填报'!$F$4:$F$1500="目标客户机会")*('目标填报'!$G$3:$R$3=$F$1)*'目标填报'!$G$4:$R$1500))</f>
        <v/>
      </c>
      <c r="T78" s="38">
        <f>IF($B78="","",SUMPRODUCT(('目标填报'!$B$4:$B$1500=$B78)*('目标填报'!$C$4:$C$1500=$C78)*('目标填报'!$D$4:$D$1500=$D78)*('目标填报'!$F$4:$F$1500="目标客户机会目标")*('目标填报'!$G$3:$R$3=$F$1)*'目标填报'!$G$4:$R$1500))</f>
        <v/>
      </c>
      <c r="U78" s="39">
        <f>IF($B78="","",IFERROR(S78/T78,""))</f>
        <v/>
      </c>
      <c r="V78" s="38">
        <f>IF($B78="","",P78+S78)</f>
        <v/>
      </c>
      <c r="W78" s="38">
        <f>IF($B78="","",M78-J78)</f>
        <v/>
      </c>
      <c r="X78" s="39">
        <f>IF($B78="","",IFERROR(V78/W78,""))</f>
        <v/>
      </c>
      <c r="Y78" s="40">
        <f>IF($B78="","",V78-W78)</f>
        <v/>
      </c>
    </row>
    <row r="79">
      <c r="A79" s="37">
        <f>IF($B79="","",ROW()-3)</f>
        <v/>
      </c>
      <c r="B79" s="13">
        <f>IF(75+1&gt;COUNTA('维度字典'!$C$2:$C$200)*COUNTA('维度字典'!$A$2:$A$200)*COUNTA('维度字典'!$E$2:$E$200),"",INDEX('维度字典'!$C$2:$C$200,MOD(INT(75/(COUNTA('维度字典'!$E$2:$E$200)*COUNTA('维度字典'!$A$2:$A$200))),COUNTA('维度字典'!$C$2:$C$200))+1))</f>
        <v/>
      </c>
      <c r="C79" s="13">
        <f>IF($B79="","",INDEX('维度字典'!$A$2:$A$200,MOD(INT(75/COUNTA('维度字典'!$E$2:$E$200)),COUNTA('维度字典'!$A$2:$A$200))+1))</f>
        <v/>
      </c>
      <c r="D79" s="13">
        <f>IF($B79="","",INDEX('维度字典'!$E$2:$E$200,MOD(75,COUNTA('维度字典'!$E$2:$E$200))+1))</f>
        <v/>
      </c>
      <c r="E79" s="38">
        <f>IF($B79="","",SUMPRODUCT(('系统实绩导入'!$B$4:$B$1500=$B79)*('系统实绩导入'!$C$4:$C$1500=$C79)*('系统实绩导入'!$D$4:$D$1500=$D79)*('系统实绩导入'!$F$4:$F$1500="实绩销售额")*('系统实绩导入'!$G$3:$R$3=$F$1)*'系统实绩导入'!$G$4:$R$1500))</f>
        <v/>
      </c>
      <c r="F79" s="38">
        <f>IF($B79="","",SUMPRODUCT(('系统实绩导入'!$B$4:$B$1500=$B79)*('系统实绩导入'!$C$4:$C$1500=$C79)*('系统实绩导入'!$D$4:$D$1500=$D79)*('系统实绩导入'!$F$4:$F$1500="实绩毛利")*('系统实绩导入'!$G$3:$R$3=$F$1)*'系统实绩导入'!$G$4:$R$1500))</f>
        <v/>
      </c>
      <c r="G79" s="39">
        <f>IF($B79="","",IFERROR(F79/E79,""))</f>
        <v/>
      </c>
      <c r="H79" s="38">
        <f>IF($B79="","",SUMPRODUCT(('目标填报'!$B$4:$B$1500=$B79)*('目标填报'!$C$4:$C$1500=$C79)*('目标填报'!$D$4:$D$1500=$D79)*('目标填报'!$F$4:$F$1500="销售目标额")*('目标填报'!$G$3:$R$3=$F$1)*'目标填报'!$G$4:$R$1500))</f>
        <v/>
      </c>
      <c r="I79" s="39">
        <f>IF($B79="","",IFERROR(E79/H79,""))</f>
        <v/>
      </c>
      <c r="J79" s="38">
        <f>IF($B79="","",SUMPRODUCT(('系统实绩导入'!$B$4:$B$1500=$B79)*('系统实绩导入'!$C$4:$C$1500=$C79)*('系统实绩导入'!$D$4:$D$1500=$D79)*('系统实绩导入'!$F$4:$F$1500="实绩销售额")*('系统实绩导入'!$G$3:$R$3&lt;=$F$1)*'系统实绩导入'!$G$4:$R$1500))</f>
        <v/>
      </c>
      <c r="K79" s="38">
        <f>IF($B79="","",SUMPRODUCT(('系统实绩导入'!$B$4:$B$1500=$B79)*('系统实绩导入'!$C$4:$C$1500=$C79)*('系统实绩导入'!$D$4:$D$1500=$D79)*('系统实绩导入'!$F$4:$F$1500="实绩毛利")*('系统实绩导入'!$G$3:$R$3&lt;=$F$1)*'系统实绩导入'!$G$4:$R$1500))</f>
        <v/>
      </c>
      <c r="L79" s="39">
        <f>IF($B79="","",IFERROR(K79/J79,""))</f>
        <v/>
      </c>
      <c r="M79" s="38">
        <f>IF($B79="","",SUMIFS('目标填报'!$S$4:$S$1500,'目标填报'!$B$4:$B$1500,$B79,'目标填报'!$C$4:$C$1500,$C79,'目标填报'!$D$4:$D$1500,$D79,'目标填报'!$F$4:$F$1500,"销售目标额"))</f>
        <v/>
      </c>
      <c r="N79" s="39">
        <f>IF($B79="","",IFERROR(J79/M79,""))</f>
        <v/>
      </c>
      <c r="O79" s="40">
        <f>IF($B79="","",J79-M79)</f>
        <v/>
      </c>
      <c r="P79" s="38">
        <f>IF($B79="","",SUMPRODUCT(('目标填报'!$B$4:$B$1500=$B79)*('目标填报'!$C$4:$C$1500=$C79)*('目标填报'!$D$4:$D$1500=$D79)*('目标填报'!$F$4:$F$1500="在手订单")*('目标填报'!$G$3:$R$3=$F$1)*'目标填报'!$G$4:$R$1500))</f>
        <v/>
      </c>
      <c r="Q79" s="38">
        <f>IF($B79="","",SUMPRODUCT(('目标填报'!$B$4:$B$1500=$B79)*('目标填报'!$C$4:$C$1500=$C79)*('目标填报'!$D$4:$D$1500=$D79)*('目标填报'!$F$4:$F$1500="在手订单目标")*('目标填报'!$G$3:$R$3=$F$1)*'目标填报'!$G$4:$R$1500))</f>
        <v/>
      </c>
      <c r="R79" s="39">
        <f>IF($B79="","",IFERROR(P79/Q79,""))</f>
        <v/>
      </c>
      <c r="S79" s="38">
        <f>IF($B79="","",SUMPRODUCT(('目标填报'!$B$4:$B$1500=$B79)*('目标填报'!$C$4:$C$1500=$C79)*('目标填报'!$D$4:$D$1500=$D79)*('目标填报'!$F$4:$F$1500="目标客户机会")*('目标填报'!$G$3:$R$3=$F$1)*'目标填报'!$G$4:$R$1500))</f>
        <v/>
      </c>
      <c r="T79" s="38">
        <f>IF($B79="","",SUMPRODUCT(('目标填报'!$B$4:$B$1500=$B79)*('目标填报'!$C$4:$C$1500=$C79)*('目标填报'!$D$4:$D$1500=$D79)*('目标填报'!$F$4:$F$1500="目标客户机会目标")*('目标填报'!$G$3:$R$3=$F$1)*'目标填报'!$G$4:$R$1500))</f>
        <v/>
      </c>
      <c r="U79" s="39">
        <f>IF($B79="","",IFERROR(S79/T79,""))</f>
        <v/>
      </c>
      <c r="V79" s="38">
        <f>IF($B79="","",P79+S79)</f>
        <v/>
      </c>
      <c r="W79" s="38">
        <f>IF($B79="","",M79-J79)</f>
        <v/>
      </c>
      <c r="X79" s="39">
        <f>IF($B79="","",IFERROR(V79/W79,""))</f>
        <v/>
      </c>
      <c r="Y79" s="40">
        <f>IF($B79="","",V79-W79)</f>
        <v/>
      </c>
    </row>
    <row r="80">
      <c r="A80" s="37">
        <f>IF($B80="","",ROW()-3)</f>
        <v/>
      </c>
      <c r="B80" s="13">
        <f>IF(76+1&gt;COUNTA('维度字典'!$C$2:$C$200)*COUNTA('维度字典'!$A$2:$A$200)*COUNTA('维度字典'!$E$2:$E$200),"",INDEX('维度字典'!$C$2:$C$200,MOD(INT(76/(COUNTA('维度字典'!$E$2:$E$200)*COUNTA('维度字典'!$A$2:$A$200))),COUNTA('维度字典'!$C$2:$C$200))+1))</f>
        <v/>
      </c>
      <c r="C80" s="13">
        <f>IF($B80="","",INDEX('维度字典'!$A$2:$A$200,MOD(INT(76/COUNTA('维度字典'!$E$2:$E$200)),COUNTA('维度字典'!$A$2:$A$200))+1))</f>
        <v/>
      </c>
      <c r="D80" s="13">
        <f>IF($B80="","",INDEX('维度字典'!$E$2:$E$200,MOD(76,COUNTA('维度字典'!$E$2:$E$200))+1))</f>
        <v/>
      </c>
      <c r="E80" s="38">
        <f>IF($B80="","",SUMPRODUCT(('系统实绩导入'!$B$4:$B$1500=$B80)*('系统实绩导入'!$C$4:$C$1500=$C80)*('系统实绩导入'!$D$4:$D$1500=$D80)*('系统实绩导入'!$F$4:$F$1500="实绩销售额")*('系统实绩导入'!$G$3:$R$3=$F$1)*'系统实绩导入'!$G$4:$R$1500))</f>
        <v/>
      </c>
      <c r="F80" s="38">
        <f>IF($B80="","",SUMPRODUCT(('系统实绩导入'!$B$4:$B$1500=$B80)*('系统实绩导入'!$C$4:$C$1500=$C80)*('系统实绩导入'!$D$4:$D$1500=$D80)*('系统实绩导入'!$F$4:$F$1500="实绩毛利")*('系统实绩导入'!$G$3:$R$3=$F$1)*'系统实绩导入'!$G$4:$R$1500))</f>
        <v/>
      </c>
      <c r="G80" s="39">
        <f>IF($B80="","",IFERROR(F80/E80,""))</f>
        <v/>
      </c>
      <c r="H80" s="38">
        <f>IF($B80="","",SUMPRODUCT(('目标填报'!$B$4:$B$1500=$B80)*('目标填报'!$C$4:$C$1500=$C80)*('目标填报'!$D$4:$D$1500=$D80)*('目标填报'!$F$4:$F$1500="销售目标额")*('目标填报'!$G$3:$R$3=$F$1)*'目标填报'!$G$4:$R$1500))</f>
        <v/>
      </c>
      <c r="I80" s="39">
        <f>IF($B80="","",IFERROR(E80/H80,""))</f>
        <v/>
      </c>
      <c r="J80" s="38">
        <f>IF($B80="","",SUMPRODUCT(('系统实绩导入'!$B$4:$B$1500=$B80)*('系统实绩导入'!$C$4:$C$1500=$C80)*('系统实绩导入'!$D$4:$D$1500=$D80)*('系统实绩导入'!$F$4:$F$1500="实绩销售额")*('系统实绩导入'!$G$3:$R$3&lt;=$F$1)*'系统实绩导入'!$G$4:$R$1500))</f>
        <v/>
      </c>
      <c r="K80" s="38">
        <f>IF($B80="","",SUMPRODUCT(('系统实绩导入'!$B$4:$B$1500=$B80)*('系统实绩导入'!$C$4:$C$1500=$C80)*('系统实绩导入'!$D$4:$D$1500=$D80)*('系统实绩导入'!$F$4:$F$1500="实绩毛利")*('系统实绩导入'!$G$3:$R$3&lt;=$F$1)*'系统实绩导入'!$G$4:$R$1500))</f>
        <v/>
      </c>
      <c r="L80" s="39">
        <f>IF($B80="","",IFERROR(K80/J80,""))</f>
        <v/>
      </c>
      <c r="M80" s="38">
        <f>IF($B80="","",SUMIFS('目标填报'!$S$4:$S$1500,'目标填报'!$B$4:$B$1500,$B80,'目标填报'!$C$4:$C$1500,$C80,'目标填报'!$D$4:$D$1500,$D80,'目标填报'!$F$4:$F$1500,"销售目标额"))</f>
        <v/>
      </c>
      <c r="N80" s="39">
        <f>IF($B80="","",IFERROR(J80/M80,""))</f>
        <v/>
      </c>
      <c r="O80" s="40">
        <f>IF($B80="","",J80-M80)</f>
        <v/>
      </c>
      <c r="P80" s="38">
        <f>IF($B80="","",SUMPRODUCT(('目标填报'!$B$4:$B$1500=$B80)*('目标填报'!$C$4:$C$1500=$C80)*('目标填报'!$D$4:$D$1500=$D80)*('目标填报'!$F$4:$F$1500="在手订单")*('目标填报'!$G$3:$R$3=$F$1)*'目标填报'!$G$4:$R$1500))</f>
        <v/>
      </c>
      <c r="Q80" s="38">
        <f>IF($B80="","",SUMPRODUCT(('目标填报'!$B$4:$B$1500=$B80)*('目标填报'!$C$4:$C$1500=$C80)*('目标填报'!$D$4:$D$1500=$D80)*('目标填报'!$F$4:$F$1500="在手订单目标")*('目标填报'!$G$3:$R$3=$F$1)*'目标填报'!$G$4:$R$1500))</f>
        <v/>
      </c>
      <c r="R80" s="39">
        <f>IF($B80="","",IFERROR(P80/Q80,""))</f>
        <v/>
      </c>
      <c r="S80" s="38">
        <f>IF($B80="","",SUMPRODUCT(('目标填报'!$B$4:$B$1500=$B80)*('目标填报'!$C$4:$C$1500=$C80)*('目标填报'!$D$4:$D$1500=$D80)*('目标填报'!$F$4:$F$1500="目标客户机会")*('目标填报'!$G$3:$R$3=$F$1)*'目标填报'!$G$4:$R$1500))</f>
        <v/>
      </c>
      <c r="T80" s="38">
        <f>IF($B80="","",SUMPRODUCT(('目标填报'!$B$4:$B$1500=$B80)*('目标填报'!$C$4:$C$1500=$C80)*('目标填报'!$D$4:$D$1500=$D80)*('目标填报'!$F$4:$F$1500="目标客户机会目标")*('目标填报'!$G$3:$R$3=$F$1)*'目标填报'!$G$4:$R$1500))</f>
        <v/>
      </c>
      <c r="U80" s="39">
        <f>IF($B80="","",IFERROR(S80/T80,""))</f>
        <v/>
      </c>
      <c r="V80" s="38">
        <f>IF($B80="","",P80+S80)</f>
        <v/>
      </c>
      <c r="W80" s="38">
        <f>IF($B80="","",M80-J80)</f>
        <v/>
      </c>
      <c r="X80" s="39">
        <f>IF($B80="","",IFERROR(V80/W80,""))</f>
        <v/>
      </c>
      <c r="Y80" s="40">
        <f>IF($B80="","",V80-W80)</f>
        <v/>
      </c>
    </row>
    <row r="81">
      <c r="A81" s="37">
        <f>IF($B81="","",ROW()-3)</f>
        <v/>
      </c>
      <c r="B81" s="13">
        <f>IF(77+1&gt;COUNTA('维度字典'!$C$2:$C$200)*COUNTA('维度字典'!$A$2:$A$200)*COUNTA('维度字典'!$E$2:$E$200),"",INDEX('维度字典'!$C$2:$C$200,MOD(INT(77/(COUNTA('维度字典'!$E$2:$E$200)*COUNTA('维度字典'!$A$2:$A$200))),COUNTA('维度字典'!$C$2:$C$200))+1))</f>
        <v/>
      </c>
      <c r="C81" s="13">
        <f>IF($B81="","",INDEX('维度字典'!$A$2:$A$200,MOD(INT(77/COUNTA('维度字典'!$E$2:$E$200)),COUNTA('维度字典'!$A$2:$A$200))+1))</f>
        <v/>
      </c>
      <c r="D81" s="13">
        <f>IF($B81="","",INDEX('维度字典'!$E$2:$E$200,MOD(77,COUNTA('维度字典'!$E$2:$E$200))+1))</f>
        <v/>
      </c>
      <c r="E81" s="38">
        <f>IF($B81="","",SUMPRODUCT(('系统实绩导入'!$B$4:$B$1500=$B81)*('系统实绩导入'!$C$4:$C$1500=$C81)*('系统实绩导入'!$D$4:$D$1500=$D81)*('系统实绩导入'!$F$4:$F$1500="实绩销售额")*('系统实绩导入'!$G$3:$R$3=$F$1)*'系统实绩导入'!$G$4:$R$1500))</f>
        <v/>
      </c>
      <c r="F81" s="38">
        <f>IF($B81="","",SUMPRODUCT(('系统实绩导入'!$B$4:$B$1500=$B81)*('系统实绩导入'!$C$4:$C$1500=$C81)*('系统实绩导入'!$D$4:$D$1500=$D81)*('系统实绩导入'!$F$4:$F$1500="实绩毛利")*('系统实绩导入'!$G$3:$R$3=$F$1)*'系统实绩导入'!$G$4:$R$1500))</f>
        <v/>
      </c>
      <c r="G81" s="39">
        <f>IF($B81="","",IFERROR(F81/E81,""))</f>
        <v/>
      </c>
      <c r="H81" s="38">
        <f>IF($B81="","",SUMPRODUCT(('目标填报'!$B$4:$B$1500=$B81)*('目标填报'!$C$4:$C$1500=$C81)*('目标填报'!$D$4:$D$1500=$D81)*('目标填报'!$F$4:$F$1500="销售目标额")*('目标填报'!$G$3:$R$3=$F$1)*'目标填报'!$G$4:$R$1500))</f>
        <v/>
      </c>
      <c r="I81" s="39">
        <f>IF($B81="","",IFERROR(E81/H81,""))</f>
        <v/>
      </c>
      <c r="J81" s="38">
        <f>IF($B81="","",SUMPRODUCT(('系统实绩导入'!$B$4:$B$1500=$B81)*('系统实绩导入'!$C$4:$C$1500=$C81)*('系统实绩导入'!$D$4:$D$1500=$D81)*('系统实绩导入'!$F$4:$F$1500="实绩销售额")*('系统实绩导入'!$G$3:$R$3&lt;=$F$1)*'系统实绩导入'!$G$4:$R$1500))</f>
        <v/>
      </c>
      <c r="K81" s="38">
        <f>IF($B81="","",SUMPRODUCT(('系统实绩导入'!$B$4:$B$1500=$B81)*('系统实绩导入'!$C$4:$C$1500=$C81)*('系统实绩导入'!$D$4:$D$1500=$D81)*('系统实绩导入'!$F$4:$F$1500="实绩毛利")*('系统实绩导入'!$G$3:$R$3&lt;=$F$1)*'系统实绩导入'!$G$4:$R$1500))</f>
        <v/>
      </c>
      <c r="L81" s="39">
        <f>IF($B81="","",IFERROR(K81/J81,""))</f>
        <v/>
      </c>
      <c r="M81" s="38">
        <f>IF($B81="","",SUMIFS('目标填报'!$S$4:$S$1500,'目标填报'!$B$4:$B$1500,$B81,'目标填报'!$C$4:$C$1500,$C81,'目标填报'!$D$4:$D$1500,$D81,'目标填报'!$F$4:$F$1500,"销售目标额"))</f>
        <v/>
      </c>
      <c r="N81" s="39">
        <f>IF($B81="","",IFERROR(J81/M81,""))</f>
        <v/>
      </c>
      <c r="O81" s="40">
        <f>IF($B81="","",J81-M81)</f>
        <v/>
      </c>
      <c r="P81" s="38">
        <f>IF($B81="","",SUMPRODUCT(('目标填报'!$B$4:$B$1500=$B81)*('目标填报'!$C$4:$C$1500=$C81)*('目标填报'!$D$4:$D$1500=$D81)*('目标填报'!$F$4:$F$1500="在手订单")*('目标填报'!$G$3:$R$3=$F$1)*'目标填报'!$G$4:$R$1500))</f>
        <v/>
      </c>
      <c r="Q81" s="38">
        <f>IF($B81="","",SUMPRODUCT(('目标填报'!$B$4:$B$1500=$B81)*('目标填报'!$C$4:$C$1500=$C81)*('目标填报'!$D$4:$D$1500=$D81)*('目标填报'!$F$4:$F$1500="在手订单目标")*('目标填报'!$G$3:$R$3=$F$1)*'目标填报'!$G$4:$R$1500))</f>
        <v/>
      </c>
      <c r="R81" s="39">
        <f>IF($B81="","",IFERROR(P81/Q81,""))</f>
        <v/>
      </c>
      <c r="S81" s="38">
        <f>IF($B81="","",SUMPRODUCT(('目标填报'!$B$4:$B$1500=$B81)*('目标填报'!$C$4:$C$1500=$C81)*('目标填报'!$D$4:$D$1500=$D81)*('目标填报'!$F$4:$F$1500="目标客户机会")*('目标填报'!$G$3:$R$3=$F$1)*'目标填报'!$G$4:$R$1500))</f>
        <v/>
      </c>
      <c r="T81" s="38">
        <f>IF($B81="","",SUMPRODUCT(('目标填报'!$B$4:$B$1500=$B81)*('目标填报'!$C$4:$C$1500=$C81)*('目标填报'!$D$4:$D$1500=$D81)*('目标填报'!$F$4:$F$1500="目标客户机会目标")*('目标填报'!$G$3:$R$3=$F$1)*'目标填报'!$G$4:$R$1500))</f>
        <v/>
      </c>
      <c r="U81" s="39">
        <f>IF($B81="","",IFERROR(S81/T81,""))</f>
        <v/>
      </c>
      <c r="V81" s="38">
        <f>IF($B81="","",P81+S81)</f>
        <v/>
      </c>
      <c r="W81" s="38">
        <f>IF($B81="","",M81-J81)</f>
        <v/>
      </c>
      <c r="X81" s="39">
        <f>IF($B81="","",IFERROR(V81/W81,""))</f>
        <v/>
      </c>
      <c r="Y81" s="40">
        <f>IF($B81="","",V81-W81)</f>
        <v/>
      </c>
    </row>
    <row r="82">
      <c r="A82" s="37">
        <f>IF($B82="","",ROW()-3)</f>
        <v/>
      </c>
      <c r="B82" s="13">
        <f>IF(78+1&gt;COUNTA('维度字典'!$C$2:$C$200)*COUNTA('维度字典'!$A$2:$A$200)*COUNTA('维度字典'!$E$2:$E$200),"",INDEX('维度字典'!$C$2:$C$200,MOD(INT(78/(COUNTA('维度字典'!$E$2:$E$200)*COUNTA('维度字典'!$A$2:$A$200))),COUNTA('维度字典'!$C$2:$C$200))+1))</f>
        <v/>
      </c>
      <c r="C82" s="13">
        <f>IF($B82="","",INDEX('维度字典'!$A$2:$A$200,MOD(INT(78/COUNTA('维度字典'!$E$2:$E$200)),COUNTA('维度字典'!$A$2:$A$200))+1))</f>
        <v/>
      </c>
      <c r="D82" s="13">
        <f>IF($B82="","",INDEX('维度字典'!$E$2:$E$200,MOD(78,COUNTA('维度字典'!$E$2:$E$200))+1))</f>
        <v/>
      </c>
      <c r="E82" s="38">
        <f>IF($B82="","",SUMPRODUCT(('系统实绩导入'!$B$4:$B$1500=$B82)*('系统实绩导入'!$C$4:$C$1500=$C82)*('系统实绩导入'!$D$4:$D$1500=$D82)*('系统实绩导入'!$F$4:$F$1500="实绩销售额")*('系统实绩导入'!$G$3:$R$3=$F$1)*'系统实绩导入'!$G$4:$R$1500))</f>
        <v/>
      </c>
      <c r="F82" s="38">
        <f>IF($B82="","",SUMPRODUCT(('系统实绩导入'!$B$4:$B$1500=$B82)*('系统实绩导入'!$C$4:$C$1500=$C82)*('系统实绩导入'!$D$4:$D$1500=$D82)*('系统实绩导入'!$F$4:$F$1500="实绩毛利")*('系统实绩导入'!$G$3:$R$3=$F$1)*'系统实绩导入'!$G$4:$R$1500))</f>
        <v/>
      </c>
      <c r="G82" s="39">
        <f>IF($B82="","",IFERROR(F82/E82,""))</f>
        <v/>
      </c>
      <c r="H82" s="38">
        <f>IF($B82="","",SUMPRODUCT(('目标填报'!$B$4:$B$1500=$B82)*('目标填报'!$C$4:$C$1500=$C82)*('目标填报'!$D$4:$D$1500=$D82)*('目标填报'!$F$4:$F$1500="销售目标额")*('目标填报'!$G$3:$R$3=$F$1)*'目标填报'!$G$4:$R$1500))</f>
        <v/>
      </c>
      <c r="I82" s="39">
        <f>IF($B82="","",IFERROR(E82/H82,""))</f>
        <v/>
      </c>
      <c r="J82" s="38">
        <f>IF($B82="","",SUMPRODUCT(('系统实绩导入'!$B$4:$B$1500=$B82)*('系统实绩导入'!$C$4:$C$1500=$C82)*('系统实绩导入'!$D$4:$D$1500=$D82)*('系统实绩导入'!$F$4:$F$1500="实绩销售额")*('系统实绩导入'!$G$3:$R$3&lt;=$F$1)*'系统实绩导入'!$G$4:$R$1500))</f>
        <v/>
      </c>
      <c r="K82" s="38">
        <f>IF($B82="","",SUMPRODUCT(('系统实绩导入'!$B$4:$B$1500=$B82)*('系统实绩导入'!$C$4:$C$1500=$C82)*('系统实绩导入'!$D$4:$D$1500=$D82)*('系统实绩导入'!$F$4:$F$1500="实绩毛利")*('系统实绩导入'!$G$3:$R$3&lt;=$F$1)*'系统实绩导入'!$G$4:$R$1500))</f>
        <v/>
      </c>
      <c r="L82" s="39">
        <f>IF($B82="","",IFERROR(K82/J82,""))</f>
        <v/>
      </c>
      <c r="M82" s="38">
        <f>IF($B82="","",SUMIFS('目标填报'!$S$4:$S$1500,'目标填报'!$B$4:$B$1500,$B82,'目标填报'!$C$4:$C$1500,$C82,'目标填报'!$D$4:$D$1500,$D82,'目标填报'!$F$4:$F$1500,"销售目标额"))</f>
        <v/>
      </c>
      <c r="N82" s="39">
        <f>IF($B82="","",IFERROR(J82/M82,""))</f>
        <v/>
      </c>
      <c r="O82" s="40">
        <f>IF($B82="","",J82-M82)</f>
        <v/>
      </c>
      <c r="P82" s="38">
        <f>IF($B82="","",SUMPRODUCT(('目标填报'!$B$4:$B$1500=$B82)*('目标填报'!$C$4:$C$1500=$C82)*('目标填报'!$D$4:$D$1500=$D82)*('目标填报'!$F$4:$F$1500="在手订单")*('目标填报'!$G$3:$R$3=$F$1)*'目标填报'!$G$4:$R$1500))</f>
        <v/>
      </c>
      <c r="Q82" s="38">
        <f>IF($B82="","",SUMPRODUCT(('目标填报'!$B$4:$B$1500=$B82)*('目标填报'!$C$4:$C$1500=$C82)*('目标填报'!$D$4:$D$1500=$D82)*('目标填报'!$F$4:$F$1500="在手订单目标")*('目标填报'!$G$3:$R$3=$F$1)*'目标填报'!$G$4:$R$1500))</f>
        <v/>
      </c>
      <c r="R82" s="39">
        <f>IF($B82="","",IFERROR(P82/Q82,""))</f>
        <v/>
      </c>
      <c r="S82" s="38">
        <f>IF($B82="","",SUMPRODUCT(('目标填报'!$B$4:$B$1500=$B82)*('目标填报'!$C$4:$C$1500=$C82)*('目标填报'!$D$4:$D$1500=$D82)*('目标填报'!$F$4:$F$1500="目标客户机会")*('目标填报'!$G$3:$R$3=$F$1)*'目标填报'!$G$4:$R$1500))</f>
        <v/>
      </c>
      <c r="T82" s="38">
        <f>IF($B82="","",SUMPRODUCT(('目标填报'!$B$4:$B$1500=$B82)*('目标填报'!$C$4:$C$1500=$C82)*('目标填报'!$D$4:$D$1500=$D82)*('目标填报'!$F$4:$F$1500="目标客户机会目标")*('目标填报'!$G$3:$R$3=$F$1)*'目标填报'!$G$4:$R$1500))</f>
        <v/>
      </c>
      <c r="U82" s="39">
        <f>IF($B82="","",IFERROR(S82/T82,""))</f>
        <v/>
      </c>
      <c r="V82" s="38">
        <f>IF($B82="","",P82+S82)</f>
        <v/>
      </c>
      <c r="W82" s="38">
        <f>IF($B82="","",M82-J82)</f>
        <v/>
      </c>
      <c r="X82" s="39">
        <f>IF($B82="","",IFERROR(V82/W82,""))</f>
        <v/>
      </c>
      <c r="Y82" s="40">
        <f>IF($B82="","",V82-W82)</f>
        <v/>
      </c>
    </row>
    <row r="83">
      <c r="A83" s="37">
        <f>IF($B83="","",ROW()-3)</f>
        <v/>
      </c>
      <c r="B83" s="13">
        <f>IF(79+1&gt;COUNTA('维度字典'!$C$2:$C$200)*COUNTA('维度字典'!$A$2:$A$200)*COUNTA('维度字典'!$E$2:$E$200),"",INDEX('维度字典'!$C$2:$C$200,MOD(INT(79/(COUNTA('维度字典'!$E$2:$E$200)*COUNTA('维度字典'!$A$2:$A$200))),COUNTA('维度字典'!$C$2:$C$200))+1))</f>
        <v/>
      </c>
      <c r="C83" s="13">
        <f>IF($B83="","",INDEX('维度字典'!$A$2:$A$200,MOD(INT(79/COUNTA('维度字典'!$E$2:$E$200)),COUNTA('维度字典'!$A$2:$A$200))+1))</f>
        <v/>
      </c>
      <c r="D83" s="13">
        <f>IF($B83="","",INDEX('维度字典'!$E$2:$E$200,MOD(79,COUNTA('维度字典'!$E$2:$E$200))+1))</f>
        <v/>
      </c>
      <c r="E83" s="38">
        <f>IF($B83="","",SUMPRODUCT(('系统实绩导入'!$B$4:$B$1500=$B83)*('系统实绩导入'!$C$4:$C$1500=$C83)*('系统实绩导入'!$D$4:$D$1500=$D83)*('系统实绩导入'!$F$4:$F$1500="实绩销售额")*('系统实绩导入'!$G$3:$R$3=$F$1)*'系统实绩导入'!$G$4:$R$1500))</f>
        <v/>
      </c>
      <c r="F83" s="38">
        <f>IF($B83="","",SUMPRODUCT(('系统实绩导入'!$B$4:$B$1500=$B83)*('系统实绩导入'!$C$4:$C$1500=$C83)*('系统实绩导入'!$D$4:$D$1500=$D83)*('系统实绩导入'!$F$4:$F$1500="实绩毛利")*('系统实绩导入'!$G$3:$R$3=$F$1)*'系统实绩导入'!$G$4:$R$1500))</f>
        <v/>
      </c>
      <c r="G83" s="39">
        <f>IF($B83="","",IFERROR(F83/E83,""))</f>
        <v/>
      </c>
      <c r="H83" s="38">
        <f>IF($B83="","",SUMPRODUCT(('目标填报'!$B$4:$B$1500=$B83)*('目标填报'!$C$4:$C$1500=$C83)*('目标填报'!$D$4:$D$1500=$D83)*('目标填报'!$F$4:$F$1500="销售目标额")*('目标填报'!$G$3:$R$3=$F$1)*'目标填报'!$G$4:$R$1500))</f>
        <v/>
      </c>
      <c r="I83" s="39">
        <f>IF($B83="","",IFERROR(E83/H83,""))</f>
        <v/>
      </c>
      <c r="J83" s="38">
        <f>IF($B83="","",SUMPRODUCT(('系统实绩导入'!$B$4:$B$1500=$B83)*('系统实绩导入'!$C$4:$C$1500=$C83)*('系统实绩导入'!$D$4:$D$1500=$D83)*('系统实绩导入'!$F$4:$F$1500="实绩销售额")*('系统实绩导入'!$G$3:$R$3&lt;=$F$1)*'系统实绩导入'!$G$4:$R$1500))</f>
        <v/>
      </c>
      <c r="K83" s="38">
        <f>IF($B83="","",SUMPRODUCT(('系统实绩导入'!$B$4:$B$1500=$B83)*('系统实绩导入'!$C$4:$C$1500=$C83)*('系统实绩导入'!$D$4:$D$1500=$D83)*('系统实绩导入'!$F$4:$F$1500="实绩毛利")*('系统实绩导入'!$G$3:$R$3&lt;=$F$1)*'系统实绩导入'!$G$4:$R$1500))</f>
        <v/>
      </c>
      <c r="L83" s="39">
        <f>IF($B83="","",IFERROR(K83/J83,""))</f>
        <v/>
      </c>
      <c r="M83" s="38">
        <f>IF($B83="","",SUMIFS('目标填报'!$S$4:$S$1500,'目标填报'!$B$4:$B$1500,$B83,'目标填报'!$C$4:$C$1500,$C83,'目标填报'!$D$4:$D$1500,$D83,'目标填报'!$F$4:$F$1500,"销售目标额"))</f>
        <v/>
      </c>
      <c r="N83" s="39">
        <f>IF($B83="","",IFERROR(J83/M83,""))</f>
        <v/>
      </c>
      <c r="O83" s="40">
        <f>IF($B83="","",J83-M83)</f>
        <v/>
      </c>
      <c r="P83" s="38">
        <f>IF($B83="","",SUMPRODUCT(('目标填报'!$B$4:$B$1500=$B83)*('目标填报'!$C$4:$C$1500=$C83)*('目标填报'!$D$4:$D$1500=$D83)*('目标填报'!$F$4:$F$1500="在手订单")*('目标填报'!$G$3:$R$3=$F$1)*'目标填报'!$G$4:$R$1500))</f>
        <v/>
      </c>
      <c r="Q83" s="38">
        <f>IF($B83="","",SUMPRODUCT(('目标填报'!$B$4:$B$1500=$B83)*('目标填报'!$C$4:$C$1500=$C83)*('目标填报'!$D$4:$D$1500=$D83)*('目标填报'!$F$4:$F$1500="在手订单目标")*('目标填报'!$G$3:$R$3=$F$1)*'目标填报'!$G$4:$R$1500))</f>
        <v/>
      </c>
      <c r="R83" s="39">
        <f>IF($B83="","",IFERROR(P83/Q83,""))</f>
        <v/>
      </c>
      <c r="S83" s="38">
        <f>IF($B83="","",SUMPRODUCT(('目标填报'!$B$4:$B$1500=$B83)*('目标填报'!$C$4:$C$1500=$C83)*('目标填报'!$D$4:$D$1500=$D83)*('目标填报'!$F$4:$F$1500="目标客户机会")*('目标填报'!$G$3:$R$3=$F$1)*'目标填报'!$G$4:$R$1500))</f>
        <v/>
      </c>
      <c r="T83" s="38">
        <f>IF($B83="","",SUMPRODUCT(('目标填报'!$B$4:$B$1500=$B83)*('目标填报'!$C$4:$C$1500=$C83)*('目标填报'!$D$4:$D$1500=$D83)*('目标填报'!$F$4:$F$1500="目标客户机会目标")*('目标填报'!$G$3:$R$3=$F$1)*'目标填报'!$G$4:$R$1500))</f>
        <v/>
      </c>
      <c r="U83" s="39">
        <f>IF($B83="","",IFERROR(S83/T83,""))</f>
        <v/>
      </c>
      <c r="V83" s="38">
        <f>IF($B83="","",P83+S83)</f>
        <v/>
      </c>
      <c r="W83" s="38">
        <f>IF($B83="","",M83-J83)</f>
        <v/>
      </c>
      <c r="X83" s="39">
        <f>IF($B83="","",IFERROR(V83/W83,""))</f>
        <v/>
      </c>
      <c r="Y83" s="40">
        <f>IF($B83="","",V83-W83)</f>
        <v/>
      </c>
    </row>
    <row r="84">
      <c r="A84" s="37">
        <f>IF($B84="","",ROW()-3)</f>
        <v/>
      </c>
      <c r="B84" s="13">
        <f>IF(80+1&gt;COUNTA('维度字典'!$C$2:$C$200)*COUNTA('维度字典'!$A$2:$A$200)*COUNTA('维度字典'!$E$2:$E$200),"",INDEX('维度字典'!$C$2:$C$200,MOD(INT(80/(COUNTA('维度字典'!$E$2:$E$200)*COUNTA('维度字典'!$A$2:$A$200))),COUNTA('维度字典'!$C$2:$C$200))+1))</f>
        <v/>
      </c>
      <c r="C84" s="13">
        <f>IF($B84="","",INDEX('维度字典'!$A$2:$A$200,MOD(INT(80/COUNTA('维度字典'!$E$2:$E$200)),COUNTA('维度字典'!$A$2:$A$200))+1))</f>
        <v/>
      </c>
      <c r="D84" s="13">
        <f>IF($B84="","",INDEX('维度字典'!$E$2:$E$200,MOD(80,COUNTA('维度字典'!$E$2:$E$200))+1))</f>
        <v/>
      </c>
      <c r="E84" s="38">
        <f>IF($B84="","",SUMPRODUCT(('系统实绩导入'!$B$4:$B$1500=$B84)*('系统实绩导入'!$C$4:$C$1500=$C84)*('系统实绩导入'!$D$4:$D$1500=$D84)*('系统实绩导入'!$F$4:$F$1500="实绩销售额")*('系统实绩导入'!$G$3:$R$3=$F$1)*'系统实绩导入'!$G$4:$R$1500))</f>
        <v/>
      </c>
      <c r="F84" s="38">
        <f>IF($B84="","",SUMPRODUCT(('系统实绩导入'!$B$4:$B$1500=$B84)*('系统实绩导入'!$C$4:$C$1500=$C84)*('系统实绩导入'!$D$4:$D$1500=$D84)*('系统实绩导入'!$F$4:$F$1500="实绩毛利")*('系统实绩导入'!$G$3:$R$3=$F$1)*'系统实绩导入'!$G$4:$R$1500))</f>
        <v/>
      </c>
      <c r="G84" s="39">
        <f>IF($B84="","",IFERROR(F84/E84,""))</f>
        <v/>
      </c>
      <c r="H84" s="38">
        <f>IF($B84="","",SUMPRODUCT(('目标填报'!$B$4:$B$1500=$B84)*('目标填报'!$C$4:$C$1500=$C84)*('目标填报'!$D$4:$D$1500=$D84)*('目标填报'!$F$4:$F$1500="销售目标额")*('目标填报'!$G$3:$R$3=$F$1)*'目标填报'!$G$4:$R$1500))</f>
        <v/>
      </c>
      <c r="I84" s="39">
        <f>IF($B84="","",IFERROR(E84/H84,""))</f>
        <v/>
      </c>
      <c r="J84" s="38">
        <f>IF($B84="","",SUMPRODUCT(('系统实绩导入'!$B$4:$B$1500=$B84)*('系统实绩导入'!$C$4:$C$1500=$C84)*('系统实绩导入'!$D$4:$D$1500=$D84)*('系统实绩导入'!$F$4:$F$1500="实绩销售额")*('系统实绩导入'!$G$3:$R$3&lt;=$F$1)*'系统实绩导入'!$G$4:$R$1500))</f>
        <v/>
      </c>
      <c r="K84" s="38">
        <f>IF($B84="","",SUMPRODUCT(('系统实绩导入'!$B$4:$B$1500=$B84)*('系统实绩导入'!$C$4:$C$1500=$C84)*('系统实绩导入'!$D$4:$D$1500=$D84)*('系统实绩导入'!$F$4:$F$1500="实绩毛利")*('系统实绩导入'!$G$3:$R$3&lt;=$F$1)*'系统实绩导入'!$G$4:$R$1500))</f>
        <v/>
      </c>
      <c r="L84" s="39">
        <f>IF($B84="","",IFERROR(K84/J84,""))</f>
        <v/>
      </c>
      <c r="M84" s="38">
        <f>IF($B84="","",SUMIFS('目标填报'!$S$4:$S$1500,'目标填报'!$B$4:$B$1500,$B84,'目标填报'!$C$4:$C$1500,$C84,'目标填报'!$D$4:$D$1500,$D84,'目标填报'!$F$4:$F$1500,"销售目标额"))</f>
        <v/>
      </c>
      <c r="N84" s="39">
        <f>IF($B84="","",IFERROR(J84/M84,""))</f>
        <v/>
      </c>
      <c r="O84" s="40">
        <f>IF($B84="","",J84-M84)</f>
        <v/>
      </c>
      <c r="P84" s="38">
        <f>IF($B84="","",SUMPRODUCT(('目标填报'!$B$4:$B$1500=$B84)*('目标填报'!$C$4:$C$1500=$C84)*('目标填报'!$D$4:$D$1500=$D84)*('目标填报'!$F$4:$F$1500="在手订单")*('目标填报'!$G$3:$R$3=$F$1)*'目标填报'!$G$4:$R$1500))</f>
        <v/>
      </c>
      <c r="Q84" s="38">
        <f>IF($B84="","",SUMPRODUCT(('目标填报'!$B$4:$B$1500=$B84)*('目标填报'!$C$4:$C$1500=$C84)*('目标填报'!$D$4:$D$1500=$D84)*('目标填报'!$F$4:$F$1500="在手订单目标")*('目标填报'!$G$3:$R$3=$F$1)*'目标填报'!$G$4:$R$1500))</f>
        <v/>
      </c>
      <c r="R84" s="39">
        <f>IF($B84="","",IFERROR(P84/Q84,""))</f>
        <v/>
      </c>
      <c r="S84" s="38">
        <f>IF($B84="","",SUMPRODUCT(('目标填报'!$B$4:$B$1500=$B84)*('目标填报'!$C$4:$C$1500=$C84)*('目标填报'!$D$4:$D$1500=$D84)*('目标填报'!$F$4:$F$1500="目标客户机会")*('目标填报'!$G$3:$R$3=$F$1)*'目标填报'!$G$4:$R$1500))</f>
        <v/>
      </c>
      <c r="T84" s="38">
        <f>IF($B84="","",SUMPRODUCT(('目标填报'!$B$4:$B$1500=$B84)*('目标填报'!$C$4:$C$1500=$C84)*('目标填报'!$D$4:$D$1500=$D84)*('目标填报'!$F$4:$F$1500="目标客户机会目标")*('目标填报'!$G$3:$R$3=$F$1)*'目标填报'!$G$4:$R$1500))</f>
        <v/>
      </c>
      <c r="U84" s="39">
        <f>IF($B84="","",IFERROR(S84/T84,""))</f>
        <v/>
      </c>
      <c r="V84" s="38">
        <f>IF($B84="","",P84+S84)</f>
        <v/>
      </c>
      <c r="W84" s="38">
        <f>IF($B84="","",M84-J84)</f>
        <v/>
      </c>
      <c r="X84" s="39">
        <f>IF($B84="","",IFERROR(V84/W84,""))</f>
        <v/>
      </c>
      <c r="Y84" s="40">
        <f>IF($B84="","",V84-W84)</f>
        <v/>
      </c>
    </row>
    <row r="85">
      <c r="A85" s="37">
        <f>IF($B85="","",ROW()-3)</f>
        <v/>
      </c>
      <c r="B85" s="13">
        <f>IF(81+1&gt;COUNTA('维度字典'!$C$2:$C$200)*COUNTA('维度字典'!$A$2:$A$200)*COUNTA('维度字典'!$E$2:$E$200),"",INDEX('维度字典'!$C$2:$C$200,MOD(INT(81/(COUNTA('维度字典'!$E$2:$E$200)*COUNTA('维度字典'!$A$2:$A$200))),COUNTA('维度字典'!$C$2:$C$200))+1))</f>
        <v/>
      </c>
      <c r="C85" s="13">
        <f>IF($B85="","",INDEX('维度字典'!$A$2:$A$200,MOD(INT(81/COUNTA('维度字典'!$E$2:$E$200)),COUNTA('维度字典'!$A$2:$A$200))+1))</f>
        <v/>
      </c>
      <c r="D85" s="13">
        <f>IF($B85="","",INDEX('维度字典'!$E$2:$E$200,MOD(81,COUNTA('维度字典'!$E$2:$E$200))+1))</f>
        <v/>
      </c>
      <c r="E85" s="38">
        <f>IF($B85="","",SUMPRODUCT(('系统实绩导入'!$B$4:$B$1500=$B85)*('系统实绩导入'!$C$4:$C$1500=$C85)*('系统实绩导入'!$D$4:$D$1500=$D85)*('系统实绩导入'!$F$4:$F$1500="实绩销售额")*('系统实绩导入'!$G$3:$R$3=$F$1)*'系统实绩导入'!$G$4:$R$1500))</f>
        <v/>
      </c>
      <c r="F85" s="38">
        <f>IF($B85="","",SUMPRODUCT(('系统实绩导入'!$B$4:$B$1500=$B85)*('系统实绩导入'!$C$4:$C$1500=$C85)*('系统实绩导入'!$D$4:$D$1500=$D85)*('系统实绩导入'!$F$4:$F$1500="实绩毛利")*('系统实绩导入'!$G$3:$R$3=$F$1)*'系统实绩导入'!$G$4:$R$1500))</f>
        <v/>
      </c>
      <c r="G85" s="39">
        <f>IF($B85="","",IFERROR(F85/E85,""))</f>
        <v/>
      </c>
      <c r="H85" s="38">
        <f>IF($B85="","",SUMPRODUCT(('目标填报'!$B$4:$B$1500=$B85)*('目标填报'!$C$4:$C$1500=$C85)*('目标填报'!$D$4:$D$1500=$D85)*('目标填报'!$F$4:$F$1500="销售目标额")*('目标填报'!$G$3:$R$3=$F$1)*'目标填报'!$G$4:$R$1500))</f>
        <v/>
      </c>
      <c r="I85" s="39">
        <f>IF($B85="","",IFERROR(E85/H85,""))</f>
        <v/>
      </c>
      <c r="J85" s="38">
        <f>IF($B85="","",SUMPRODUCT(('系统实绩导入'!$B$4:$B$1500=$B85)*('系统实绩导入'!$C$4:$C$1500=$C85)*('系统实绩导入'!$D$4:$D$1500=$D85)*('系统实绩导入'!$F$4:$F$1500="实绩销售额")*('系统实绩导入'!$G$3:$R$3&lt;=$F$1)*'系统实绩导入'!$G$4:$R$1500))</f>
        <v/>
      </c>
      <c r="K85" s="38">
        <f>IF($B85="","",SUMPRODUCT(('系统实绩导入'!$B$4:$B$1500=$B85)*('系统实绩导入'!$C$4:$C$1500=$C85)*('系统实绩导入'!$D$4:$D$1500=$D85)*('系统实绩导入'!$F$4:$F$1500="实绩毛利")*('系统实绩导入'!$G$3:$R$3&lt;=$F$1)*'系统实绩导入'!$G$4:$R$1500))</f>
        <v/>
      </c>
      <c r="L85" s="39">
        <f>IF($B85="","",IFERROR(K85/J85,""))</f>
        <v/>
      </c>
      <c r="M85" s="38">
        <f>IF($B85="","",SUMIFS('目标填报'!$S$4:$S$1500,'目标填报'!$B$4:$B$1500,$B85,'目标填报'!$C$4:$C$1500,$C85,'目标填报'!$D$4:$D$1500,$D85,'目标填报'!$F$4:$F$1500,"销售目标额"))</f>
        <v/>
      </c>
      <c r="N85" s="39">
        <f>IF($B85="","",IFERROR(J85/M85,""))</f>
        <v/>
      </c>
      <c r="O85" s="40">
        <f>IF($B85="","",J85-M85)</f>
        <v/>
      </c>
      <c r="P85" s="38">
        <f>IF($B85="","",SUMPRODUCT(('目标填报'!$B$4:$B$1500=$B85)*('目标填报'!$C$4:$C$1500=$C85)*('目标填报'!$D$4:$D$1500=$D85)*('目标填报'!$F$4:$F$1500="在手订单")*('目标填报'!$G$3:$R$3=$F$1)*'目标填报'!$G$4:$R$1500))</f>
        <v/>
      </c>
      <c r="Q85" s="38">
        <f>IF($B85="","",SUMPRODUCT(('目标填报'!$B$4:$B$1500=$B85)*('目标填报'!$C$4:$C$1500=$C85)*('目标填报'!$D$4:$D$1500=$D85)*('目标填报'!$F$4:$F$1500="在手订单目标")*('目标填报'!$G$3:$R$3=$F$1)*'目标填报'!$G$4:$R$1500))</f>
        <v/>
      </c>
      <c r="R85" s="39">
        <f>IF($B85="","",IFERROR(P85/Q85,""))</f>
        <v/>
      </c>
      <c r="S85" s="38">
        <f>IF($B85="","",SUMPRODUCT(('目标填报'!$B$4:$B$1500=$B85)*('目标填报'!$C$4:$C$1500=$C85)*('目标填报'!$D$4:$D$1500=$D85)*('目标填报'!$F$4:$F$1500="目标客户机会")*('目标填报'!$G$3:$R$3=$F$1)*'目标填报'!$G$4:$R$1500))</f>
        <v/>
      </c>
      <c r="T85" s="38">
        <f>IF($B85="","",SUMPRODUCT(('目标填报'!$B$4:$B$1500=$B85)*('目标填报'!$C$4:$C$1500=$C85)*('目标填报'!$D$4:$D$1500=$D85)*('目标填报'!$F$4:$F$1500="目标客户机会目标")*('目标填报'!$G$3:$R$3=$F$1)*'目标填报'!$G$4:$R$1500))</f>
        <v/>
      </c>
      <c r="U85" s="39">
        <f>IF($B85="","",IFERROR(S85/T85,""))</f>
        <v/>
      </c>
      <c r="V85" s="38">
        <f>IF($B85="","",P85+S85)</f>
        <v/>
      </c>
      <c r="W85" s="38">
        <f>IF($B85="","",M85-J85)</f>
        <v/>
      </c>
      <c r="X85" s="39">
        <f>IF($B85="","",IFERROR(V85/W85,""))</f>
        <v/>
      </c>
      <c r="Y85" s="40">
        <f>IF($B85="","",V85-W85)</f>
        <v/>
      </c>
    </row>
    <row r="86">
      <c r="A86" s="37">
        <f>IF($B86="","",ROW()-3)</f>
        <v/>
      </c>
      <c r="B86" s="13">
        <f>IF(82+1&gt;COUNTA('维度字典'!$C$2:$C$200)*COUNTA('维度字典'!$A$2:$A$200)*COUNTA('维度字典'!$E$2:$E$200),"",INDEX('维度字典'!$C$2:$C$200,MOD(INT(82/(COUNTA('维度字典'!$E$2:$E$200)*COUNTA('维度字典'!$A$2:$A$200))),COUNTA('维度字典'!$C$2:$C$200))+1))</f>
        <v/>
      </c>
      <c r="C86" s="13">
        <f>IF($B86="","",INDEX('维度字典'!$A$2:$A$200,MOD(INT(82/COUNTA('维度字典'!$E$2:$E$200)),COUNTA('维度字典'!$A$2:$A$200))+1))</f>
        <v/>
      </c>
      <c r="D86" s="13">
        <f>IF($B86="","",INDEX('维度字典'!$E$2:$E$200,MOD(82,COUNTA('维度字典'!$E$2:$E$200))+1))</f>
        <v/>
      </c>
      <c r="E86" s="38">
        <f>IF($B86="","",SUMPRODUCT(('系统实绩导入'!$B$4:$B$1500=$B86)*('系统实绩导入'!$C$4:$C$1500=$C86)*('系统实绩导入'!$D$4:$D$1500=$D86)*('系统实绩导入'!$F$4:$F$1500="实绩销售额")*('系统实绩导入'!$G$3:$R$3=$F$1)*'系统实绩导入'!$G$4:$R$1500))</f>
        <v/>
      </c>
      <c r="F86" s="38">
        <f>IF($B86="","",SUMPRODUCT(('系统实绩导入'!$B$4:$B$1500=$B86)*('系统实绩导入'!$C$4:$C$1500=$C86)*('系统实绩导入'!$D$4:$D$1500=$D86)*('系统实绩导入'!$F$4:$F$1500="实绩毛利")*('系统实绩导入'!$G$3:$R$3=$F$1)*'系统实绩导入'!$G$4:$R$1500))</f>
        <v/>
      </c>
      <c r="G86" s="39">
        <f>IF($B86="","",IFERROR(F86/E86,""))</f>
        <v/>
      </c>
      <c r="H86" s="38">
        <f>IF($B86="","",SUMPRODUCT(('目标填报'!$B$4:$B$1500=$B86)*('目标填报'!$C$4:$C$1500=$C86)*('目标填报'!$D$4:$D$1500=$D86)*('目标填报'!$F$4:$F$1500="销售目标额")*('目标填报'!$G$3:$R$3=$F$1)*'目标填报'!$G$4:$R$1500))</f>
        <v/>
      </c>
      <c r="I86" s="39">
        <f>IF($B86="","",IFERROR(E86/H86,""))</f>
        <v/>
      </c>
      <c r="J86" s="38">
        <f>IF($B86="","",SUMPRODUCT(('系统实绩导入'!$B$4:$B$1500=$B86)*('系统实绩导入'!$C$4:$C$1500=$C86)*('系统实绩导入'!$D$4:$D$1500=$D86)*('系统实绩导入'!$F$4:$F$1500="实绩销售额")*('系统实绩导入'!$G$3:$R$3&lt;=$F$1)*'系统实绩导入'!$G$4:$R$1500))</f>
        <v/>
      </c>
      <c r="K86" s="38">
        <f>IF($B86="","",SUMPRODUCT(('系统实绩导入'!$B$4:$B$1500=$B86)*('系统实绩导入'!$C$4:$C$1500=$C86)*('系统实绩导入'!$D$4:$D$1500=$D86)*('系统实绩导入'!$F$4:$F$1500="实绩毛利")*('系统实绩导入'!$G$3:$R$3&lt;=$F$1)*'系统实绩导入'!$G$4:$R$1500))</f>
        <v/>
      </c>
      <c r="L86" s="39">
        <f>IF($B86="","",IFERROR(K86/J86,""))</f>
        <v/>
      </c>
      <c r="M86" s="38">
        <f>IF($B86="","",SUMIFS('目标填报'!$S$4:$S$1500,'目标填报'!$B$4:$B$1500,$B86,'目标填报'!$C$4:$C$1500,$C86,'目标填报'!$D$4:$D$1500,$D86,'目标填报'!$F$4:$F$1500,"销售目标额"))</f>
        <v/>
      </c>
      <c r="N86" s="39">
        <f>IF($B86="","",IFERROR(J86/M86,""))</f>
        <v/>
      </c>
      <c r="O86" s="40">
        <f>IF($B86="","",J86-M86)</f>
        <v/>
      </c>
      <c r="P86" s="38">
        <f>IF($B86="","",SUMPRODUCT(('目标填报'!$B$4:$B$1500=$B86)*('目标填报'!$C$4:$C$1500=$C86)*('目标填报'!$D$4:$D$1500=$D86)*('目标填报'!$F$4:$F$1500="在手订单")*('目标填报'!$G$3:$R$3=$F$1)*'目标填报'!$G$4:$R$1500))</f>
        <v/>
      </c>
      <c r="Q86" s="38">
        <f>IF($B86="","",SUMPRODUCT(('目标填报'!$B$4:$B$1500=$B86)*('目标填报'!$C$4:$C$1500=$C86)*('目标填报'!$D$4:$D$1500=$D86)*('目标填报'!$F$4:$F$1500="在手订单目标")*('目标填报'!$G$3:$R$3=$F$1)*'目标填报'!$G$4:$R$1500))</f>
        <v/>
      </c>
      <c r="R86" s="39">
        <f>IF($B86="","",IFERROR(P86/Q86,""))</f>
        <v/>
      </c>
      <c r="S86" s="38">
        <f>IF($B86="","",SUMPRODUCT(('目标填报'!$B$4:$B$1500=$B86)*('目标填报'!$C$4:$C$1500=$C86)*('目标填报'!$D$4:$D$1500=$D86)*('目标填报'!$F$4:$F$1500="目标客户机会")*('目标填报'!$G$3:$R$3=$F$1)*'目标填报'!$G$4:$R$1500))</f>
        <v/>
      </c>
      <c r="T86" s="38">
        <f>IF($B86="","",SUMPRODUCT(('目标填报'!$B$4:$B$1500=$B86)*('目标填报'!$C$4:$C$1500=$C86)*('目标填报'!$D$4:$D$1500=$D86)*('目标填报'!$F$4:$F$1500="目标客户机会目标")*('目标填报'!$G$3:$R$3=$F$1)*'目标填报'!$G$4:$R$1500))</f>
        <v/>
      </c>
      <c r="U86" s="39">
        <f>IF($B86="","",IFERROR(S86/T86,""))</f>
        <v/>
      </c>
      <c r="V86" s="38">
        <f>IF($B86="","",P86+S86)</f>
        <v/>
      </c>
      <c r="W86" s="38">
        <f>IF($B86="","",M86-J86)</f>
        <v/>
      </c>
      <c r="X86" s="39">
        <f>IF($B86="","",IFERROR(V86/W86,""))</f>
        <v/>
      </c>
      <c r="Y86" s="40">
        <f>IF($B86="","",V86-W86)</f>
        <v/>
      </c>
    </row>
    <row r="87">
      <c r="A87" s="37">
        <f>IF($B87="","",ROW()-3)</f>
        <v/>
      </c>
      <c r="B87" s="13">
        <f>IF(83+1&gt;COUNTA('维度字典'!$C$2:$C$200)*COUNTA('维度字典'!$A$2:$A$200)*COUNTA('维度字典'!$E$2:$E$200),"",INDEX('维度字典'!$C$2:$C$200,MOD(INT(83/(COUNTA('维度字典'!$E$2:$E$200)*COUNTA('维度字典'!$A$2:$A$200))),COUNTA('维度字典'!$C$2:$C$200))+1))</f>
        <v/>
      </c>
      <c r="C87" s="13">
        <f>IF($B87="","",INDEX('维度字典'!$A$2:$A$200,MOD(INT(83/COUNTA('维度字典'!$E$2:$E$200)),COUNTA('维度字典'!$A$2:$A$200))+1))</f>
        <v/>
      </c>
      <c r="D87" s="13">
        <f>IF($B87="","",INDEX('维度字典'!$E$2:$E$200,MOD(83,COUNTA('维度字典'!$E$2:$E$200))+1))</f>
        <v/>
      </c>
      <c r="E87" s="38">
        <f>IF($B87="","",SUMPRODUCT(('系统实绩导入'!$B$4:$B$1500=$B87)*('系统实绩导入'!$C$4:$C$1500=$C87)*('系统实绩导入'!$D$4:$D$1500=$D87)*('系统实绩导入'!$F$4:$F$1500="实绩销售额")*('系统实绩导入'!$G$3:$R$3=$F$1)*'系统实绩导入'!$G$4:$R$1500))</f>
        <v/>
      </c>
      <c r="F87" s="38">
        <f>IF($B87="","",SUMPRODUCT(('系统实绩导入'!$B$4:$B$1500=$B87)*('系统实绩导入'!$C$4:$C$1500=$C87)*('系统实绩导入'!$D$4:$D$1500=$D87)*('系统实绩导入'!$F$4:$F$1500="实绩毛利")*('系统实绩导入'!$G$3:$R$3=$F$1)*'系统实绩导入'!$G$4:$R$1500))</f>
        <v/>
      </c>
      <c r="G87" s="39">
        <f>IF($B87="","",IFERROR(F87/E87,""))</f>
        <v/>
      </c>
      <c r="H87" s="38">
        <f>IF($B87="","",SUMPRODUCT(('目标填报'!$B$4:$B$1500=$B87)*('目标填报'!$C$4:$C$1500=$C87)*('目标填报'!$D$4:$D$1500=$D87)*('目标填报'!$F$4:$F$1500="销售目标额")*('目标填报'!$G$3:$R$3=$F$1)*'目标填报'!$G$4:$R$1500))</f>
        <v/>
      </c>
      <c r="I87" s="39">
        <f>IF($B87="","",IFERROR(E87/H87,""))</f>
        <v/>
      </c>
      <c r="J87" s="38">
        <f>IF($B87="","",SUMPRODUCT(('系统实绩导入'!$B$4:$B$1500=$B87)*('系统实绩导入'!$C$4:$C$1500=$C87)*('系统实绩导入'!$D$4:$D$1500=$D87)*('系统实绩导入'!$F$4:$F$1500="实绩销售额")*('系统实绩导入'!$G$3:$R$3&lt;=$F$1)*'系统实绩导入'!$G$4:$R$1500))</f>
        <v/>
      </c>
      <c r="K87" s="38">
        <f>IF($B87="","",SUMPRODUCT(('系统实绩导入'!$B$4:$B$1500=$B87)*('系统实绩导入'!$C$4:$C$1500=$C87)*('系统实绩导入'!$D$4:$D$1500=$D87)*('系统实绩导入'!$F$4:$F$1500="实绩毛利")*('系统实绩导入'!$G$3:$R$3&lt;=$F$1)*'系统实绩导入'!$G$4:$R$1500))</f>
        <v/>
      </c>
      <c r="L87" s="39">
        <f>IF($B87="","",IFERROR(K87/J87,""))</f>
        <v/>
      </c>
      <c r="M87" s="38">
        <f>IF($B87="","",SUMIFS('目标填报'!$S$4:$S$1500,'目标填报'!$B$4:$B$1500,$B87,'目标填报'!$C$4:$C$1500,$C87,'目标填报'!$D$4:$D$1500,$D87,'目标填报'!$F$4:$F$1500,"销售目标额"))</f>
        <v/>
      </c>
      <c r="N87" s="39">
        <f>IF($B87="","",IFERROR(J87/M87,""))</f>
        <v/>
      </c>
      <c r="O87" s="40">
        <f>IF($B87="","",J87-M87)</f>
        <v/>
      </c>
      <c r="P87" s="38">
        <f>IF($B87="","",SUMPRODUCT(('目标填报'!$B$4:$B$1500=$B87)*('目标填报'!$C$4:$C$1500=$C87)*('目标填报'!$D$4:$D$1500=$D87)*('目标填报'!$F$4:$F$1500="在手订单")*('目标填报'!$G$3:$R$3=$F$1)*'目标填报'!$G$4:$R$1500))</f>
        <v/>
      </c>
      <c r="Q87" s="38">
        <f>IF($B87="","",SUMPRODUCT(('目标填报'!$B$4:$B$1500=$B87)*('目标填报'!$C$4:$C$1500=$C87)*('目标填报'!$D$4:$D$1500=$D87)*('目标填报'!$F$4:$F$1500="在手订单目标")*('目标填报'!$G$3:$R$3=$F$1)*'目标填报'!$G$4:$R$1500))</f>
        <v/>
      </c>
      <c r="R87" s="39">
        <f>IF($B87="","",IFERROR(P87/Q87,""))</f>
        <v/>
      </c>
      <c r="S87" s="38">
        <f>IF($B87="","",SUMPRODUCT(('目标填报'!$B$4:$B$1500=$B87)*('目标填报'!$C$4:$C$1500=$C87)*('目标填报'!$D$4:$D$1500=$D87)*('目标填报'!$F$4:$F$1500="目标客户机会")*('目标填报'!$G$3:$R$3=$F$1)*'目标填报'!$G$4:$R$1500))</f>
        <v/>
      </c>
      <c r="T87" s="38">
        <f>IF($B87="","",SUMPRODUCT(('目标填报'!$B$4:$B$1500=$B87)*('目标填报'!$C$4:$C$1500=$C87)*('目标填报'!$D$4:$D$1500=$D87)*('目标填报'!$F$4:$F$1500="目标客户机会目标")*('目标填报'!$G$3:$R$3=$F$1)*'目标填报'!$G$4:$R$1500))</f>
        <v/>
      </c>
      <c r="U87" s="39">
        <f>IF($B87="","",IFERROR(S87/T87,""))</f>
        <v/>
      </c>
      <c r="V87" s="38">
        <f>IF($B87="","",P87+S87)</f>
        <v/>
      </c>
      <c r="W87" s="38">
        <f>IF($B87="","",M87-J87)</f>
        <v/>
      </c>
      <c r="X87" s="39">
        <f>IF($B87="","",IFERROR(V87/W87,""))</f>
        <v/>
      </c>
      <c r="Y87" s="40">
        <f>IF($B87="","",V87-W87)</f>
        <v/>
      </c>
    </row>
    <row r="88">
      <c r="A88" s="37">
        <f>IF($B88="","",ROW()-3)</f>
        <v/>
      </c>
      <c r="B88" s="13">
        <f>IF(84+1&gt;COUNTA('维度字典'!$C$2:$C$200)*COUNTA('维度字典'!$A$2:$A$200)*COUNTA('维度字典'!$E$2:$E$200),"",INDEX('维度字典'!$C$2:$C$200,MOD(INT(84/(COUNTA('维度字典'!$E$2:$E$200)*COUNTA('维度字典'!$A$2:$A$200))),COUNTA('维度字典'!$C$2:$C$200))+1))</f>
        <v/>
      </c>
      <c r="C88" s="13">
        <f>IF($B88="","",INDEX('维度字典'!$A$2:$A$200,MOD(INT(84/COUNTA('维度字典'!$E$2:$E$200)),COUNTA('维度字典'!$A$2:$A$200))+1))</f>
        <v/>
      </c>
      <c r="D88" s="13">
        <f>IF($B88="","",INDEX('维度字典'!$E$2:$E$200,MOD(84,COUNTA('维度字典'!$E$2:$E$200))+1))</f>
        <v/>
      </c>
      <c r="E88" s="38">
        <f>IF($B88="","",SUMPRODUCT(('系统实绩导入'!$B$4:$B$1500=$B88)*('系统实绩导入'!$C$4:$C$1500=$C88)*('系统实绩导入'!$D$4:$D$1500=$D88)*('系统实绩导入'!$F$4:$F$1500="实绩销售额")*('系统实绩导入'!$G$3:$R$3=$F$1)*'系统实绩导入'!$G$4:$R$1500))</f>
        <v/>
      </c>
      <c r="F88" s="38">
        <f>IF($B88="","",SUMPRODUCT(('系统实绩导入'!$B$4:$B$1500=$B88)*('系统实绩导入'!$C$4:$C$1500=$C88)*('系统实绩导入'!$D$4:$D$1500=$D88)*('系统实绩导入'!$F$4:$F$1500="实绩毛利")*('系统实绩导入'!$G$3:$R$3=$F$1)*'系统实绩导入'!$G$4:$R$1500))</f>
        <v/>
      </c>
      <c r="G88" s="39">
        <f>IF($B88="","",IFERROR(F88/E88,""))</f>
        <v/>
      </c>
      <c r="H88" s="38">
        <f>IF($B88="","",SUMPRODUCT(('目标填报'!$B$4:$B$1500=$B88)*('目标填报'!$C$4:$C$1500=$C88)*('目标填报'!$D$4:$D$1500=$D88)*('目标填报'!$F$4:$F$1500="销售目标额")*('目标填报'!$G$3:$R$3=$F$1)*'目标填报'!$G$4:$R$1500))</f>
        <v/>
      </c>
      <c r="I88" s="39">
        <f>IF($B88="","",IFERROR(E88/H88,""))</f>
        <v/>
      </c>
      <c r="J88" s="38">
        <f>IF($B88="","",SUMPRODUCT(('系统实绩导入'!$B$4:$B$1500=$B88)*('系统实绩导入'!$C$4:$C$1500=$C88)*('系统实绩导入'!$D$4:$D$1500=$D88)*('系统实绩导入'!$F$4:$F$1500="实绩销售额")*('系统实绩导入'!$G$3:$R$3&lt;=$F$1)*'系统实绩导入'!$G$4:$R$1500))</f>
        <v/>
      </c>
      <c r="K88" s="38">
        <f>IF($B88="","",SUMPRODUCT(('系统实绩导入'!$B$4:$B$1500=$B88)*('系统实绩导入'!$C$4:$C$1500=$C88)*('系统实绩导入'!$D$4:$D$1500=$D88)*('系统实绩导入'!$F$4:$F$1500="实绩毛利")*('系统实绩导入'!$G$3:$R$3&lt;=$F$1)*'系统实绩导入'!$G$4:$R$1500))</f>
        <v/>
      </c>
      <c r="L88" s="39">
        <f>IF($B88="","",IFERROR(K88/J88,""))</f>
        <v/>
      </c>
      <c r="M88" s="38">
        <f>IF($B88="","",SUMIFS('目标填报'!$S$4:$S$1500,'目标填报'!$B$4:$B$1500,$B88,'目标填报'!$C$4:$C$1500,$C88,'目标填报'!$D$4:$D$1500,$D88,'目标填报'!$F$4:$F$1500,"销售目标额"))</f>
        <v/>
      </c>
      <c r="N88" s="39">
        <f>IF($B88="","",IFERROR(J88/M88,""))</f>
        <v/>
      </c>
      <c r="O88" s="40">
        <f>IF($B88="","",J88-M88)</f>
        <v/>
      </c>
      <c r="P88" s="38">
        <f>IF($B88="","",SUMPRODUCT(('目标填报'!$B$4:$B$1500=$B88)*('目标填报'!$C$4:$C$1500=$C88)*('目标填报'!$D$4:$D$1500=$D88)*('目标填报'!$F$4:$F$1500="在手订单")*('目标填报'!$G$3:$R$3=$F$1)*'目标填报'!$G$4:$R$1500))</f>
        <v/>
      </c>
      <c r="Q88" s="38">
        <f>IF($B88="","",SUMPRODUCT(('目标填报'!$B$4:$B$1500=$B88)*('目标填报'!$C$4:$C$1500=$C88)*('目标填报'!$D$4:$D$1500=$D88)*('目标填报'!$F$4:$F$1500="在手订单目标")*('目标填报'!$G$3:$R$3=$F$1)*'目标填报'!$G$4:$R$1500))</f>
        <v/>
      </c>
      <c r="R88" s="39">
        <f>IF($B88="","",IFERROR(P88/Q88,""))</f>
        <v/>
      </c>
      <c r="S88" s="38">
        <f>IF($B88="","",SUMPRODUCT(('目标填报'!$B$4:$B$1500=$B88)*('目标填报'!$C$4:$C$1500=$C88)*('目标填报'!$D$4:$D$1500=$D88)*('目标填报'!$F$4:$F$1500="目标客户机会")*('目标填报'!$G$3:$R$3=$F$1)*'目标填报'!$G$4:$R$1500))</f>
        <v/>
      </c>
      <c r="T88" s="38">
        <f>IF($B88="","",SUMPRODUCT(('目标填报'!$B$4:$B$1500=$B88)*('目标填报'!$C$4:$C$1500=$C88)*('目标填报'!$D$4:$D$1500=$D88)*('目标填报'!$F$4:$F$1500="目标客户机会目标")*('目标填报'!$G$3:$R$3=$F$1)*'目标填报'!$G$4:$R$1500))</f>
        <v/>
      </c>
      <c r="U88" s="39">
        <f>IF($B88="","",IFERROR(S88/T88,""))</f>
        <v/>
      </c>
      <c r="V88" s="38">
        <f>IF($B88="","",P88+S88)</f>
        <v/>
      </c>
      <c r="W88" s="38">
        <f>IF($B88="","",M88-J88)</f>
        <v/>
      </c>
      <c r="X88" s="39">
        <f>IF($B88="","",IFERROR(V88/W88,""))</f>
        <v/>
      </c>
      <c r="Y88" s="40">
        <f>IF($B88="","",V88-W88)</f>
        <v/>
      </c>
    </row>
    <row r="89">
      <c r="A89" s="37">
        <f>IF($B89="","",ROW()-3)</f>
        <v/>
      </c>
      <c r="B89" s="13">
        <f>IF(85+1&gt;COUNTA('维度字典'!$C$2:$C$200)*COUNTA('维度字典'!$A$2:$A$200)*COUNTA('维度字典'!$E$2:$E$200),"",INDEX('维度字典'!$C$2:$C$200,MOD(INT(85/(COUNTA('维度字典'!$E$2:$E$200)*COUNTA('维度字典'!$A$2:$A$200))),COUNTA('维度字典'!$C$2:$C$200))+1))</f>
        <v/>
      </c>
      <c r="C89" s="13">
        <f>IF($B89="","",INDEX('维度字典'!$A$2:$A$200,MOD(INT(85/COUNTA('维度字典'!$E$2:$E$200)),COUNTA('维度字典'!$A$2:$A$200))+1))</f>
        <v/>
      </c>
      <c r="D89" s="13">
        <f>IF($B89="","",INDEX('维度字典'!$E$2:$E$200,MOD(85,COUNTA('维度字典'!$E$2:$E$200))+1))</f>
        <v/>
      </c>
      <c r="E89" s="38">
        <f>IF($B89="","",SUMPRODUCT(('系统实绩导入'!$B$4:$B$1500=$B89)*('系统实绩导入'!$C$4:$C$1500=$C89)*('系统实绩导入'!$D$4:$D$1500=$D89)*('系统实绩导入'!$F$4:$F$1500="实绩销售额")*('系统实绩导入'!$G$3:$R$3=$F$1)*'系统实绩导入'!$G$4:$R$1500))</f>
        <v/>
      </c>
      <c r="F89" s="38">
        <f>IF($B89="","",SUMPRODUCT(('系统实绩导入'!$B$4:$B$1500=$B89)*('系统实绩导入'!$C$4:$C$1500=$C89)*('系统实绩导入'!$D$4:$D$1500=$D89)*('系统实绩导入'!$F$4:$F$1500="实绩毛利")*('系统实绩导入'!$G$3:$R$3=$F$1)*'系统实绩导入'!$G$4:$R$1500))</f>
        <v/>
      </c>
      <c r="G89" s="39">
        <f>IF($B89="","",IFERROR(F89/E89,""))</f>
        <v/>
      </c>
      <c r="H89" s="38">
        <f>IF($B89="","",SUMPRODUCT(('目标填报'!$B$4:$B$1500=$B89)*('目标填报'!$C$4:$C$1500=$C89)*('目标填报'!$D$4:$D$1500=$D89)*('目标填报'!$F$4:$F$1500="销售目标额")*('目标填报'!$G$3:$R$3=$F$1)*'目标填报'!$G$4:$R$1500))</f>
        <v/>
      </c>
      <c r="I89" s="39">
        <f>IF($B89="","",IFERROR(E89/H89,""))</f>
        <v/>
      </c>
      <c r="J89" s="38">
        <f>IF($B89="","",SUMPRODUCT(('系统实绩导入'!$B$4:$B$1500=$B89)*('系统实绩导入'!$C$4:$C$1500=$C89)*('系统实绩导入'!$D$4:$D$1500=$D89)*('系统实绩导入'!$F$4:$F$1500="实绩销售额")*('系统实绩导入'!$G$3:$R$3&lt;=$F$1)*'系统实绩导入'!$G$4:$R$1500))</f>
        <v/>
      </c>
      <c r="K89" s="38">
        <f>IF($B89="","",SUMPRODUCT(('系统实绩导入'!$B$4:$B$1500=$B89)*('系统实绩导入'!$C$4:$C$1500=$C89)*('系统实绩导入'!$D$4:$D$1500=$D89)*('系统实绩导入'!$F$4:$F$1500="实绩毛利")*('系统实绩导入'!$G$3:$R$3&lt;=$F$1)*'系统实绩导入'!$G$4:$R$1500))</f>
        <v/>
      </c>
      <c r="L89" s="39">
        <f>IF($B89="","",IFERROR(K89/J89,""))</f>
        <v/>
      </c>
      <c r="M89" s="38">
        <f>IF($B89="","",SUMIFS('目标填报'!$S$4:$S$1500,'目标填报'!$B$4:$B$1500,$B89,'目标填报'!$C$4:$C$1500,$C89,'目标填报'!$D$4:$D$1500,$D89,'目标填报'!$F$4:$F$1500,"销售目标额"))</f>
        <v/>
      </c>
      <c r="N89" s="39">
        <f>IF($B89="","",IFERROR(J89/M89,""))</f>
        <v/>
      </c>
      <c r="O89" s="40">
        <f>IF($B89="","",J89-M89)</f>
        <v/>
      </c>
      <c r="P89" s="38">
        <f>IF($B89="","",SUMPRODUCT(('目标填报'!$B$4:$B$1500=$B89)*('目标填报'!$C$4:$C$1500=$C89)*('目标填报'!$D$4:$D$1500=$D89)*('目标填报'!$F$4:$F$1500="在手订单")*('目标填报'!$G$3:$R$3=$F$1)*'目标填报'!$G$4:$R$1500))</f>
        <v/>
      </c>
      <c r="Q89" s="38">
        <f>IF($B89="","",SUMPRODUCT(('目标填报'!$B$4:$B$1500=$B89)*('目标填报'!$C$4:$C$1500=$C89)*('目标填报'!$D$4:$D$1500=$D89)*('目标填报'!$F$4:$F$1500="在手订单目标")*('目标填报'!$G$3:$R$3=$F$1)*'目标填报'!$G$4:$R$1500))</f>
        <v/>
      </c>
      <c r="R89" s="39">
        <f>IF($B89="","",IFERROR(P89/Q89,""))</f>
        <v/>
      </c>
      <c r="S89" s="38">
        <f>IF($B89="","",SUMPRODUCT(('目标填报'!$B$4:$B$1500=$B89)*('目标填报'!$C$4:$C$1500=$C89)*('目标填报'!$D$4:$D$1500=$D89)*('目标填报'!$F$4:$F$1500="目标客户机会")*('目标填报'!$G$3:$R$3=$F$1)*'目标填报'!$G$4:$R$1500))</f>
        <v/>
      </c>
      <c r="T89" s="38">
        <f>IF($B89="","",SUMPRODUCT(('目标填报'!$B$4:$B$1500=$B89)*('目标填报'!$C$4:$C$1500=$C89)*('目标填报'!$D$4:$D$1500=$D89)*('目标填报'!$F$4:$F$1500="目标客户机会目标")*('目标填报'!$G$3:$R$3=$F$1)*'目标填报'!$G$4:$R$1500))</f>
        <v/>
      </c>
      <c r="U89" s="39">
        <f>IF($B89="","",IFERROR(S89/T89,""))</f>
        <v/>
      </c>
      <c r="V89" s="38">
        <f>IF($B89="","",P89+S89)</f>
        <v/>
      </c>
      <c r="W89" s="38">
        <f>IF($B89="","",M89-J89)</f>
        <v/>
      </c>
      <c r="X89" s="39">
        <f>IF($B89="","",IFERROR(V89/W89,""))</f>
        <v/>
      </c>
      <c r="Y89" s="40">
        <f>IF($B89="","",V89-W89)</f>
        <v/>
      </c>
    </row>
    <row r="90">
      <c r="A90" s="37">
        <f>IF($B90="","",ROW()-3)</f>
        <v/>
      </c>
      <c r="B90" s="13">
        <f>IF(86+1&gt;COUNTA('维度字典'!$C$2:$C$200)*COUNTA('维度字典'!$A$2:$A$200)*COUNTA('维度字典'!$E$2:$E$200),"",INDEX('维度字典'!$C$2:$C$200,MOD(INT(86/(COUNTA('维度字典'!$E$2:$E$200)*COUNTA('维度字典'!$A$2:$A$200))),COUNTA('维度字典'!$C$2:$C$200))+1))</f>
        <v/>
      </c>
      <c r="C90" s="13">
        <f>IF($B90="","",INDEX('维度字典'!$A$2:$A$200,MOD(INT(86/COUNTA('维度字典'!$E$2:$E$200)),COUNTA('维度字典'!$A$2:$A$200))+1))</f>
        <v/>
      </c>
      <c r="D90" s="13">
        <f>IF($B90="","",INDEX('维度字典'!$E$2:$E$200,MOD(86,COUNTA('维度字典'!$E$2:$E$200))+1))</f>
        <v/>
      </c>
      <c r="E90" s="38">
        <f>IF($B90="","",SUMPRODUCT(('系统实绩导入'!$B$4:$B$1500=$B90)*('系统实绩导入'!$C$4:$C$1500=$C90)*('系统实绩导入'!$D$4:$D$1500=$D90)*('系统实绩导入'!$F$4:$F$1500="实绩销售额")*('系统实绩导入'!$G$3:$R$3=$F$1)*'系统实绩导入'!$G$4:$R$1500))</f>
        <v/>
      </c>
      <c r="F90" s="38">
        <f>IF($B90="","",SUMPRODUCT(('系统实绩导入'!$B$4:$B$1500=$B90)*('系统实绩导入'!$C$4:$C$1500=$C90)*('系统实绩导入'!$D$4:$D$1500=$D90)*('系统实绩导入'!$F$4:$F$1500="实绩毛利")*('系统实绩导入'!$G$3:$R$3=$F$1)*'系统实绩导入'!$G$4:$R$1500))</f>
        <v/>
      </c>
      <c r="G90" s="39">
        <f>IF($B90="","",IFERROR(F90/E90,""))</f>
        <v/>
      </c>
      <c r="H90" s="38">
        <f>IF($B90="","",SUMPRODUCT(('目标填报'!$B$4:$B$1500=$B90)*('目标填报'!$C$4:$C$1500=$C90)*('目标填报'!$D$4:$D$1500=$D90)*('目标填报'!$F$4:$F$1500="销售目标额")*('目标填报'!$G$3:$R$3=$F$1)*'目标填报'!$G$4:$R$1500))</f>
        <v/>
      </c>
      <c r="I90" s="39">
        <f>IF($B90="","",IFERROR(E90/H90,""))</f>
        <v/>
      </c>
      <c r="J90" s="38">
        <f>IF($B90="","",SUMPRODUCT(('系统实绩导入'!$B$4:$B$1500=$B90)*('系统实绩导入'!$C$4:$C$1500=$C90)*('系统实绩导入'!$D$4:$D$1500=$D90)*('系统实绩导入'!$F$4:$F$1500="实绩销售额")*('系统实绩导入'!$G$3:$R$3&lt;=$F$1)*'系统实绩导入'!$G$4:$R$1500))</f>
        <v/>
      </c>
      <c r="K90" s="38">
        <f>IF($B90="","",SUMPRODUCT(('系统实绩导入'!$B$4:$B$1500=$B90)*('系统实绩导入'!$C$4:$C$1500=$C90)*('系统实绩导入'!$D$4:$D$1500=$D90)*('系统实绩导入'!$F$4:$F$1500="实绩毛利")*('系统实绩导入'!$G$3:$R$3&lt;=$F$1)*'系统实绩导入'!$G$4:$R$1500))</f>
        <v/>
      </c>
      <c r="L90" s="39">
        <f>IF($B90="","",IFERROR(K90/J90,""))</f>
        <v/>
      </c>
      <c r="M90" s="38">
        <f>IF($B90="","",SUMIFS('目标填报'!$S$4:$S$1500,'目标填报'!$B$4:$B$1500,$B90,'目标填报'!$C$4:$C$1500,$C90,'目标填报'!$D$4:$D$1500,$D90,'目标填报'!$F$4:$F$1500,"销售目标额"))</f>
        <v/>
      </c>
      <c r="N90" s="39">
        <f>IF($B90="","",IFERROR(J90/M90,""))</f>
        <v/>
      </c>
      <c r="O90" s="40">
        <f>IF($B90="","",J90-M90)</f>
        <v/>
      </c>
      <c r="P90" s="38">
        <f>IF($B90="","",SUMPRODUCT(('目标填报'!$B$4:$B$1500=$B90)*('目标填报'!$C$4:$C$1500=$C90)*('目标填报'!$D$4:$D$1500=$D90)*('目标填报'!$F$4:$F$1500="在手订单")*('目标填报'!$G$3:$R$3=$F$1)*'目标填报'!$G$4:$R$1500))</f>
        <v/>
      </c>
      <c r="Q90" s="38">
        <f>IF($B90="","",SUMPRODUCT(('目标填报'!$B$4:$B$1500=$B90)*('目标填报'!$C$4:$C$1500=$C90)*('目标填报'!$D$4:$D$1500=$D90)*('目标填报'!$F$4:$F$1500="在手订单目标")*('目标填报'!$G$3:$R$3=$F$1)*'目标填报'!$G$4:$R$1500))</f>
        <v/>
      </c>
      <c r="R90" s="39">
        <f>IF($B90="","",IFERROR(P90/Q90,""))</f>
        <v/>
      </c>
      <c r="S90" s="38">
        <f>IF($B90="","",SUMPRODUCT(('目标填报'!$B$4:$B$1500=$B90)*('目标填报'!$C$4:$C$1500=$C90)*('目标填报'!$D$4:$D$1500=$D90)*('目标填报'!$F$4:$F$1500="目标客户机会")*('目标填报'!$G$3:$R$3=$F$1)*'目标填报'!$G$4:$R$1500))</f>
        <v/>
      </c>
      <c r="T90" s="38">
        <f>IF($B90="","",SUMPRODUCT(('目标填报'!$B$4:$B$1500=$B90)*('目标填报'!$C$4:$C$1500=$C90)*('目标填报'!$D$4:$D$1500=$D90)*('目标填报'!$F$4:$F$1500="目标客户机会目标")*('目标填报'!$G$3:$R$3=$F$1)*'目标填报'!$G$4:$R$1500))</f>
        <v/>
      </c>
      <c r="U90" s="39">
        <f>IF($B90="","",IFERROR(S90/T90,""))</f>
        <v/>
      </c>
      <c r="V90" s="38">
        <f>IF($B90="","",P90+S90)</f>
        <v/>
      </c>
      <c r="W90" s="38">
        <f>IF($B90="","",M90-J90)</f>
        <v/>
      </c>
      <c r="X90" s="39">
        <f>IF($B90="","",IFERROR(V90/W90,""))</f>
        <v/>
      </c>
      <c r="Y90" s="40">
        <f>IF($B90="","",V90-W90)</f>
        <v/>
      </c>
    </row>
    <row r="91">
      <c r="A91" s="37">
        <f>IF($B91="","",ROW()-3)</f>
        <v/>
      </c>
      <c r="B91" s="13">
        <f>IF(87+1&gt;COUNTA('维度字典'!$C$2:$C$200)*COUNTA('维度字典'!$A$2:$A$200)*COUNTA('维度字典'!$E$2:$E$200),"",INDEX('维度字典'!$C$2:$C$200,MOD(INT(87/(COUNTA('维度字典'!$E$2:$E$200)*COUNTA('维度字典'!$A$2:$A$200))),COUNTA('维度字典'!$C$2:$C$200))+1))</f>
        <v/>
      </c>
      <c r="C91" s="13">
        <f>IF($B91="","",INDEX('维度字典'!$A$2:$A$200,MOD(INT(87/COUNTA('维度字典'!$E$2:$E$200)),COUNTA('维度字典'!$A$2:$A$200))+1))</f>
        <v/>
      </c>
      <c r="D91" s="13">
        <f>IF($B91="","",INDEX('维度字典'!$E$2:$E$200,MOD(87,COUNTA('维度字典'!$E$2:$E$200))+1))</f>
        <v/>
      </c>
      <c r="E91" s="38">
        <f>IF($B91="","",SUMPRODUCT(('系统实绩导入'!$B$4:$B$1500=$B91)*('系统实绩导入'!$C$4:$C$1500=$C91)*('系统实绩导入'!$D$4:$D$1500=$D91)*('系统实绩导入'!$F$4:$F$1500="实绩销售额")*('系统实绩导入'!$G$3:$R$3=$F$1)*'系统实绩导入'!$G$4:$R$1500))</f>
        <v/>
      </c>
      <c r="F91" s="38">
        <f>IF($B91="","",SUMPRODUCT(('系统实绩导入'!$B$4:$B$1500=$B91)*('系统实绩导入'!$C$4:$C$1500=$C91)*('系统实绩导入'!$D$4:$D$1500=$D91)*('系统实绩导入'!$F$4:$F$1500="实绩毛利")*('系统实绩导入'!$G$3:$R$3=$F$1)*'系统实绩导入'!$G$4:$R$1500))</f>
        <v/>
      </c>
      <c r="G91" s="39">
        <f>IF($B91="","",IFERROR(F91/E91,""))</f>
        <v/>
      </c>
      <c r="H91" s="38">
        <f>IF($B91="","",SUMPRODUCT(('目标填报'!$B$4:$B$1500=$B91)*('目标填报'!$C$4:$C$1500=$C91)*('目标填报'!$D$4:$D$1500=$D91)*('目标填报'!$F$4:$F$1500="销售目标额")*('目标填报'!$G$3:$R$3=$F$1)*'目标填报'!$G$4:$R$1500))</f>
        <v/>
      </c>
      <c r="I91" s="39">
        <f>IF($B91="","",IFERROR(E91/H91,""))</f>
        <v/>
      </c>
      <c r="J91" s="38">
        <f>IF($B91="","",SUMPRODUCT(('系统实绩导入'!$B$4:$B$1500=$B91)*('系统实绩导入'!$C$4:$C$1500=$C91)*('系统实绩导入'!$D$4:$D$1500=$D91)*('系统实绩导入'!$F$4:$F$1500="实绩销售额")*('系统实绩导入'!$G$3:$R$3&lt;=$F$1)*'系统实绩导入'!$G$4:$R$1500))</f>
        <v/>
      </c>
      <c r="K91" s="38">
        <f>IF($B91="","",SUMPRODUCT(('系统实绩导入'!$B$4:$B$1500=$B91)*('系统实绩导入'!$C$4:$C$1500=$C91)*('系统实绩导入'!$D$4:$D$1500=$D91)*('系统实绩导入'!$F$4:$F$1500="实绩毛利")*('系统实绩导入'!$G$3:$R$3&lt;=$F$1)*'系统实绩导入'!$G$4:$R$1500))</f>
        <v/>
      </c>
      <c r="L91" s="39">
        <f>IF($B91="","",IFERROR(K91/J91,""))</f>
        <v/>
      </c>
      <c r="M91" s="38">
        <f>IF($B91="","",SUMIFS('目标填报'!$S$4:$S$1500,'目标填报'!$B$4:$B$1500,$B91,'目标填报'!$C$4:$C$1500,$C91,'目标填报'!$D$4:$D$1500,$D91,'目标填报'!$F$4:$F$1500,"销售目标额"))</f>
        <v/>
      </c>
      <c r="N91" s="39">
        <f>IF($B91="","",IFERROR(J91/M91,""))</f>
        <v/>
      </c>
      <c r="O91" s="40">
        <f>IF($B91="","",J91-M91)</f>
        <v/>
      </c>
      <c r="P91" s="38">
        <f>IF($B91="","",SUMPRODUCT(('目标填报'!$B$4:$B$1500=$B91)*('目标填报'!$C$4:$C$1500=$C91)*('目标填报'!$D$4:$D$1500=$D91)*('目标填报'!$F$4:$F$1500="在手订单")*('目标填报'!$G$3:$R$3=$F$1)*'目标填报'!$G$4:$R$1500))</f>
        <v/>
      </c>
      <c r="Q91" s="38">
        <f>IF($B91="","",SUMPRODUCT(('目标填报'!$B$4:$B$1500=$B91)*('目标填报'!$C$4:$C$1500=$C91)*('目标填报'!$D$4:$D$1500=$D91)*('目标填报'!$F$4:$F$1500="在手订单目标")*('目标填报'!$G$3:$R$3=$F$1)*'目标填报'!$G$4:$R$1500))</f>
        <v/>
      </c>
      <c r="R91" s="39">
        <f>IF($B91="","",IFERROR(P91/Q91,""))</f>
        <v/>
      </c>
      <c r="S91" s="38">
        <f>IF($B91="","",SUMPRODUCT(('目标填报'!$B$4:$B$1500=$B91)*('目标填报'!$C$4:$C$1500=$C91)*('目标填报'!$D$4:$D$1500=$D91)*('目标填报'!$F$4:$F$1500="目标客户机会")*('目标填报'!$G$3:$R$3=$F$1)*'目标填报'!$G$4:$R$1500))</f>
        <v/>
      </c>
      <c r="T91" s="38">
        <f>IF($B91="","",SUMPRODUCT(('目标填报'!$B$4:$B$1500=$B91)*('目标填报'!$C$4:$C$1500=$C91)*('目标填报'!$D$4:$D$1500=$D91)*('目标填报'!$F$4:$F$1500="目标客户机会目标")*('目标填报'!$G$3:$R$3=$F$1)*'目标填报'!$G$4:$R$1500))</f>
        <v/>
      </c>
      <c r="U91" s="39">
        <f>IF($B91="","",IFERROR(S91/T91,""))</f>
        <v/>
      </c>
      <c r="V91" s="38">
        <f>IF($B91="","",P91+S91)</f>
        <v/>
      </c>
      <c r="W91" s="38">
        <f>IF($B91="","",M91-J91)</f>
        <v/>
      </c>
      <c r="X91" s="39">
        <f>IF($B91="","",IFERROR(V91/W91,""))</f>
        <v/>
      </c>
      <c r="Y91" s="40">
        <f>IF($B91="","",V91-W91)</f>
        <v/>
      </c>
    </row>
    <row r="92">
      <c r="A92" s="37">
        <f>IF($B92="","",ROW()-3)</f>
        <v/>
      </c>
      <c r="B92" s="13">
        <f>IF(88+1&gt;COUNTA('维度字典'!$C$2:$C$200)*COUNTA('维度字典'!$A$2:$A$200)*COUNTA('维度字典'!$E$2:$E$200),"",INDEX('维度字典'!$C$2:$C$200,MOD(INT(88/(COUNTA('维度字典'!$E$2:$E$200)*COUNTA('维度字典'!$A$2:$A$200))),COUNTA('维度字典'!$C$2:$C$200))+1))</f>
        <v/>
      </c>
      <c r="C92" s="13">
        <f>IF($B92="","",INDEX('维度字典'!$A$2:$A$200,MOD(INT(88/COUNTA('维度字典'!$E$2:$E$200)),COUNTA('维度字典'!$A$2:$A$200))+1))</f>
        <v/>
      </c>
      <c r="D92" s="13">
        <f>IF($B92="","",INDEX('维度字典'!$E$2:$E$200,MOD(88,COUNTA('维度字典'!$E$2:$E$200))+1))</f>
        <v/>
      </c>
      <c r="E92" s="38">
        <f>IF($B92="","",SUMPRODUCT(('系统实绩导入'!$B$4:$B$1500=$B92)*('系统实绩导入'!$C$4:$C$1500=$C92)*('系统实绩导入'!$D$4:$D$1500=$D92)*('系统实绩导入'!$F$4:$F$1500="实绩销售额")*('系统实绩导入'!$G$3:$R$3=$F$1)*'系统实绩导入'!$G$4:$R$1500))</f>
        <v/>
      </c>
      <c r="F92" s="38">
        <f>IF($B92="","",SUMPRODUCT(('系统实绩导入'!$B$4:$B$1500=$B92)*('系统实绩导入'!$C$4:$C$1500=$C92)*('系统实绩导入'!$D$4:$D$1500=$D92)*('系统实绩导入'!$F$4:$F$1500="实绩毛利")*('系统实绩导入'!$G$3:$R$3=$F$1)*'系统实绩导入'!$G$4:$R$1500))</f>
        <v/>
      </c>
      <c r="G92" s="39">
        <f>IF($B92="","",IFERROR(F92/E92,""))</f>
        <v/>
      </c>
      <c r="H92" s="38">
        <f>IF($B92="","",SUMPRODUCT(('目标填报'!$B$4:$B$1500=$B92)*('目标填报'!$C$4:$C$1500=$C92)*('目标填报'!$D$4:$D$1500=$D92)*('目标填报'!$F$4:$F$1500="销售目标额")*('目标填报'!$G$3:$R$3=$F$1)*'目标填报'!$G$4:$R$1500))</f>
        <v/>
      </c>
      <c r="I92" s="39">
        <f>IF($B92="","",IFERROR(E92/H92,""))</f>
        <v/>
      </c>
      <c r="J92" s="38">
        <f>IF($B92="","",SUMPRODUCT(('系统实绩导入'!$B$4:$B$1500=$B92)*('系统实绩导入'!$C$4:$C$1500=$C92)*('系统实绩导入'!$D$4:$D$1500=$D92)*('系统实绩导入'!$F$4:$F$1500="实绩销售额")*('系统实绩导入'!$G$3:$R$3&lt;=$F$1)*'系统实绩导入'!$G$4:$R$1500))</f>
        <v/>
      </c>
      <c r="K92" s="38">
        <f>IF($B92="","",SUMPRODUCT(('系统实绩导入'!$B$4:$B$1500=$B92)*('系统实绩导入'!$C$4:$C$1500=$C92)*('系统实绩导入'!$D$4:$D$1500=$D92)*('系统实绩导入'!$F$4:$F$1500="实绩毛利")*('系统实绩导入'!$G$3:$R$3&lt;=$F$1)*'系统实绩导入'!$G$4:$R$1500))</f>
        <v/>
      </c>
      <c r="L92" s="39">
        <f>IF($B92="","",IFERROR(K92/J92,""))</f>
        <v/>
      </c>
      <c r="M92" s="38">
        <f>IF($B92="","",SUMIFS('目标填报'!$S$4:$S$1500,'目标填报'!$B$4:$B$1500,$B92,'目标填报'!$C$4:$C$1500,$C92,'目标填报'!$D$4:$D$1500,$D92,'目标填报'!$F$4:$F$1500,"销售目标额"))</f>
        <v/>
      </c>
      <c r="N92" s="39">
        <f>IF($B92="","",IFERROR(J92/M92,""))</f>
        <v/>
      </c>
      <c r="O92" s="40">
        <f>IF($B92="","",J92-M92)</f>
        <v/>
      </c>
      <c r="P92" s="38">
        <f>IF($B92="","",SUMPRODUCT(('目标填报'!$B$4:$B$1500=$B92)*('目标填报'!$C$4:$C$1500=$C92)*('目标填报'!$D$4:$D$1500=$D92)*('目标填报'!$F$4:$F$1500="在手订单")*('目标填报'!$G$3:$R$3=$F$1)*'目标填报'!$G$4:$R$1500))</f>
        <v/>
      </c>
      <c r="Q92" s="38">
        <f>IF($B92="","",SUMPRODUCT(('目标填报'!$B$4:$B$1500=$B92)*('目标填报'!$C$4:$C$1500=$C92)*('目标填报'!$D$4:$D$1500=$D92)*('目标填报'!$F$4:$F$1500="在手订单目标")*('目标填报'!$G$3:$R$3=$F$1)*'目标填报'!$G$4:$R$1500))</f>
        <v/>
      </c>
      <c r="R92" s="39">
        <f>IF($B92="","",IFERROR(P92/Q92,""))</f>
        <v/>
      </c>
      <c r="S92" s="38">
        <f>IF($B92="","",SUMPRODUCT(('目标填报'!$B$4:$B$1500=$B92)*('目标填报'!$C$4:$C$1500=$C92)*('目标填报'!$D$4:$D$1500=$D92)*('目标填报'!$F$4:$F$1500="目标客户机会")*('目标填报'!$G$3:$R$3=$F$1)*'目标填报'!$G$4:$R$1500))</f>
        <v/>
      </c>
      <c r="T92" s="38">
        <f>IF($B92="","",SUMPRODUCT(('目标填报'!$B$4:$B$1500=$B92)*('目标填报'!$C$4:$C$1500=$C92)*('目标填报'!$D$4:$D$1500=$D92)*('目标填报'!$F$4:$F$1500="目标客户机会目标")*('目标填报'!$G$3:$R$3=$F$1)*'目标填报'!$G$4:$R$1500))</f>
        <v/>
      </c>
      <c r="U92" s="39">
        <f>IF($B92="","",IFERROR(S92/T92,""))</f>
        <v/>
      </c>
      <c r="V92" s="38">
        <f>IF($B92="","",P92+S92)</f>
        <v/>
      </c>
      <c r="W92" s="38">
        <f>IF($B92="","",M92-J92)</f>
        <v/>
      </c>
      <c r="X92" s="39">
        <f>IF($B92="","",IFERROR(V92/W92,""))</f>
        <v/>
      </c>
      <c r="Y92" s="40">
        <f>IF($B92="","",V92-W92)</f>
        <v/>
      </c>
    </row>
    <row r="93">
      <c r="A93" s="37">
        <f>IF($B93="","",ROW()-3)</f>
        <v/>
      </c>
      <c r="B93" s="13">
        <f>IF(89+1&gt;COUNTA('维度字典'!$C$2:$C$200)*COUNTA('维度字典'!$A$2:$A$200)*COUNTA('维度字典'!$E$2:$E$200),"",INDEX('维度字典'!$C$2:$C$200,MOD(INT(89/(COUNTA('维度字典'!$E$2:$E$200)*COUNTA('维度字典'!$A$2:$A$200))),COUNTA('维度字典'!$C$2:$C$200))+1))</f>
        <v/>
      </c>
      <c r="C93" s="13">
        <f>IF($B93="","",INDEX('维度字典'!$A$2:$A$200,MOD(INT(89/COUNTA('维度字典'!$E$2:$E$200)),COUNTA('维度字典'!$A$2:$A$200))+1))</f>
        <v/>
      </c>
      <c r="D93" s="13">
        <f>IF($B93="","",INDEX('维度字典'!$E$2:$E$200,MOD(89,COUNTA('维度字典'!$E$2:$E$200))+1))</f>
        <v/>
      </c>
      <c r="E93" s="38">
        <f>IF($B93="","",SUMPRODUCT(('系统实绩导入'!$B$4:$B$1500=$B93)*('系统实绩导入'!$C$4:$C$1500=$C93)*('系统实绩导入'!$D$4:$D$1500=$D93)*('系统实绩导入'!$F$4:$F$1500="实绩销售额")*('系统实绩导入'!$G$3:$R$3=$F$1)*'系统实绩导入'!$G$4:$R$1500))</f>
        <v/>
      </c>
      <c r="F93" s="38">
        <f>IF($B93="","",SUMPRODUCT(('系统实绩导入'!$B$4:$B$1500=$B93)*('系统实绩导入'!$C$4:$C$1500=$C93)*('系统实绩导入'!$D$4:$D$1500=$D93)*('系统实绩导入'!$F$4:$F$1500="实绩毛利")*('系统实绩导入'!$G$3:$R$3=$F$1)*'系统实绩导入'!$G$4:$R$1500))</f>
        <v/>
      </c>
      <c r="G93" s="39">
        <f>IF($B93="","",IFERROR(F93/E93,""))</f>
        <v/>
      </c>
      <c r="H93" s="38">
        <f>IF($B93="","",SUMPRODUCT(('目标填报'!$B$4:$B$1500=$B93)*('目标填报'!$C$4:$C$1500=$C93)*('目标填报'!$D$4:$D$1500=$D93)*('目标填报'!$F$4:$F$1500="销售目标额")*('目标填报'!$G$3:$R$3=$F$1)*'目标填报'!$G$4:$R$1500))</f>
        <v/>
      </c>
      <c r="I93" s="39">
        <f>IF($B93="","",IFERROR(E93/H93,""))</f>
        <v/>
      </c>
      <c r="J93" s="38">
        <f>IF($B93="","",SUMPRODUCT(('系统实绩导入'!$B$4:$B$1500=$B93)*('系统实绩导入'!$C$4:$C$1500=$C93)*('系统实绩导入'!$D$4:$D$1500=$D93)*('系统实绩导入'!$F$4:$F$1500="实绩销售额")*('系统实绩导入'!$G$3:$R$3&lt;=$F$1)*'系统实绩导入'!$G$4:$R$1500))</f>
        <v/>
      </c>
      <c r="K93" s="38">
        <f>IF($B93="","",SUMPRODUCT(('系统实绩导入'!$B$4:$B$1500=$B93)*('系统实绩导入'!$C$4:$C$1500=$C93)*('系统实绩导入'!$D$4:$D$1500=$D93)*('系统实绩导入'!$F$4:$F$1500="实绩毛利")*('系统实绩导入'!$G$3:$R$3&lt;=$F$1)*'系统实绩导入'!$G$4:$R$1500))</f>
        <v/>
      </c>
      <c r="L93" s="39">
        <f>IF($B93="","",IFERROR(K93/J93,""))</f>
        <v/>
      </c>
      <c r="M93" s="38">
        <f>IF($B93="","",SUMIFS('目标填报'!$S$4:$S$1500,'目标填报'!$B$4:$B$1500,$B93,'目标填报'!$C$4:$C$1500,$C93,'目标填报'!$D$4:$D$1500,$D93,'目标填报'!$F$4:$F$1500,"销售目标额"))</f>
        <v/>
      </c>
      <c r="N93" s="39">
        <f>IF($B93="","",IFERROR(J93/M93,""))</f>
        <v/>
      </c>
      <c r="O93" s="40">
        <f>IF($B93="","",J93-M93)</f>
        <v/>
      </c>
      <c r="P93" s="38">
        <f>IF($B93="","",SUMPRODUCT(('目标填报'!$B$4:$B$1500=$B93)*('目标填报'!$C$4:$C$1500=$C93)*('目标填报'!$D$4:$D$1500=$D93)*('目标填报'!$F$4:$F$1500="在手订单")*('目标填报'!$G$3:$R$3=$F$1)*'目标填报'!$G$4:$R$1500))</f>
        <v/>
      </c>
      <c r="Q93" s="38">
        <f>IF($B93="","",SUMPRODUCT(('目标填报'!$B$4:$B$1500=$B93)*('目标填报'!$C$4:$C$1500=$C93)*('目标填报'!$D$4:$D$1500=$D93)*('目标填报'!$F$4:$F$1500="在手订单目标")*('目标填报'!$G$3:$R$3=$F$1)*'目标填报'!$G$4:$R$1500))</f>
        <v/>
      </c>
      <c r="R93" s="39">
        <f>IF($B93="","",IFERROR(P93/Q93,""))</f>
        <v/>
      </c>
      <c r="S93" s="38">
        <f>IF($B93="","",SUMPRODUCT(('目标填报'!$B$4:$B$1500=$B93)*('目标填报'!$C$4:$C$1500=$C93)*('目标填报'!$D$4:$D$1500=$D93)*('目标填报'!$F$4:$F$1500="目标客户机会")*('目标填报'!$G$3:$R$3=$F$1)*'目标填报'!$G$4:$R$1500))</f>
        <v/>
      </c>
      <c r="T93" s="38">
        <f>IF($B93="","",SUMPRODUCT(('目标填报'!$B$4:$B$1500=$B93)*('目标填报'!$C$4:$C$1500=$C93)*('目标填报'!$D$4:$D$1500=$D93)*('目标填报'!$F$4:$F$1500="目标客户机会目标")*('目标填报'!$G$3:$R$3=$F$1)*'目标填报'!$G$4:$R$1500))</f>
        <v/>
      </c>
      <c r="U93" s="39">
        <f>IF($B93="","",IFERROR(S93/T93,""))</f>
        <v/>
      </c>
      <c r="V93" s="38">
        <f>IF($B93="","",P93+S93)</f>
        <v/>
      </c>
      <c r="W93" s="38">
        <f>IF($B93="","",M93-J93)</f>
        <v/>
      </c>
      <c r="X93" s="39">
        <f>IF($B93="","",IFERROR(V93/W93,""))</f>
        <v/>
      </c>
      <c r="Y93" s="40">
        <f>IF($B93="","",V93-W93)</f>
        <v/>
      </c>
    </row>
    <row r="94">
      <c r="A94" s="37">
        <f>IF($B94="","",ROW()-3)</f>
        <v/>
      </c>
      <c r="B94" s="13">
        <f>IF(90+1&gt;COUNTA('维度字典'!$C$2:$C$200)*COUNTA('维度字典'!$A$2:$A$200)*COUNTA('维度字典'!$E$2:$E$200),"",INDEX('维度字典'!$C$2:$C$200,MOD(INT(90/(COUNTA('维度字典'!$E$2:$E$200)*COUNTA('维度字典'!$A$2:$A$200))),COUNTA('维度字典'!$C$2:$C$200))+1))</f>
        <v/>
      </c>
      <c r="C94" s="13">
        <f>IF($B94="","",INDEX('维度字典'!$A$2:$A$200,MOD(INT(90/COUNTA('维度字典'!$E$2:$E$200)),COUNTA('维度字典'!$A$2:$A$200))+1))</f>
        <v/>
      </c>
      <c r="D94" s="13">
        <f>IF($B94="","",INDEX('维度字典'!$E$2:$E$200,MOD(90,COUNTA('维度字典'!$E$2:$E$200))+1))</f>
        <v/>
      </c>
      <c r="E94" s="38">
        <f>IF($B94="","",SUMPRODUCT(('系统实绩导入'!$B$4:$B$1500=$B94)*('系统实绩导入'!$C$4:$C$1500=$C94)*('系统实绩导入'!$D$4:$D$1500=$D94)*('系统实绩导入'!$F$4:$F$1500="实绩销售额")*('系统实绩导入'!$G$3:$R$3=$F$1)*'系统实绩导入'!$G$4:$R$1500))</f>
        <v/>
      </c>
      <c r="F94" s="38">
        <f>IF($B94="","",SUMPRODUCT(('系统实绩导入'!$B$4:$B$1500=$B94)*('系统实绩导入'!$C$4:$C$1500=$C94)*('系统实绩导入'!$D$4:$D$1500=$D94)*('系统实绩导入'!$F$4:$F$1500="实绩毛利")*('系统实绩导入'!$G$3:$R$3=$F$1)*'系统实绩导入'!$G$4:$R$1500))</f>
        <v/>
      </c>
      <c r="G94" s="39">
        <f>IF($B94="","",IFERROR(F94/E94,""))</f>
        <v/>
      </c>
      <c r="H94" s="38">
        <f>IF($B94="","",SUMPRODUCT(('目标填报'!$B$4:$B$1500=$B94)*('目标填报'!$C$4:$C$1500=$C94)*('目标填报'!$D$4:$D$1500=$D94)*('目标填报'!$F$4:$F$1500="销售目标额")*('目标填报'!$G$3:$R$3=$F$1)*'目标填报'!$G$4:$R$1500))</f>
        <v/>
      </c>
      <c r="I94" s="39">
        <f>IF($B94="","",IFERROR(E94/H94,""))</f>
        <v/>
      </c>
      <c r="J94" s="38">
        <f>IF($B94="","",SUMPRODUCT(('系统实绩导入'!$B$4:$B$1500=$B94)*('系统实绩导入'!$C$4:$C$1500=$C94)*('系统实绩导入'!$D$4:$D$1500=$D94)*('系统实绩导入'!$F$4:$F$1500="实绩销售额")*('系统实绩导入'!$G$3:$R$3&lt;=$F$1)*'系统实绩导入'!$G$4:$R$1500))</f>
        <v/>
      </c>
      <c r="K94" s="38">
        <f>IF($B94="","",SUMPRODUCT(('系统实绩导入'!$B$4:$B$1500=$B94)*('系统实绩导入'!$C$4:$C$1500=$C94)*('系统实绩导入'!$D$4:$D$1500=$D94)*('系统实绩导入'!$F$4:$F$1500="实绩毛利")*('系统实绩导入'!$G$3:$R$3&lt;=$F$1)*'系统实绩导入'!$G$4:$R$1500))</f>
        <v/>
      </c>
      <c r="L94" s="39">
        <f>IF($B94="","",IFERROR(K94/J94,""))</f>
        <v/>
      </c>
      <c r="M94" s="38">
        <f>IF($B94="","",SUMIFS('目标填报'!$S$4:$S$1500,'目标填报'!$B$4:$B$1500,$B94,'目标填报'!$C$4:$C$1500,$C94,'目标填报'!$D$4:$D$1500,$D94,'目标填报'!$F$4:$F$1500,"销售目标额"))</f>
        <v/>
      </c>
      <c r="N94" s="39">
        <f>IF($B94="","",IFERROR(J94/M94,""))</f>
        <v/>
      </c>
      <c r="O94" s="40">
        <f>IF($B94="","",J94-M94)</f>
        <v/>
      </c>
      <c r="P94" s="38">
        <f>IF($B94="","",SUMPRODUCT(('目标填报'!$B$4:$B$1500=$B94)*('目标填报'!$C$4:$C$1500=$C94)*('目标填报'!$D$4:$D$1500=$D94)*('目标填报'!$F$4:$F$1500="在手订单")*('目标填报'!$G$3:$R$3=$F$1)*'目标填报'!$G$4:$R$1500))</f>
        <v/>
      </c>
      <c r="Q94" s="38">
        <f>IF($B94="","",SUMPRODUCT(('目标填报'!$B$4:$B$1500=$B94)*('目标填报'!$C$4:$C$1500=$C94)*('目标填报'!$D$4:$D$1500=$D94)*('目标填报'!$F$4:$F$1500="在手订单目标")*('目标填报'!$G$3:$R$3=$F$1)*'目标填报'!$G$4:$R$1500))</f>
        <v/>
      </c>
      <c r="R94" s="39">
        <f>IF($B94="","",IFERROR(P94/Q94,""))</f>
        <v/>
      </c>
      <c r="S94" s="38">
        <f>IF($B94="","",SUMPRODUCT(('目标填报'!$B$4:$B$1500=$B94)*('目标填报'!$C$4:$C$1500=$C94)*('目标填报'!$D$4:$D$1500=$D94)*('目标填报'!$F$4:$F$1500="目标客户机会")*('目标填报'!$G$3:$R$3=$F$1)*'目标填报'!$G$4:$R$1500))</f>
        <v/>
      </c>
      <c r="T94" s="38">
        <f>IF($B94="","",SUMPRODUCT(('目标填报'!$B$4:$B$1500=$B94)*('目标填报'!$C$4:$C$1500=$C94)*('目标填报'!$D$4:$D$1500=$D94)*('目标填报'!$F$4:$F$1500="目标客户机会目标")*('目标填报'!$G$3:$R$3=$F$1)*'目标填报'!$G$4:$R$1500))</f>
        <v/>
      </c>
      <c r="U94" s="39">
        <f>IF($B94="","",IFERROR(S94/T94,""))</f>
        <v/>
      </c>
      <c r="V94" s="38">
        <f>IF($B94="","",P94+S94)</f>
        <v/>
      </c>
      <c r="W94" s="38">
        <f>IF($B94="","",M94-J94)</f>
        <v/>
      </c>
      <c r="X94" s="39">
        <f>IF($B94="","",IFERROR(V94/W94,""))</f>
        <v/>
      </c>
      <c r="Y94" s="40">
        <f>IF($B94="","",V94-W94)</f>
        <v/>
      </c>
    </row>
    <row r="95">
      <c r="A95" s="37">
        <f>IF($B95="","",ROW()-3)</f>
        <v/>
      </c>
      <c r="B95" s="13">
        <f>IF(91+1&gt;COUNTA('维度字典'!$C$2:$C$200)*COUNTA('维度字典'!$A$2:$A$200)*COUNTA('维度字典'!$E$2:$E$200),"",INDEX('维度字典'!$C$2:$C$200,MOD(INT(91/(COUNTA('维度字典'!$E$2:$E$200)*COUNTA('维度字典'!$A$2:$A$200))),COUNTA('维度字典'!$C$2:$C$200))+1))</f>
        <v/>
      </c>
      <c r="C95" s="13">
        <f>IF($B95="","",INDEX('维度字典'!$A$2:$A$200,MOD(INT(91/COUNTA('维度字典'!$E$2:$E$200)),COUNTA('维度字典'!$A$2:$A$200))+1))</f>
        <v/>
      </c>
      <c r="D95" s="13">
        <f>IF($B95="","",INDEX('维度字典'!$E$2:$E$200,MOD(91,COUNTA('维度字典'!$E$2:$E$200))+1))</f>
        <v/>
      </c>
      <c r="E95" s="38">
        <f>IF($B95="","",SUMPRODUCT(('系统实绩导入'!$B$4:$B$1500=$B95)*('系统实绩导入'!$C$4:$C$1500=$C95)*('系统实绩导入'!$D$4:$D$1500=$D95)*('系统实绩导入'!$F$4:$F$1500="实绩销售额")*('系统实绩导入'!$G$3:$R$3=$F$1)*'系统实绩导入'!$G$4:$R$1500))</f>
        <v/>
      </c>
      <c r="F95" s="38">
        <f>IF($B95="","",SUMPRODUCT(('系统实绩导入'!$B$4:$B$1500=$B95)*('系统实绩导入'!$C$4:$C$1500=$C95)*('系统实绩导入'!$D$4:$D$1500=$D95)*('系统实绩导入'!$F$4:$F$1500="实绩毛利")*('系统实绩导入'!$G$3:$R$3=$F$1)*'系统实绩导入'!$G$4:$R$1500))</f>
        <v/>
      </c>
      <c r="G95" s="39">
        <f>IF($B95="","",IFERROR(F95/E95,""))</f>
        <v/>
      </c>
      <c r="H95" s="38">
        <f>IF($B95="","",SUMPRODUCT(('目标填报'!$B$4:$B$1500=$B95)*('目标填报'!$C$4:$C$1500=$C95)*('目标填报'!$D$4:$D$1500=$D95)*('目标填报'!$F$4:$F$1500="销售目标额")*('目标填报'!$G$3:$R$3=$F$1)*'目标填报'!$G$4:$R$1500))</f>
        <v/>
      </c>
      <c r="I95" s="39">
        <f>IF($B95="","",IFERROR(E95/H95,""))</f>
        <v/>
      </c>
      <c r="J95" s="38">
        <f>IF($B95="","",SUMPRODUCT(('系统实绩导入'!$B$4:$B$1500=$B95)*('系统实绩导入'!$C$4:$C$1500=$C95)*('系统实绩导入'!$D$4:$D$1500=$D95)*('系统实绩导入'!$F$4:$F$1500="实绩销售额")*('系统实绩导入'!$G$3:$R$3&lt;=$F$1)*'系统实绩导入'!$G$4:$R$1500))</f>
        <v/>
      </c>
      <c r="K95" s="38">
        <f>IF($B95="","",SUMPRODUCT(('系统实绩导入'!$B$4:$B$1500=$B95)*('系统实绩导入'!$C$4:$C$1500=$C95)*('系统实绩导入'!$D$4:$D$1500=$D95)*('系统实绩导入'!$F$4:$F$1500="实绩毛利")*('系统实绩导入'!$G$3:$R$3&lt;=$F$1)*'系统实绩导入'!$G$4:$R$1500))</f>
        <v/>
      </c>
      <c r="L95" s="39">
        <f>IF($B95="","",IFERROR(K95/J95,""))</f>
        <v/>
      </c>
      <c r="M95" s="38">
        <f>IF($B95="","",SUMIFS('目标填报'!$S$4:$S$1500,'目标填报'!$B$4:$B$1500,$B95,'目标填报'!$C$4:$C$1500,$C95,'目标填报'!$D$4:$D$1500,$D95,'目标填报'!$F$4:$F$1500,"销售目标额"))</f>
        <v/>
      </c>
      <c r="N95" s="39">
        <f>IF($B95="","",IFERROR(J95/M95,""))</f>
        <v/>
      </c>
      <c r="O95" s="40">
        <f>IF($B95="","",J95-M95)</f>
        <v/>
      </c>
      <c r="P95" s="38">
        <f>IF($B95="","",SUMPRODUCT(('目标填报'!$B$4:$B$1500=$B95)*('目标填报'!$C$4:$C$1500=$C95)*('目标填报'!$D$4:$D$1500=$D95)*('目标填报'!$F$4:$F$1500="在手订单")*('目标填报'!$G$3:$R$3=$F$1)*'目标填报'!$G$4:$R$1500))</f>
        <v/>
      </c>
      <c r="Q95" s="38">
        <f>IF($B95="","",SUMPRODUCT(('目标填报'!$B$4:$B$1500=$B95)*('目标填报'!$C$4:$C$1500=$C95)*('目标填报'!$D$4:$D$1500=$D95)*('目标填报'!$F$4:$F$1500="在手订单目标")*('目标填报'!$G$3:$R$3=$F$1)*'目标填报'!$G$4:$R$1500))</f>
        <v/>
      </c>
      <c r="R95" s="39">
        <f>IF($B95="","",IFERROR(P95/Q95,""))</f>
        <v/>
      </c>
      <c r="S95" s="38">
        <f>IF($B95="","",SUMPRODUCT(('目标填报'!$B$4:$B$1500=$B95)*('目标填报'!$C$4:$C$1500=$C95)*('目标填报'!$D$4:$D$1500=$D95)*('目标填报'!$F$4:$F$1500="目标客户机会")*('目标填报'!$G$3:$R$3=$F$1)*'目标填报'!$G$4:$R$1500))</f>
        <v/>
      </c>
      <c r="T95" s="38">
        <f>IF($B95="","",SUMPRODUCT(('目标填报'!$B$4:$B$1500=$B95)*('目标填报'!$C$4:$C$1500=$C95)*('目标填报'!$D$4:$D$1500=$D95)*('目标填报'!$F$4:$F$1500="目标客户机会目标")*('目标填报'!$G$3:$R$3=$F$1)*'目标填报'!$G$4:$R$1500))</f>
        <v/>
      </c>
      <c r="U95" s="39">
        <f>IF($B95="","",IFERROR(S95/T95,""))</f>
        <v/>
      </c>
      <c r="V95" s="38">
        <f>IF($B95="","",P95+S95)</f>
        <v/>
      </c>
      <c r="W95" s="38">
        <f>IF($B95="","",M95-J95)</f>
        <v/>
      </c>
      <c r="X95" s="39">
        <f>IF($B95="","",IFERROR(V95/W95,""))</f>
        <v/>
      </c>
      <c r="Y95" s="40">
        <f>IF($B95="","",V95-W95)</f>
        <v/>
      </c>
    </row>
    <row r="96">
      <c r="A96" s="37">
        <f>IF($B96="","",ROW()-3)</f>
        <v/>
      </c>
      <c r="B96" s="13">
        <f>IF(92+1&gt;COUNTA('维度字典'!$C$2:$C$200)*COUNTA('维度字典'!$A$2:$A$200)*COUNTA('维度字典'!$E$2:$E$200),"",INDEX('维度字典'!$C$2:$C$200,MOD(INT(92/(COUNTA('维度字典'!$E$2:$E$200)*COUNTA('维度字典'!$A$2:$A$200))),COUNTA('维度字典'!$C$2:$C$200))+1))</f>
        <v/>
      </c>
      <c r="C96" s="13">
        <f>IF($B96="","",INDEX('维度字典'!$A$2:$A$200,MOD(INT(92/COUNTA('维度字典'!$E$2:$E$200)),COUNTA('维度字典'!$A$2:$A$200))+1))</f>
        <v/>
      </c>
      <c r="D96" s="13">
        <f>IF($B96="","",INDEX('维度字典'!$E$2:$E$200,MOD(92,COUNTA('维度字典'!$E$2:$E$200))+1))</f>
        <v/>
      </c>
      <c r="E96" s="38">
        <f>IF($B96="","",SUMPRODUCT(('系统实绩导入'!$B$4:$B$1500=$B96)*('系统实绩导入'!$C$4:$C$1500=$C96)*('系统实绩导入'!$D$4:$D$1500=$D96)*('系统实绩导入'!$F$4:$F$1500="实绩销售额")*('系统实绩导入'!$G$3:$R$3=$F$1)*'系统实绩导入'!$G$4:$R$1500))</f>
        <v/>
      </c>
      <c r="F96" s="38">
        <f>IF($B96="","",SUMPRODUCT(('系统实绩导入'!$B$4:$B$1500=$B96)*('系统实绩导入'!$C$4:$C$1500=$C96)*('系统实绩导入'!$D$4:$D$1500=$D96)*('系统实绩导入'!$F$4:$F$1500="实绩毛利")*('系统实绩导入'!$G$3:$R$3=$F$1)*'系统实绩导入'!$G$4:$R$1500))</f>
        <v/>
      </c>
      <c r="G96" s="39">
        <f>IF($B96="","",IFERROR(F96/E96,""))</f>
        <v/>
      </c>
      <c r="H96" s="38">
        <f>IF($B96="","",SUMPRODUCT(('目标填报'!$B$4:$B$1500=$B96)*('目标填报'!$C$4:$C$1500=$C96)*('目标填报'!$D$4:$D$1500=$D96)*('目标填报'!$F$4:$F$1500="销售目标额")*('目标填报'!$G$3:$R$3=$F$1)*'目标填报'!$G$4:$R$1500))</f>
        <v/>
      </c>
      <c r="I96" s="39">
        <f>IF($B96="","",IFERROR(E96/H96,""))</f>
        <v/>
      </c>
      <c r="J96" s="38">
        <f>IF($B96="","",SUMPRODUCT(('系统实绩导入'!$B$4:$B$1500=$B96)*('系统实绩导入'!$C$4:$C$1500=$C96)*('系统实绩导入'!$D$4:$D$1500=$D96)*('系统实绩导入'!$F$4:$F$1500="实绩销售额")*('系统实绩导入'!$G$3:$R$3&lt;=$F$1)*'系统实绩导入'!$G$4:$R$1500))</f>
        <v/>
      </c>
      <c r="K96" s="38">
        <f>IF($B96="","",SUMPRODUCT(('系统实绩导入'!$B$4:$B$1500=$B96)*('系统实绩导入'!$C$4:$C$1500=$C96)*('系统实绩导入'!$D$4:$D$1500=$D96)*('系统实绩导入'!$F$4:$F$1500="实绩毛利")*('系统实绩导入'!$G$3:$R$3&lt;=$F$1)*'系统实绩导入'!$G$4:$R$1500))</f>
        <v/>
      </c>
      <c r="L96" s="39">
        <f>IF($B96="","",IFERROR(K96/J96,""))</f>
        <v/>
      </c>
      <c r="M96" s="38">
        <f>IF($B96="","",SUMIFS('目标填报'!$S$4:$S$1500,'目标填报'!$B$4:$B$1500,$B96,'目标填报'!$C$4:$C$1500,$C96,'目标填报'!$D$4:$D$1500,$D96,'目标填报'!$F$4:$F$1500,"销售目标额"))</f>
        <v/>
      </c>
      <c r="N96" s="39">
        <f>IF($B96="","",IFERROR(J96/M96,""))</f>
        <v/>
      </c>
      <c r="O96" s="40">
        <f>IF($B96="","",J96-M96)</f>
        <v/>
      </c>
      <c r="P96" s="38">
        <f>IF($B96="","",SUMPRODUCT(('目标填报'!$B$4:$B$1500=$B96)*('目标填报'!$C$4:$C$1500=$C96)*('目标填报'!$D$4:$D$1500=$D96)*('目标填报'!$F$4:$F$1500="在手订单")*('目标填报'!$G$3:$R$3=$F$1)*'目标填报'!$G$4:$R$1500))</f>
        <v/>
      </c>
      <c r="Q96" s="38">
        <f>IF($B96="","",SUMPRODUCT(('目标填报'!$B$4:$B$1500=$B96)*('目标填报'!$C$4:$C$1500=$C96)*('目标填报'!$D$4:$D$1500=$D96)*('目标填报'!$F$4:$F$1500="在手订单目标")*('目标填报'!$G$3:$R$3=$F$1)*'目标填报'!$G$4:$R$1500))</f>
        <v/>
      </c>
      <c r="R96" s="39">
        <f>IF($B96="","",IFERROR(P96/Q96,""))</f>
        <v/>
      </c>
      <c r="S96" s="38">
        <f>IF($B96="","",SUMPRODUCT(('目标填报'!$B$4:$B$1500=$B96)*('目标填报'!$C$4:$C$1500=$C96)*('目标填报'!$D$4:$D$1500=$D96)*('目标填报'!$F$4:$F$1500="目标客户机会")*('目标填报'!$G$3:$R$3=$F$1)*'目标填报'!$G$4:$R$1500))</f>
        <v/>
      </c>
      <c r="T96" s="38">
        <f>IF($B96="","",SUMPRODUCT(('目标填报'!$B$4:$B$1500=$B96)*('目标填报'!$C$4:$C$1500=$C96)*('目标填报'!$D$4:$D$1500=$D96)*('目标填报'!$F$4:$F$1500="目标客户机会目标")*('目标填报'!$G$3:$R$3=$F$1)*'目标填报'!$G$4:$R$1500))</f>
        <v/>
      </c>
      <c r="U96" s="39">
        <f>IF($B96="","",IFERROR(S96/T96,""))</f>
        <v/>
      </c>
      <c r="V96" s="38">
        <f>IF($B96="","",P96+S96)</f>
        <v/>
      </c>
      <c r="W96" s="38">
        <f>IF($B96="","",M96-J96)</f>
        <v/>
      </c>
      <c r="X96" s="39">
        <f>IF($B96="","",IFERROR(V96/W96,""))</f>
        <v/>
      </c>
      <c r="Y96" s="40">
        <f>IF($B96="","",V96-W96)</f>
        <v/>
      </c>
    </row>
    <row r="97">
      <c r="A97" s="37">
        <f>IF($B97="","",ROW()-3)</f>
        <v/>
      </c>
      <c r="B97" s="13">
        <f>IF(93+1&gt;COUNTA('维度字典'!$C$2:$C$200)*COUNTA('维度字典'!$A$2:$A$200)*COUNTA('维度字典'!$E$2:$E$200),"",INDEX('维度字典'!$C$2:$C$200,MOD(INT(93/(COUNTA('维度字典'!$E$2:$E$200)*COUNTA('维度字典'!$A$2:$A$200))),COUNTA('维度字典'!$C$2:$C$200))+1))</f>
        <v/>
      </c>
      <c r="C97" s="13">
        <f>IF($B97="","",INDEX('维度字典'!$A$2:$A$200,MOD(INT(93/COUNTA('维度字典'!$E$2:$E$200)),COUNTA('维度字典'!$A$2:$A$200))+1))</f>
        <v/>
      </c>
      <c r="D97" s="13">
        <f>IF($B97="","",INDEX('维度字典'!$E$2:$E$200,MOD(93,COUNTA('维度字典'!$E$2:$E$200))+1))</f>
        <v/>
      </c>
      <c r="E97" s="38">
        <f>IF($B97="","",SUMPRODUCT(('系统实绩导入'!$B$4:$B$1500=$B97)*('系统实绩导入'!$C$4:$C$1500=$C97)*('系统实绩导入'!$D$4:$D$1500=$D97)*('系统实绩导入'!$F$4:$F$1500="实绩销售额")*('系统实绩导入'!$G$3:$R$3=$F$1)*'系统实绩导入'!$G$4:$R$1500))</f>
        <v/>
      </c>
      <c r="F97" s="38">
        <f>IF($B97="","",SUMPRODUCT(('系统实绩导入'!$B$4:$B$1500=$B97)*('系统实绩导入'!$C$4:$C$1500=$C97)*('系统实绩导入'!$D$4:$D$1500=$D97)*('系统实绩导入'!$F$4:$F$1500="实绩毛利")*('系统实绩导入'!$G$3:$R$3=$F$1)*'系统实绩导入'!$G$4:$R$1500))</f>
        <v/>
      </c>
      <c r="G97" s="39">
        <f>IF($B97="","",IFERROR(F97/E97,""))</f>
        <v/>
      </c>
      <c r="H97" s="38">
        <f>IF($B97="","",SUMPRODUCT(('目标填报'!$B$4:$B$1500=$B97)*('目标填报'!$C$4:$C$1500=$C97)*('目标填报'!$D$4:$D$1500=$D97)*('目标填报'!$F$4:$F$1500="销售目标额")*('目标填报'!$G$3:$R$3=$F$1)*'目标填报'!$G$4:$R$1500))</f>
        <v/>
      </c>
      <c r="I97" s="39">
        <f>IF($B97="","",IFERROR(E97/H97,""))</f>
        <v/>
      </c>
      <c r="J97" s="38">
        <f>IF($B97="","",SUMPRODUCT(('系统实绩导入'!$B$4:$B$1500=$B97)*('系统实绩导入'!$C$4:$C$1500=$C97)*('系统实绩导入'!$D$4:$D$1500=$D97)*('系统实绩导入'!$F$4:$F$1500="实绩销售额")*('系统实绩导入'!$G$3:$R$3&lt;=$F$1)*'系统实绩导入'!$G$4:$R$1500))</f>
        <v/>
      </c>
      <c r="K97" s="38">
        <f>IF($B97="","",SUMPRODUCT(('系统实绩导入'!$B$4:$B$1500=$B97)*('系统实绩导入'!$C$4:$C$1500=$C97)*('系统实绩导入'!$D$4:$D$1500=$D97)*('系统实绩导入'!$F$4:$F$1500="实绩毛利")*('系统实绩导入'!$G$3:$R$3&lt;=$F$1)*'系统实绩导入'!$G$4:$R$1500))</f>
        <v/>
      </c>
      <c r="L97" s="39">
        <f>IF($B97="","",IFERROR(K97/J97,""))</f>
        <v/>
      </c>
      <c r="M97" s="38">
        <f>IF($B97="","",SUMIFS('目标填报'!$S$4:$S$1500,'目标填报'!$B$4:$B$1500,$B97,'目标填报'!$C$4:$C$1500,$C97,'目标填报'!$D$4:$D$1500,$D97,'目标填报'!$F$4:$F$1500,"销售目标额"))</f>
        <v/>
      </c>
      <c r="N97" s="39">
        <f>IF($B97="","",IFERROR(J97/M97,""))</f>
        <v/>
      </c>
      <c r="O97" s="40">
        <f>IF($B97="","",J97-M97)</f>
        <v/>
      </c>
      <c r="P97" s="38">
        <f>IF($B97="","",SUMPRODUCT(('目标填报'!$B$4:$B$1500=$B97)*('目标填报'!$C$4:$C$1500=$C97)*('目标填报'!$D$4:$D$1500=$D97)*('目标填报'!$F$4:$F$1500="在手订单")*('目标填报'!$G$3:$R$3=$F$1)*'目标填报'!$G$4:$R$1500))</f>
        <v/>
      </c>
      <c r="Q97" s="38">
        <f>IF($B97="","",SUMPRODUCT(('目标填报'!$B$4:$B$1500=$B97)*('目标填报'!$C$4:$C$1500=$C97)*('目标填报'!$D$4:$D$1500=$D97)*('目标填报'!$F$4:$F$1500="在手订单目标")*('目标填报'!$G$3:$R$3=$F$1)*'目标填报'!$G$4:$R$1500))</f>
        <v/>
      </c>
      <c r="R97" s="39">
        <f>IF($B97="","",IFERROR(P97/Q97,""))</f>
        <v/>
      </c>
      <c r="S97" s="38">
        <f>IF($B97="","",SUMPRODUCT(('目标填报'!$B$4:$B$1500=$B97)*('目标填报'!$C$4:$C$1500=$C97)*('目标填报'!$D$4:$D$1500=$D97)*('目标填报'!$F$4:$F$1500="目标客户机会")*('目标填报'!$G$3:$R$3=$F$1)*'目标填报'!$G$4:$R$1500))</f>
        <v/>
      </c>
      <c r="T97" s="38">
        <f>IF($B97="","",SUMPRODUCT(('目标填报'!$B$4:$B$1500=$B97)*('目标填报'!$C$4:$C$1500=$C97)*('目标填报'!$D$4:$D$1500=$D97)*('目标填报'!$F$4:$F$1500="目标客户机会目标")*('目标填报'!$G$3:$R$3=$F$1)*'目标填报'!$G$4:$R$1500))</f>
        <v/>
      </c>
      <c r="U97" s="39">
        <f>IF($B97="","",IFERROR(S97/T97,""))</f>
        <v/>
      </c>
      <c r="V97" s="38">
        <f>IF($B97="","",P97+S97)</f>
        <v/>
      </c>
      <c r="W97" s="38">
        <f>IF($B97="","",M97-J97)</f>
        <v/>
      </c>
      <c r="X97" s="39">
        <f>IF($B97="","",IFERROR(V97/W97,""))</f>
        <v/>
      </c>
      <c r="Y97" s="40">
        <f>IF($B97="","",V97-W97)</f>
        <v/>
      </c>
    </row>
    <row r="98">
      <c r="A98" s="37">
        <f>IF($B98="","",ROW()-3)</f>
        <v/>
      </c>
      <c r="B98" s="13">
        <f>IF(94+1&gt;COUNTA('维度字典'!$C$2:$C$200)*COUNTA('维度字典'!$A$2:$A$200)*COUNTA('维度字典'!$E$2:$E$200),"",INDEX('维度字典'!$C$2:$C$200,MOD(INT(94/(COUNTA('维度字典'!$E$2:$E$200)*COUNTA('维度字典'!$A$2:$A$200))),COUNTA('维度字典'!$C$2:$C$200))+1))</f>
        <v/>
      </c>
      <c r="C98" s="13">
        <f>IF($B98="","",INDEX('维度字典'!$A$2:$A$200,MOD(INT(94/COUNTA('维度字典'!$E$2:$E$200)),COUNTA('维度字典'!$A$2:$A$200))+1))</f>
        <v/>
      </c>
      <c r="D98" s="13">
        <f>IF($B98="","",INDEX('维度字典'!$E$2:$E$200,MOD(94,COUNTA('维度字典'!$E$2:$E$200))+1))</f>
        <v/>
      </c>
      <c r="E98" s="38">
        <f>IF($B98="","",SUMPRODUCT(('系统实绩导入'!$B$4:$B$1500=$B98)*('系统实绩导入'!$C$4:$C$1500=$C98)*('系统实绩导入'!$D$4:$D$1500=$D98)*('系统实绩导入'!$F$4:$F$1500="实绩销售额")*('系统实绩导入'!$G$3:$R$3=$F$1)*'系统实绩导入'!$G$4:$R$1500))</f>
        <v/>
      </c>
      <c r="F98" s="38">
        <f>IF($B98="","",SUMPRODUCT(('系统实绩导入'!$B$4:$B$1500=$B98)*('系统实绩导入'!$C$4:$C$1500=$C98)*('系统实绩导入'!$D$4:$D$1500=$D98)*('系统实绩导入'!$F$4:$F$1500="实绩毛利")*('系统实绩导入'!$G$3:$R$3=$F$1)*'系统实绩导入'!$G$4:$R$1500))</f>
        <v/>
      </c>
      <c r="G98" s="39">
        <f>IF($B98="","",IFERROR(F98/E98,""))</f>
        <v/>
      </c>
      <c r="H98" s="38">
        <f>IF($B98="","",SUMPRODUCT(('目标填报'!$B$4:$B$1500=$B98)*('目标填报'!$C$4:$C$1500=$C98)*('目标填报'!$D$4:$D$1500=$D98)*('目标填报'!$F$4:$F$1500="销售目标额")*('目标填报'!$G$3:$R$3=$F$1)*'目标填报'!$G$4:$R$1500))</f>
        <v/>
      </c>
      <c r="I98" s="39">
        <f>IF($B98="","",IFERROR(E98/H98,""))</f>
        <v/>
      </c>
      <c r="J98" s="38">
        <f>IF($B98="","",SUMPRODUCT(('系统实绩导入'!$B$4:$B$1500=$B98)*('系统实绩导入'!$C$4:$C$1500=$C98)*('系统实绩导入'!$D$4:$D$1500=$D98)*('系统实绩导入'!$F$4:$F$1500="实绩销售额")*('系统实绩导入'!$G$3:$R$3&lt;=$F$1)*'系统实绩导入'!$G$4:$R$1500))</f>
        <v/>
      </c>
      <c r="K98" s="38">
        <f>IF($B98="","",SUMPRODUCT(('系统实绩导入'!$B$4:$B$1500=$B98)*('系统实绩导入'!$C$4:$C$1500=$C98)*('系统实绩导入'!$D$4:$D$1500=$D98)*('系统实绩导入'!$F$4:$F$1500="实绩毛利")*('系统实绩导入'!$G$3:$R$3&lt;=$F$1)*'系统实绩导入'!$G$4:$R$1500))</f>
        <v/>
      </c>
      <c r="L98" s="39">
        <f>IF($B98="","",IFERROR(K98/J98,""))</f>
        <v/>
      </c>
      <c r="M98" s="38">
        <f>IF($B98="","",SUMIFS('目标填报'!$S$4:$S$1500,'目标填报'!$B$4:$B$1500,$B98,'目标填报'!$C$4:$C$1500,$C98,'目标填报'!$D$4:$D$1500,$D98,'目标填报'!$F$4:$F$1500,"销售目标额"))</f>
        <v/>
      </c>
      <c r="N98" s="39">
        <f>IF($B98="","",IFERROR(J98/M98,""))</f>
        <v/>
      </c>
      <c r="O98" s="40">
        <f>IF($B98="","",J98-M98)</f>
        <v/>
      </c>
      <c r="P98" s="38">
        <f>IF($B98="","",SUMPRODUCT(('目标填报'!$B$4:$B$1500=$B98)*('目标填报'!$C$4:$C$1500=$C98)*('目标填报'!$D$4:$D$1500=$D98)*('目标填报'!$F$4:$F$1500="在手订单")*('目标填报'!$G$3:$R$3=$F$1)*'目标填报'!$G$4:$R$1500))</f>
        <v/>
      </c>
      <c r="Q98" s="38">
        <f>IF($B98="","",SUMPRODUCT(('目标填报'!$B$4:$B$1500=$B98)*('目标填报'!$C$4:$C$1500=$C98)*('目标填报'!$D$4:$D$1500=$D98)*('目标填报'!$F$4:$F$1500="在手订单目标")*('目标填报'!$G$3:$R$3=$F$1)*'目标填报'!$G$4:$R$1500))</f>
        <v/>
      </c>
      <c r="R98" s="39">
        <f>IF($B98="","",IFERROR(P98/Q98,""))</f>
        <v/>
      </c>
      <c r="S98" s="38">
        <f>IF($B98="","",SUMPRODUCT(('目标填报'!$B$4:$B$1500=$B98)*('目标填报'!$C$4:$C$1500=$C98)*('目标填报'!$D$4:$D$1500=$D98)*('目标填报'!$F$4:$F$1500="目标客户机会")*('目标填报'!$G$3:$R$3=$F$1)*'目标填报'!$G$4:$R$1500))</f>
        <v/>
      </c>
      <c r="T98" s="38">
        <f>IF($B98="","",SUMPRODUCT(('目标填报'!$B$4:$B$1500=$B98)*('目标填报'!$C$4:$C$1500=$C98)*('目标填报'!$D$4:$D$1500=$D98)*('目标填报'!$F$4:$F$1500="目标客户机会目标")*('目标填报'!$G$3:$R$3=$F$1)*'目标填报'!$G$4:$R$1500))</f>
        <v/>
      </c>
      <c r="U98" s="39">
        <f>IF($B98="","",IFERROR(S98/T98,""))</f>
        <v/>
      </c>
      <c r="V98" s="38">
        <f>IF($B98="","",P98+S98)</f>
        <v/>
      </c>
      <c r="W98" s="38">
        <f>IF($B98="","",M98-J98)</f>
        <v/>
      </c>
      <c r="X98" s="39">
        <f>IF($B98="","",IFERROR(V98/W98,""))</f>
        <v/>
      </c>
      <c r="Y98" s="40">
        <f>IF($B98="","",V98-W98)</f>
        <v/>
      </c>
    </row>
    <row r="99">
      <c r="A99" s="37">
        <f>IF($B99="","",ROW()-3)</f>
        <v/>
      </c>
      <c r="B99" s="13">
        <f>IF(95+1&gt;COUNTA('维度字典'!$C$2:$C$200)*COUNTA('维度字典'!$A$2:$A$200)*COUNTA('维度字典'!$E$2:$E$200),"",INDEX('维度字典'!$C$2:$C$200,MOD(INT(95/(COUNTA('维度字典'!$E$2:$E$200)*COUNTA('维度字典'!$A$2:$A$200))),COUNTA('维度字典'!$C$2:$C$200))+1))</f>
        <v/>
      </c>
      <c r="C99" s="13">
        <f>IF($B99="","",INDEX('维度字典'!$A$2:$A$200,MOD(INT(95/COUNTA('维度字典'!$E$2:$E$200)),COUNTA('维度字典'!$A$2:$A$200))+1))</f>
        <v/>
      </c>
      <c r="D99" s="13">
        <f>IF($B99="","",INDEX('维度字典'!$E$2:$E$200,MOD(95,COUNTA('维度字典'!$E$2:$E$200))+1))</f>
        <v/>
      </c>
      <c r="E99" s="38">
        <f>IF($B99="","",SUMPRODUCT(('系统实绩导入'!$B$4:$B$1500=$B99)*('系统实绩导入'!$C$4:$C$1500=$C99)*('系统实绩导入'!$D$4:$D$1500=$D99)*('系统实绩导入'!$F$4:$F$1500="实绩销售额")*('系统实绩导入'!$G$3:$R$3=$F$1)*'系统实绩导入'!$G$4:$R$1500))</f>
        <v/>
      </c>
      <c r="F99" s="38">
        <f>IF($B99="","",SUMPRODUCT(('系统实绩导入'!$B$4:$B$1500=$B99)*('系统实绩导入'!$C$4:$C$1500=$C99)*('系统实绩导入'!$D$4:$D$1500=$D99)*('系统实绩导入'!$F$4:$F$1500="实绩毛利")*('系统实绩导入'!$G$3:$R$3=$F$1)*'系统实绩导入'!$G$4:$R$1500))</f>
        <v/>
      </c>
      <c r="G99" s="39">
        <f>IF($B99="","",IFERROR(F99/E99,""))</f>
        <v/>
      </c>
      <c r="H99" s="38">
        <f>IF($B99="","",SUMPRODUCT(('目标填报'!$B$4:$B$1500=$B99)*('目标填报'!$C$4:$C$1500=$C99)*('目标填报'!$D$4:$D$1500=$D99)*('目标填报'!$F$4:$F$1500="销售目标额")*('目标填报'!$G$3:$R$3=$F$1)*'目标填报'!$G$4:$R$1500))</f>
        <v/>
      </c>
      <c r="I99" s="39">
        <f>IF($B99="","",IFERROR(E99/H99,""))</f>
        <v/>
      </c>
      <c r="J99" s="38">
        <f>IF($B99="","",SUMPRODUCT(('系统实绩导入'!$B$4:$B$1500=$B99)*('系统实绩导入'!$C$4:$C$1500=$C99)*('系统实绩导入'!$D$4:$D$1500=$D99)*('系统实绩导入'!$F$4:$F$1500="实绩销售额")*('系统实绩导入'!$G$3:$R$3&lt;=$F$1)*'系统实绩导入'!$G$4:$R$1500))</f>
        <v/>
      </c>
      <c r="K99" s="38">
        <f>IF($B99="","",SUMPRODUCT(('系统实绩导入'!$B$4:$B$1500=$B99)*('系统实绩导入'!$C$4:$C$1500=$C99)*('系统实绩导入'!$D$4:$D$1500=$D99)*('系统实绩导入'!$F$4:$F$1500="实绩毛利")*('系统实绩导入'!$G$3:$R$3&lt;=$F$1)*'系统实绩导入'!$G$4:$R$1500))</f>
        <v/>
      </c>
      <c r="L99" s="39">
        <f>IF($B99="","",IFERROR(K99/J99,""))</f>
        <v/>
      </c>
      <c r="M99" s="38">
        <f>IF($B99="","",SUMIFS('目标填报'!$S$4:$S$1500,'目标填报'!$B$4:$B$1500,$B99,'目标填报'!$C$4:$C$1500,$C99,'目标填报'!$D$4:$D$1500,$D99,'目标填报'!$F$4:$F$1500,"销售目标额"))</f>
        <v/>
      </c>
      <c r="N99" s="39">
        <f>IF($B99="","",IFERROR(J99/M99,""))</f>
        <v/>
      </c>
      <c r="O99" s="40">
        <f>IF($B99="","",J99-M99)</f>
        <v/>
      </c>
      <c r="P99" s="38">
        <f>IF($B99="","",SUMPRODUCT(('目标填报'!$B$4:$B$1500=$B99)*('目标填报'!$C$4:$C$1500=$C99)*('目标填报'!$D$4:$D$1500=$D99)*('目标填报'!$F$4:$F$1500="在手订单")*('目标填报'!$G$3:$R$3=$F$1)*'目标填报'!$G$4:$R$1500))</f>
        <v/>
      </c>
      <c r="Q99" s="38">
        <f>IF($B99="","",SUMPRODUCT(('目标填报'!$B$4:$B$1500=$B99)*('目标填报'!$C$4:$C$1500=$C99)*('目标填报'!$D$4:$D$1500=$D99)*('目标填报'!$F$4:$F$1500="在手订单目标")*('目标填报'!$G$3:$R$3=$F$1)*'目标填报'!$G$4:$R$1500))</f>
        <v/>
      </c>
      <c r="R99" s="39">
        <f>IF($B99="","",IFERROR(P99/Q99,""))</f>
        <v/>
      </c>
      <c r="S99" s="38">
        <f>IF($B99="","",SUMPRODUCT(('目标填报'!$B$4:$B$1500=$B99)*('目标填报'!$C$4:$C$1500=$C99)*('目标填报'!$D$4:$D$1500=$D99)*('目标填报'!$F$4:$F$1500="目标客户机会")*('目标填报'!$G$3:$R$3=$F$1)*'目标填报'!$G$4:$R$1500))</f>
        <v/>
      </c>
      <c r="T99" s="38">
        <f>IF($B99="","",SUMPRODUCT(('目标填报'!$B$4:$B$1500=$B99)*('目标填报'!$C$4:$C$1500=$C99)*('目标填报'!$D$4:$D$1500=$D99)*('目标填报'!$F$4:$F$1500="目标客户机会目标")*('目标填报'!$G$3:$R$3=$F$1)*'目标填报'!$G$4:$R$1500))</f>
        <v/>
      </c>
      <c r="U99" s="39">
        <f>IF($B99="","",IFERROR(S99/T99,""))</f>
        <v/>
      </c>
      <c r="V99" s="38">
        <f>IF($B99="","",P99+S99)</f>
        <v/>
      </c>
      <c r="W99" s="38">
        <f>IF($B99="","",M99-J99)</f>
        <v/>
      </c>
      <c r="X99" s="39">
        <f>IF($B99="","",IFERROR(V99/W99,""))</f>
        <v/>
      </c>
      <c r="Y99" s="40">
        <f>IF($B99="","",V99-W99)</f>
        <v/>
      </c>
    </row>
    <row r="100">
      <c r="A100" s="37">
        <f>IF($B100="","",ROW()-3)</f>
        <v/>
      </c>
      <c r="B100" s="13">
        <f>IF(96+1&gt;COUNTA('维度字典'!$C$2:$C$200)*COUNTA('维度字典'!$A$2:$A$200)*COUNTA('维度字典'!$E$2:$E$200),"",INDEX('维度字典'!$C$2:$C$200,MOD(INT(96/(COUNTA('维度字典'!$E$2:$E$200)*COUNTA('维度字典'!$A$2:$A$200))),COUNTA('维度字典'!$C$2:$C$200))+1))</f>
        <v/>
      </c>
      <c r="C100" s="13">
        <f>IF($B100="","",INDEX('维度字典'!$A$2:$A$200,MOD(INT(96/COUNTA('维度字典'!$E$2:$E$200)),COUNTA('维度字典'!$A$2:$A$200))+1))</f>
        <v/>
      </c>
      <c r="D100" s="13">
        <f>IF($B100="","",INDEX('维度字典'!$E$2:$E$200,MOD(96,COUNTA('维度字典'!$E$2:$E$200))+1))</f>
        <v/>
      </c>
      <c r="E100" s="38">
        <f>IF($B100="","",SUMPRODUCT(('系统实绩导入'!$B$4:$B$1500=$B100)*('系统实绩导入'!$C$4:$C$1500=$C100)*('系统实绩导入'!$D$4:$D$1500=$D100)*('系统实绩导入'!$F$4:$F$1500="实绩销售额")*('系统实绩导入'!$G$3:$R$3=$F$1)*'系统实绩导入'!$G$4:$R$1500))</f>
        <v/>
      </c>
      <c r="F100" s="38">
        <f>IF($B100="","",SUMPRODUCT(('系统实绩导入'!$B$4:$B$1500=$B100)*('系统实绩导入'!$C$4:$C$1500=$C100)*('系统实绩导入'!$D$4:$D$1500=$D100)*('系统实绩导入'!$F$4:$F$1500="实绩毛利")*('系统实绩导入'!$G$3:$R$3=$F$1)*'系统实绩导入'!$G$4:$R$1500))</f>
        <v/>
      </c>
      <c r="G100" s="39">
        <f>IF($B100="","",IFERROR(F100/E100,""))</f>
        <v/>
      </c>
      <c r="H100" s="38">
        <f>IF($B100="","",SUMPRODUCT(('目标填报'!$B$4:$B$1500=$B100)*('目标填报'!$C$4:$C$1500=$C100)*('目标填报'!$D$4:$D$1500=$D100)*('目标填报'!$F$4:$F$1500="销售目标额")*('目标填报'!$G$3:$R$3=$F$1)*'目标填报'!$G$4:$R$1500))</f>
        <v/>
      </c>
      <c r="I100" s="39">
        <f>IF($B100="","",IFERROR(E100/H100,""))</f>
        <v/>
      </c>
      <c r="J100" s="38">
        <f>IF($B100="","",SUMPRODUCT(('系统实绩导入'!$B$4:$B$1500=$B100)*('系统实绩导入'!$C$4:$C$1500=$C100)*('系统实绩导入'!$D$4:$D$1500=$D100)*('系统实绩导入'!$F$4:$F$1500="实绩销售额")*('系统实绩导入'!$G$3:$R$3&lt;=$F$1)*'系统实绩导入'!$G$4:$R$1500))</f>
        <v/>
      </c>
      <c r="K100" s="38">
        <f>IF($B100="","",SUMPRODUCT(('系统实绩导入'!$B$4:$B$1500=$B100)*('系统实绩导入'!$C$4:$C$1500=$C100)*('系统实绩导入'!$D$4:$D$1500=$D100)*('系统实绩导入'!$F$4:$F$1500="实绩毛利")*('系统实绩导入'!$G$3:$R$3&lt;=$F$1)*'系统实绩导入'!$G$4:$R$1500))</f>
        <v/>
      </c>
      <c r="L100" s="39">
        <f>IF($B100="","",IFERROR(K100/J100,""))</f>
        <v/>
      </c>
      <c r="M100" s="38">
        <f>IF($B100="","",SUMIFS('目标填报'!$S$4:$S$1500,'目标填报'!$B$4:$B$1500,$B100,'目标填报'!$C$4:$C$1500,$C100,'目标填报'!$D$4:$D$1500,$D100,'目标填报'!$F$4:$F$1500,"销售目标额"))</f>
        <v/>
      </c>
      <c r="N100" s="39">
        <f>IF($B100="","",IFERROR(J100/M100,""))</f>
        <v/>
      </c>
      <c r="O100" s="40">
        <f>IF($B100="","",J100-M100)</f>
        <v/>
      </c>
      <c r="P100" s="38">
        <f>IF($B100="","",SUMPRODUCT(('目标填报'!$B$4:$B$1500=$B100)*('目标填报'!$C$4:$C$1500=$C100)*('目标填报'!$D$4:$D$1500=$D100)*('目标填报'!$F$4:$F$1500="在手订单")*('目标填报'!$G$3:$R$3=$F$1)*'目标填报'!$G$4:$R$1500))</f>
        <v/>
      </c>
      <c r="Q100" s="38">
        <f>IF($B100="","",SUMPRODUCT(('目标填报'!$B$4:$B$1500=$B100)*('目标填报'!$C$4:$C$1500=$C100)*('目标填报'!$D$4:$D$1500=$D100)*('目标填报'!$F$4:$F$1500="在手订单目标")*('目标填报'!$G$3:$R$3=$F$1)*'目标填报'!$G$4:$R$1500))</f>
        <v/>
      </c>
      <c r="R100" s="39">
        <f>IF($B100="","",IFERROR(P100/Q100,""))</f>
        <v/>
      </c>
      <c r="S100" s="38">
        <f>IF($B100="","",SUMPRODUCT(('目标填报'!$B$4:$B$1500=$B100)*('目标填报'!$C$4:$C$1500=$C100)*('目标填报'!$D$4:$D$1500=$D100)*('目标填报'!$F$4:$F$1500="目标客户机会")*('目标填报'!$G$3:$R$3=$F$1)*'目标填报'!$G$4:$R$1500))</f>
        <v/>
      </c>
      <c r="T100" s="38">
        <f>IF($B100="","",SUMPRODUCT(('目标填报'!$B$4:$B$1500=$B100)*('目标填报'!$C$4:$C$1500=$C100)*('目标填报'!$D$4:$D$1500=$D100)*('目标填报'!$F$4:$F$1500="目标客户机会目标")*('目标填报'!$G$3:$R$3=$F$1)*'目标填报'!$G$4:$R$1500))</f>
        <v/>
      </c>
      <c r="U100" s="39">
        <f>IF($B100="","",IFERROR(S100/T100,""))</f>
        <v/>
      </c>
      <c r="V100" s="38">
        <f>IF($B100="","",P100+S100)</f>
        <v/>
      </c>
      <c r="W100" s="38">
        <f>IF($B100="","",M100-J100)</f>
        <v/>
      </c>
      <c r="X100" s="39">
        <f>IF($B100="","",IFERROR(V100/W100,""))</f>
        <v/>
      </c>
      <c r="Y100" s="40">
        <f>IF($B100="","",V100-W100)</f>
        <v/>
      </c>
    </row>
    <row r="101">
      <c r="A101" s="37">
        <f>IF($B101="","",ROW()-3)</f>
        <v/>
      </c>
      <c r="B101" s="13">
        <f>IF(97+1&gt;COUNTA('维度字典'!$C$2:$C$200)*COUNTA('维度字典'!$A$2:$A$200)*COUNTA('维度字典'!$E$2:$E$200),"",INDEX('维度字典'!$C$2:$C$200,MOD(INT(97/(COUNTA('维度字典'!$E$2:$E$200)*COUNTA('维度字典'!$A$2:$A$200))),COUNTA('维度字典'!$C$2:$C$200))+1))</f>
        <v/>
      </c>
      <c r="C101" s="13">
        <f>IF($B101="","",INDEX('维度字典'!$A$2:$A$200,MOD(INT(97/COUNTA('维度字典'!$E$2:$E$200)),COUNTA('维度字典'!$A$2:$A$200))+1))</f>
        <v/>
      </c>
      <c r="D101" s="13">
        <f>IF($B101="","",INDEX('维度字典'!$E$2:$E$200,MOD(97,COUNTA('维度字典'!$E$2:$E$200))+1))</f>
        <v/>
      </c>
      <c r="E101" s="38">
        <f>IF($B101="","",SUMPRODUCT(('系统实绩导入'!$B$4:$B$1500=$B101)*('系统实绩导入'!$C$4:$C$1500=$C101)*('系统实绩导入'!$D$4:$D$1500=$D101)*('系统实绩导入'!$F$4:$F$1500="实绩销售额")*('系统实绩导入'!$G$3:$R$3=$F$1)*'系统实绩导入'!$G$4:$R$1500))</f>
        <v/>
      </c>
      <c r="F101" s="38">
        <f>IF($B101="","",SUMPRODUCT(('系统实绩导入'!$B$4:$B$1500=$B101)*('系统实绩导入'!$C$4:$C$1500=$C101)*('系统实绩导入'!$D$4:$D$1500=$D101)*('系统实绩导入'!$F$4:$F$1500="实绩毛利")*('系统实绩导入'!$G$3:$R$3=$F$1)*'系统实绩导入'!$G$4:$R$1500))</f>
        <v/>
      </c>
      <c r="G101" s="39">
        <f>IF($B101="","",IFERROR(F101/E101,""))</f>
        <v/>
      </c>
      <c r="H101" s="38">
        <f>IF($B101="","",SUMPRODUCT(('目标填报'!$B$4:$B$1500=$B101)*('目标填报'!$C$4:$C$1500=$C101)*('目标填报'!$D$4:$D$1500=$D101)*('目标填报'!$F$4:$F$1500="销售目标额")*('目标填报'!$G$3:$R$3=$F$1)*'目标填报'!$G$4:$R$1500))</f>
        <v/>
      </c>
      <c r="I101" s="39">
        <f>IF($B101="","",IFERROR(E101/H101,""))</f>
        <v/>
      </c>
      <c r="J101" s="38">
        <f>IF($B101="","",SUMPRODUCT(('系统实绩导入'!$B$4:$B$1500=$B101)*('系统实绩导入'!$C$4:$C$1500=$C101)*('系统实绩导入'!$D$4:$D$1500=$D101)*('系统实绩导入'!$F$4:$F$1500="实绩销售额")*('系统实绩导入'!$G$3:$R$3&lt;=$F$1)*'系统实绩导入'!$G$4:$R$1500))</f>
        <v/>
      </c>
      <c r="K101" s="38">
        <f>IF($B101="","",SUMPRODUCT(('系统实绩导入'!$B$4:$B$1500=$B101)*('系统实绩导入'!$C$4:$C$1500=$C101)*('系统实绩导入'!$D$4:$D$1500=$D101)*('系统实绩导入'!$F$4:$F$1500="实绩毛利")*('系统实绩导入'!$G$3:$R$3&lt;=$F$1)*'系统实绩导入'!$G$4:$R$1500))</f>
        <v/>
      </c>
      <c r="L101" s="39">
        <f>IF($B101="","",IFERROR(K101/J101,""))</f>
        <v/>
      </c>
      <c r="M101" s="38">
        <f>IF($B101="","",SUMIFS('目标填报'!$S$4:$S$1500,'目标填报'!$B$4:$B$1500,$B101,'目标填报'!$C$4:$C$1500,$C101,'目标填报'!$D$4:$D$1500,$D101,'目标填报'!$F$4:$F$1500,"销售目标额"))</f>
        <v/>
      </c>
      <c r="N101" s="39">
        <f>IF($B101="","",IFERROR(J101/M101,""))</f>
        <v/>
      </c>
      <c r="O101" s="40">
        <f>IF($B101="","",J101-M101)</f>
        <v/>
      </c>
      <c r="P101" s="38">
        <f>IF($B101="","",SUMPRODUCT(('目标填报'!$B$4:$B$1500=$B101)*('目标填报'!$C$4:$C$1500=$C101)*('目标填报'!$D$4:$D$1500=$D101)*('目标填报'!$F$4:$F$1500="在手订单")*('目标填报'!$G$3:$R$3=$F$1)*'目标填报'!$G$4:$R$1500))</f>
        <v/>
      </c>
      <c r="Q101" s="38">
        <f>IF($B101="","",SUMPRODUCT(('目标填报'!$B$4:$B$1500=$B101)*('目标填报'!$C$4:$C$1500=$C101)*('目标填报'!$D$4:$D$1500=$D101)*('目标填报'!$F$4:$F$1500="在手订单目标")*('目标填报'!$G$3:$R$3=$F$1)*'目标填报'!$G$4:$R$1500))</f>
        <v/>
      </c>
      <c r="R101" s="39">
        <f>IF($B101="","",IFERROR(P101/Q101,""))</f>
        <v/>
      </c>
      <c r="S101" s="38">
        <f>IF($B101="","",SUMPRODUCT(('目标填报'!$B$4:$B$1500=$B101)*('目标填报'!$C$4:$C$1500=$C101)*('目标填报'!$D$4:$D$1500=$D101)*('目标填报'!$F$4:$F$1500="目标客户机会")*('目标填报'!$G$3:$R$3=$F$1)*'目标填报'!$G$4:$R$1500))</f>
        <v/>
      </c>
      <c r="T101" s="38">
        <f>IF($B101="","",SUMPRODUCT(('目标填报'!$B$4:$B$1500=$B101)*('目标填报'!$C$4:$C$1500=$C101)*('目标填报'!$D$4:$D$1500=$D101)*('目标填报'!$F$4:$F$1500="目标客户机会目标")*('目标填报'!$G$3:$R$3=$F$1)*'目标填报'!$G$4:$R$1500))</f>
        <v/>
      </c>
      <c r="U101" s="39">
        <f>IF($B101="","",IFERROR(S101/T101,""))</f>
        <v/>
      </c>
      <c r="V101" s="38">
        <f>IF($B101="","",P101+S101)</f>
        <v/>
      </c>
      <c r="W101" s="38">
        <f>IF($B101="","",M101-J101)</f>
        <v/>
      </c>
      <c r="X101" s="39">
        <f>IF($B101="","",IFERROR(V101/W101,""))</f>
        <v/>
      </c>
      <c r="Y101" s="40">
        <f>IF($B101="","",V101-W101)</f>
        <v/>
      </c>
    </row>
    <row r="102">
      <c r="A102" s="37">
        <f>IF($B102="","",ROW()-3)</f>
        <v/>
      </c>
      <c r="B102" s="13">
        <f>IF(98+1&gt;COUNTA('维度字典'!$C$2:$C$200)*COUNTA('维度字典'!$A$2:$A$200)*COUNTA('维度字典'!$E$2:$E$200),"",INDEX('维度字典'!$C$2:$C$200,MOD(INT(98/(COUNTA('维度字典'!$E$2:$E$200)*COUNTA('维度字典'!$A$2:$A$200))),COUNTA('维度字典'!$C$2:$C$200))+1))</f>
        <v/>
      </c>
      <c r="C102" s="13">
        <f>IF($B102="","",INDEX('维度字典'!$A$2:$A$200,MOD(INT(98/COUNTA('维度字典'!$E$2:$E$200)),COUNTA('维度字典'!$A$2:$A$200))+1))</f>
        <v/>
      </c>
      <c r="D102" s="13">
        <f>IF($B102="","",INDEX('维度字典'!$E$2:$E$200,MOD(98,COUNTA('维度字典'!$E$2:$E$200))+1))</f>
        <v/>
      </c>
      <c r="E102" s="38">
        <f>IF($B102="","",SUMPRODUCT(('系统实绩导入'!$B$4:$B$1500=$B102)*('系统实绩导入'!$C$4:$C$1500=$C102)*('系统实绩导入'!$D$4:$D$1500=$D102)*('系统实绩导入'!$F$4:$F$1500="实绩销售额")*('系统实绩导入'!$G$3:$R$3=$F$1)*'系统实绩导入'!$G$4:$R$1500))</f>
        <v/>
      </c>
      <c r="F102" s="38">
        <f>IF($B102="","",SUMPRODUCT(('系统实绩导入'!$B$4:$B$1500=$B102)*('系统实绩导入'!$C$4:$C$1500=$C102)*('系统实绩导入'!$D$4:$D$1500=$D102)*('系统实绩导入'!$F$4:$F$1500="实绩毛利")*('系统实绩导入'!$G$3:$R$3=$F$1)*'系统实绩导入'!$G$4:$R$1500))</f>
        <v/>
      </c>
      <c r="G102" s="39">
        <f>IF($B102="","",IFERROR(F102/E102,""))</f>
        <v/>
      </c>
      <c r="H102" s="38">
        <f>IF($B102="","",SUMPRODUCT(('目标填报'!$B$4:$B$1500=$B102)*('目标填报'!$C$4:$C$1500=$C102)*('目标填报'!$D$4:$D$1500=$D102)*('目标填报'!$F$4:$F$1500="销售目标额")*('目标填报'!$G$3:$R$3=$F$1)*'目标填报'!$G$4:$R$1500))</f>
        <v/>
      </c>
      <c r="I102" s="39">
        <f>IF($B102="","",IFERROR(E102/H102,""))</f>
        <v/>
      </c>
      <c r="J102" s="38">
        <f>IF($B102="","",SUMPRODUCT(('系统实绩导入'!$B$4:$B$1500=$B102)*('系统实绩导入'!$C$4:$C$1500=$C102)*('系统实绩导入'!$D$4:$D$1500=$D102)*('系统实绩导入'!$F$4:$F$1500="实绩销售额")*('系统实绩导入'!$G$3:$R$3&lt;=$F$1)*'系统实绩导入'!$G$4:$R$1500))</f>
        <v/>
      </c>
      <c r="K102" s="38">
        <f>IF($B102="","",SUMPRODUCT(('系统实绩导入'!$B$4:$B$1500=$B102)*('系统实绩导入'!$C$4:$C$1500=$C102)*('系统实绩导入'!$D$4:$D$1500=$D102)*('系统实绩导入'!$F$4:$F$1500="实绩毛利")*('系统实绩导入'!$G$3:$R$3&lt;=$F$1)*'系统实绩导入'!$G$4:$R$1500))</f>
        <v/>
      </c>
      <c r="L102" s="39">
        <f>IF($B102="","",IFERROR(K102/J102,""))</f>
        <v/>
      </c>
      <c r="M102" s="38">
        <f>IF($B102="","",SUMIFS('目标填报'!$S$4:$S$1500,'目标填报'!$B$4:$B$1500,$B102,'目标填报'!$C$4:$C$1500,$C102,'目标填报'!$D$4:$D$1500,$D102,'目标填报'!$F$4:$F$1500,"销售目标额"))</f>
        <v/>
      </c>
      <c r="N102" s="39">
        <f>IF($B102="","",IFERROR(J102/M102,""))</f>
        <v/>
      </c>
      <c r="O102" s="40">
        <f>IF($B102="","",J102-M102)</f>
        <v/>
      </c>
      <c r="P102" s="38">
        <f>IF($B102="","",SUMPRODUCT(('目标填报'!$B$4:$B$1500=$B102)*('目标填报'!$C$4:$C$1500=$C102)*('目标填报'!$D$4:$D$1500=$D102)*('目标填报'!$F$4:$F$1500="在手订单")*('目标填报'!$G$3:$R$3=$F$1)*'目标填报'!$G$4:$R$1500))</f>
        <v/>
      </c>
      <c r="Q102" s="38">
        <f>IF($B102="","",SUMPRODUCT(('目标填报'!$B$4:$B$1500=$B102)*('目标填报'!$C$4:$C$1500=$C102)*('目标填报'!$D$4:$D$1500=$D102)*('目标填报'!$F$4:$F$1500="在手订单目标")*('目标填报'!$G$3:$R$3=$F$1)*'目标填报'!$G$4:$R$1500))</f>
        <v/>
      </c>
      <c r="R102" s="39">
        <f>IF($B102="","",IFERROR(P102/Q102,""))</f>
        <v/>
      </c>
      <c r="S102" s="38">
        <f>IF($B102="","",SUMPRODUCT(('目标填报'!$B$4:$B$1500=$B102)*('目标填报'!$C$4:$C$1500=$C102)*('目标填报'!$D$4:$D$1500=$D102)*('目标填报'!$F$4:$F$1500="目标客户机会")*('目标填报'!$G$3:$R$3=$F$1)*'目标填报'!$G$4:$R$1500))</f>
        <v/>
      </c>
      <c r="T102" s="38">
        <f>IF($B102="","",SUMPRODUCT(('目标填报'!$B$4:$B$1500=$B102)*('目标填报'!$C$4:$C$1500=$C102)*('目标填报'!$D$4:$D$1500=$D102)*('目标填报'!$F$4:$F$1500="目标客户机会目标")*('目标填报'!$G$3:$R$3=$F$1)*'目标填报'!$G$4:$R$1500))</f>
        <v/>
      </c>
      <c r="U102" s="39">
        <f>IF($B102="","",IFERROR(S102/T102,""))</f>
        <v/>
      </c>
      <c r="V102" s="38">
        <f>IF($B102="","",P102+S102)</f>
        <v/>
      </c>
      <c r="W102" s="38">
        <f>IF($B102="","",M102-J102)</f>
        <v/>
      </c>
      <c r="X102" s="39">
        <f>IF($B102="","",IFERROR(V102/W102,""))</f>
        <v/>
      </c>
      <c r="Y102" s="40">
        <f>IF($B102="","",V102-W102)</f>
        <v/>
      </c>
    </row>
    <row r="103">
      <c r="A103" s="37">
        <f>IF($B103="","",ROW()-3)</f>
        <v/>
      </c>
      <c r="B103" s="13">
        <f>IF(99+1&gt;COUNTA('维度字典'!$C$2:$C$200)*COUNTA('维度字典'!$A$2:$A$200)*COUNTA('维度字典'!$E$2:$E$200),"",INDEX('维度字典'!$C$2:$C$200,MOD(INT(99/(COUNTA('维度字典'!$E$2:$E$200)*COUNTA('维度字典'!$A$2:$A$200))),COUNTA('维度字典'!$C$2:$C$200))+1))</f>
        <v/>
      </c>
      <c r="C103" s="13">
        <f>IF($B103="","",INDEX('维度字典'!$A$2:$A$200,MOD(INT(99/COUNTA('维度字典'!$E$2:$E$200)),COUNTA('维度字典'!$A$2:$A$200))+1))</f>
        <v/>
      </c>
      <c r="D103" s="13">
        <f>IF($B103="","",INDEX('维度字典'!$E$2:$E$200,MOD(99,COUNTA('维度字典'!$E$2:$E$200))+1))</f>
        <v/>
      </c>
      <c r="E103" s="38">
        <f>IF($B103="","",SUMPRODUCT(('系统实绩导入'!$B$4:$B$1500=$B103)*('系统实绩导入'!$C$4:$C$1500=$C103)*('系统实绩导入'!$D$4:$D$1500=$D103)*('系统实绩导入'!$F$4:$F$1500="实绩销售额")*('系统实绩导入'!$G$3:$R$3=$F$1)*'系统实绩导入'!$G$4:$R$1500))</f>
        <v/>
      </c>
      <c r="F103" s="38">
        <f>IF($B103="","",SUMPRODUCT(('系统实绩导入'!$B$4:$B$1500=$B103)*('系统实绩导入'!$C$4:$C$1500=$C103)*('系统实绩导入'!$D$4:$D$1500=$D103)*('系统实绩导入'!$F$4:$F$1500="实绩毛利")*('系统实绩导入'!$G$3:$R$3=$F$1)*'系统实绩导入'!$G$4:$R$1500))</f>
        <v/>
      </c>
      <c r="G103" s="39">
        <f>IF($B103="","",IFERROR(F103/E103,""))</f>
        <v/>
      </c>
      <c r="H103" s="38">
        <f>IF($B103="","",SUMPRODUCT(('目标填报'!$B$4:$B$1500=$B103)*('目标填报'!$C$4:$C$1500=$C103)*('目标填报'!$D$4:$D$1500=$D103)*('目标填报'!$F$4:$F$1500="销售目标额")*('目标填报'!$G$3:$R$3=$F$1)*'目标填报'!$G$4:$R$1500))</f>
        <v/>
      </c>
      <c r="I103" s="39">
        <f>IF($B103="","",IFERROR(E103/H103,""))</f>
        <v/>
      </c>
      <c r="J103" s="38">
        <f>IF($B103="","",SUMPRODUCT(('系统实绩导入'!$B$4:$B$1500=$B103)*('系统实绩导入'!$C$4:$C$1500=$C103)*('系统实绩导入'!$D$4:$D$1500=$D103)*('系统实绩导入'!$F$4:$F$1500="实绩销售额")*('系统实绩导入'!$G$3:$R$3&lt;=$F$1)*'系统实绩导入'!$G$4:$R$1500))</f>
        <v/>
      </c>
      <c r="K103" s="38">
        <f>IF($B103="","",SUMPRODUCT(('系统实绩导入'!$B$4:$B$1500=$B103)*('系统实绩导入'!$C$4:$C$1500=$C103)*('系统实绩导入'!$D$4:$D$1500=$D103)*('系统实绩导入'!$F$4:$F$1500="实绩毛利")*('系统实绩导入'!$G$3:$R$3&lt;=$F$1)*'系统实绩导入'!$G$4:$R$1500))</f>
        <v/>
      </c>
      <c r="L103" s="39">
        <f>IF($B103="","",IFERROR(K103/J103,""))</f>
        <v/>
      </c>
      <c r="M103" s="38">
        <f>IF($B103="","",SUMIFS('目标填报'!$S$4:$S$1500,'目标填报'!$B$4:$B$1500,$B103,'目标填报'!$C$4:$C$1500,$C103,'目标填报'!$D$4:$D$1500,$D103,'目标填报'!$F$4:$F$1500,"销售目标额"))</f>
        <v/>
      </c>
      <c r="N103" s="39">
        <f>IF($B103="","",IFERROR(J103/M103,""))</f>
        <v/>
      </c>
      <c r="O103" s="40">
        <f>IF($B103="","",J103-M103)</f>
        <v/>
      </c>
      <c r="P103" s="38">
        <f>IF($B103="","",SUMPRODUCT(('目标填报'!$B$4:$B$1500=$B103)*('目标填报'!$C$4:$C$1500=$C103)*('目标填报'!$D$4:$D$1500=$D103)*('目标填报'!$F$4:$F$1500="在手订单")*('目标填报'!$G$3:$R$3=$F$1)*'目标填报'!$G$4:$R$1500))</f>
        <v/>
      </c>
      <c r="Q103" s="38">
        <f>IF($B103="","",SUMPRODUCT(('目标填报'!$B$4:$B$1500=$B103)*('目标填报'!$C$4:$C$1500=$C103)*('目标填报'!$D$4:$D$1500=$D103)*('目标填报'!$F$4:$F$1500="在手订单目标")*('目标填报'!$G$3:$R$3=$F$1)*'目标填报'!$G$4:$R$1500))</f>
        <v/>
      </c>
      <c r="R103" s="39">
        <f>IF($B103="","",IFERROR(P103/Q103,""))</f>
        <v/>
      </c>
      <c r="S103" s="38">
        <f>IF($B103="","",SUMPRODUCT(('目标填报'!$B$4:$B$1500=$B103)*('目标填报'!$C$4:$C$1500=$C103)*('目标填报'!$D$4:$D$1500=$D103)*('目标填报'!$F$4:$F$1500="目标客户机会")*('目标填报'!$G$3:$R$3=$F$1)*'目标填报'!$G$4:$R$1500))</f>
        <v/>
      </c>
      <c r="T103" s="38">
        <f>IF($B103="","",SUMPRODUCT(('目标填报'!$B$4:$B$1500=$B103)*('目标填报'!$C$4:$C$1500=$C103)*('目标填报'!$D$4:$D$1500=$D103)*('目标填报'!$F$4:$F$1500="目标客户机会目标")*('目标填报'!$G$3:$R$3=$F$1)*'目标填报'!$G$4:$R$1500))</f>
        <v/>
      </c>
      <c r="U103" s="39">
        <f>IF($B103="","",IFERROR(S103/T103,""))</f>
        <v/>
      </c>
      <c r="V103" s="38">
        <f>IF($B103="","",P103+S103)</f>
        <v/>
      </c>
      <c r="W103" s="38">
        <f>IF($B103="","",M103-J103)</f>
        <v/>
      </c>
      <c r="X103" s="39">
        <f>IF($B103="","",IFERROR(V103/W103,""))</f>
        <v/>
      </c>
      <c r="Y103" s="40">
        <f>IF($B103="","",V103-W103)</f>
        <v/>
      </c>
    </row>
    <row r="104">
      <c r="A104" s="37">
        <f>IF($B104="","",ROW()-3)</f>
        <v/>
      </c>
      <c r="B104" s="13">
        <f>IF(100+1&gt;COUNTA('维度字典'!$C$2:$C$200)*COUNTA('维度字典'!$A$2:$A$200)*COUNTA('维度字典'!$E$2:$E$200),"",INDEX('维度字典'!$C$2:$C$200,MOD(INT(100/(COUNTA('维度字典'!$E$2:$E$200)*COUNTA('维度字典'!$A$2:$A$200))),COUNTA('维度字典'!$C$2:$C$200))+1))</f>
        <v/>
      </c>
      <c r="C104" s="13">
        <f>IF($B104="","",INDEX('维度字典'!$A$2:$A$200,MOD(INT(100/COUNTA('维度字典'!$E$2:$E$200)),COUNTA('维度字典'!$A$2:$A$200))+1))</f>
        <v/>
      </c>
      <c r="D104" s="13">
        <f>IF($B104="","",INDEX('维度字典'!$E$2:$E$200,MOD(100,COUNTA('维度字典'!$E$2:$E$200))+1))</f>
        <v/>
      </c>
      <c r="E104" s="38">
        <f>IF($B104="","",SUMPRODUCT(('系统实绩导入'!$B$4:$B$1500=$B104)*('系统实绩导入'!$C$4:$C$1500=$C104)*('系统实绩导入'!$D$4:$D$1500=$D104)*('系统实绩导入'!$F$4:$F$1500="实绩销售额")*('系统实绩导入'!$G$3:$R$3=$F$1)*'系统实绩导入'!$G$4:$R$1500))</f>
        <v/>
      </c>
      <c r="F104" s="38">
        <f>IF($B104="","",SUMPRODUCT(('系统实绩导入'!$B$4:$B$1500=$B104)*('系统实绩导入'!$C$4:$C$1500=$C104)*('系统实绩导入'!$D$4:$D$1500=$D104)*('系统实绩导入'!$F$4:$F$1500="实绩毛利")*('系统实绩导入'!$G$3:$R$3=$F$1)*'系统实绩导入'!$G$4:$R$1500))</f>
        <v/>
      </c>
      <c r="G104" s="39">
        <f>IF($B104="","",IFERROR(F104/E104,""))</f>
        <v/>
      </c>
      <c r="H104" s="38">
        <f>IF($B104="","",SUMPRODUCT(('目标填报'!$B$4:$B$1500=$B104)*('目标填报'!$C$4:$C$1500=$C104)*('目标填报'!$D$4:$D$1500=$D104)*('目标填报'!$F$4:$F$1500="销售目标额")*('目标填报'!$G$3:$R$3=$F$1)*'目标填报'!$G$4:$R$1500))</f>
        <v/>
      </c>
      <c r="I104" s="39">
        <f>IF($B104="","",IFERROR(E104/H104,""))</f>
        <v/>
      </c>
      <c r="J104" s="38">
        <f>IF($B104="","",SUMPRODUCT(('系统实绩导入'!$B$4:$B$1500=$B104)*('系统实绩导入'!$C$4:$C$1500=$C104)*('系统实绩导入'!$D$4:$D$1500=$D104)*('系统实绩导入'!$F$4:$F$1500="实绩销售额")*('系统实绩导入'!$G$3:$R$3&lt;=$F$1)*'系统实绩导入'!$G$4:$R$1500))</f>
        <v/>
      </c>
      <c r="K104" s="38">
        <f>IF($B104="","",SUMPRODUCT(('系统实绩导入'!$B$4:$B$1500=$B104)*('系统实绩导入'!$C$4:$C$1500=$C104)*('系统实绩导入'!$D$4:$D$1500=$D104)*('系统实绩导入'!$F$4:$F$1500="实绩毛利")*('系统实绩导入'!$G$3:$R$3&lt;=$F$1)*'系统实绩导入'!$G$4:$R$1500))</f>
        <v/>
      </c>
      <c r="L104" s="39">
        <f>IF($B104="","",IFERROR(K104/J104,""))</f>
        <v/>
      </c>
      <c r="M104" s="38">
        <f>IF($B104="","",SUMIFS('目标填报'!$S$4:$S$1500,'目标填报'!$B$4:$B$1500,$B104,'目标填报'!$C$4:$C$1500,$C104,'目标填报'!$D$4:$D$1500,$D104,'目标填报'!$F$4:$F$1500,"销售目标额"))</f>
        <v/>
      </c>
      <c r="N104" s="39">
        <f>IF($B104="","",IFERROR(J104/M104,""))</f>
        <v/>
      </c>
      <c r="O104" s="40">
        <f>IF($B104="","",J104-M104)</f>
        <v/>
      </c>
      <c r="P104" s="38">
        <f>IF($B104="","",SUMPRODUCT(('目标填报'!$B$4:$B$1500=$B104)*('目标填报'!$C$4:$C$1500=$C104)*('目标填报'!$D$4:$D$1500=$D104)*('目标填报'!$F$4:$F$1500="在手订单")*('目标填报'!$G$3:$R$3=$F$1)*'目标填报'!$G$4:$R$1500))</f>
        <v/>
      </c>
      <c r="Q104" s="38">
        <f>IF($B104="","",SUMPRODUCT(('目标填报'!$B$4:$B$1500=$B104)*('目标填报'!$C$4:$C$1500=$C104)*('目标填报'!$D$4:$D$1500=$D104)*('目标填报'!$F$4:$F$1500="在手订单目标")*('目标填报'!$G$3:$R$3=$F$1)*'目标填报'!$G$4:$R$1500))</f>
        <v/>
      </c>
      <c r="R104" s="39">
        <f>IF($B104="","",IFERROR(P104/Q104,""))</f>
        <v/>
      </c>
      <c r="S104" s="38">
        <f>IF($B104="","",SUMPRODUCT(('目标填报'!$B$4:$B$1500=$B104)*('目标填报'!$C$4:$C$1500=$C104)*('目标填报'!$D$4:$D$1500=$D104)*('目标填报'!$F$4:$F$1500="目标客户机会")*('目标填报'!$G$3:$R$3=$F$1)*'目标填报'!$G$4:$R$1500))</f>
        <v/>
      </c>
      <c r="T104" s="38">
        <f>IF($B104="","",SUMPRODUCT(('目标填报'!$B$4:$B$1500=$B104)*('目标填报'!$C$4:$C$1500=$C104)*('目标填报'!$D$4:$D$1500=$D104)*('目标填报'!$F$4:$F$1500="目标客户机会目标")*('目标填报'!$G$3:$R$3=$F$1)*'目标填报'!$G$4:$R$1500))</f>
        <v/>
      </c>
      <c r="U104" s="39">
        <f>IF($B104="","",IFERROR(S104/T104,""))</f>
        <v/>
      </c>
      <c r="V104" s="38">
        <f>IF($B104="","",P104+S104)</f>
        <v/>
      </c>
      <c r="W104" s="38">
        <f>IF($B104="","",M104-J104)</f>
        <v/>
      </c>
      <c r="X104" s="39">
        <f>IF($B104="","",IFERROR(V104/W104,""))</f>
        <v/>
      </c>
      <c r="Y104" s="40">
        <f>IF($B104="","",V104-W104)</f>
        <v/>
      </c>
    </row>
    <row r="105">
      <c r="A105" s="37">
        <f>IF($B105="","",ROW()-3)</f>
        <v/>
      </c>
      <c r="B105" s="13">
        <f>IF(101+1&gt;COUNTA('维度字典'!$C$2:$C$200)*COUNTA('维度字典'!$A$2:$A$200)*COUNTA('维度字典'!$E$2:$E$200),"",INDEX('维度字典'!$C$2:$C$200,MOD(INT(101/(COUNTA('维度字典'!$E$2:$E$200)*COUNTA('维度字典'!$A$2:$A$200))),COUNTA('维度字典'!$C$2:$C$200))+1))</f>
        <v/>
      </c>
      <c r="C105" s="13">
        <f>IF($B105="","",INDEX('维度字典'!$A$2:$A$200,MOD(INT(101/COUNTA('维度字典'!$E$2:$E$200)),COUNTA('维度字典'!$A$2:$A$200))+1))</f>
        <v/>
      </c>
      <c r="D105" s="13">
        <f>IF($B105="","",INDEX('维度字典'!$E$2:$E$200,MOD(101,COUNTA('维度字典'!$E$2:$E$200))+1))</f>
        <v/>
      </c>
      <c r="E105" s="38">
        <f>IF($B105="","",SUMPRODUCT(('系统实绩导入'!$B$4:$B$1500=$B105)*('系统实绩导入'!$C$4:$C$1500=$C105)*('系统实绩导入'!$D$4:$D$1500=$D105)*('系统实绩导入'!$F$4:$F$1500="实绩销售额")*('系统实绩导入'!$G$3:$R$3=$F$1)*'系统实绩导入'!$G$4:$R$1500))</f>
        <v/>
      </c>
      <c r="F105" s="38">
        <f>IF($B105="","",SUMPRODUCT(('系统实绩导入'!$B$4:$B$1500=$B105)*('系统实绩导入'!$C$4:$C$1500=$C105)*('系统实绩导入'!$D$4:$D$1500=$D105)*('系统实绩导入'!$F$4:$F$1500="实绩毛利")*('系统实绩导入'!$G$3:$R$3=$F$1)*'系统实绩导入'!$G$4:$R$1500))</f>
        <v/>
      </c>
      <c r="G105" s="39">
        <f>IF($B105="","",IFERROR(F105/E105,""))</f>
        <v/>
      </c>
      <c r="H105" s="38">
        <f>IF($B105="","",SUMPRODUCT(('目标填报'!$B$4:$B$1500=$B105)*('目标填报'!$C$4:$C$1500=$C105)*('目标填报'!$D$4:$D$1500=$D105)*('目标填报'!$F$4:$F$1500="销售目标额")*('目标填报'!$G$3:$R$3=$F$1)*'目标填报'!$G$4:$R$1500))</f>
        <v/>
      </c>
      <c r="I105" s="39">
        <f>IF($B105="","",IFERROR(E105/H105,""))</f>
        <v/>
      </c>
      <c r="J105" s="38">
        <f>IF($B105="","",SUMPRODUCT(('系统实绩导入'!$B$4:$B$1500=$B105)*('系统实绩导入'!$C$4:$C$1500=$C105)*('系统实绩导入'!$D$4:$D$1500=$D105)*('系统实绩导入'!$F$4:$F$1500="实绩销售额")*('系统实绩导入'!$G$3:$R$3&lt;=$F$1)*'系统实绩导入'!$G$4:$R$1500))</f>
        <v/>
      </c>
      <c r="K105" s="38">
        <f>IF($B105="","",SUMPRODUCT(('系统实绩导入'!$B$4:$B$1500=$B105)*('系统实绩导入'!$C$4:$C$1500=$C105)*('系统实绩导入'!$D$4:$D$1500=$D105)*('系统实绩导入'!$F$4:$F$1500="实绩毛利")*('系统实绩导入'!$G$3:$R$3&lt;=$F$1)*'系统实绩导入'!$G$4:$R$1500))</f>
        <v/>
      </c>
      <c r="L105" s="39">
        <f>IF($B105="","",IFERROR(K105/J105,""))</f>
        <v/>
      </c>
      <c r="M105" s="38">
        <f>IF($B105="","",SUMIFS('目标填报'!$S$4:$S$1500,'目标填报'!$B$4:$B$1500,$B105,'目标填报'!$C$4:$C$1500,$C105,'目标填报'!$D$4:$D$1500,$D105,'目标填报'!$F$4:$F$1500,"销售目标额"))</f>
        <v/>
      </c>
      <c r="N105" s="39">
        <f>IF($B105="","",IFERROR(J105/M105,""))</f>
        <v/>
      </c>
      <c r="O105" s="40">
        <f>IF($B105="","",J105-M105)</f>
        <v/>
      </c>
      <c r="P105" s="38">
        <f>IF($B105="","",SUMPRODUCT(('目标填报'!$B$4:$B$1500=$B105)*('目标填报'!$C$4:$C$1500=$C105)*('目标填报'!$D$4:$D$1500=$D105)*('目标填报'!$F$4:$F$1500="在手订单")*('目标填报'!$G$3:$R$3=$F$1)*'目标填报'!$G$4:$R$1500))</f>
        <v/>
      </c>
      <c r="Q105" s="38">
        <f>IF($B105="","",SUMPRODUCT(('目标填报'!$B$4:$B$1500=$B105)*('目标填报'!$C$4:$C$1500=$C105)*('目标填报'!$D$4:$D$1500=$D105)*('目标填报'!$F$4:$F$1500="在手订单目标")*('目标填报'!$G$3:$R$3=$F$1)*'目标填报'!$G$4:$R$1500))</f>
        <v/>
      </c>
      <c r="R105" s="39">
        <f>IF($B105="","",IFERROR(P105/Q105,""))</f>
        <v/>
      </c>
      <c r="S105" s="38">
        <f>IF($B105="","",SUMPRODUCT(('目标填报'!$B$4:$B$1500=$B105)*('目标填报'!$C$4:$C$1500=$C105)*('目标填报'!$D$4:$D$1500=$D105)*('目标填报'!$F$4:$F$1500="目标客户机会")*('目标填报'!$G$3:$R$3=$F$1)*'目标填报'!$G$4:$R$1500))</f>
        <v/>
      </c>
      <c r="T105" s="38">
        <f>IF($B105="","",SUMPRODUCT(('目标填报'!$B$4:$B$1500=$B105)*('目标填报'!$C$4:$C$1500=$C105)*('目标填报'!$D$4:$D$1500=$D105)*('目标填报'!$F$4:$F$1500="目标客户机会目标")*('目标填报'!$G$3:$R$3=$F$1)*'目标填报'!$G$4:$R$1500))</f>
        <v/>
      </c>
      <c r="U105" s="39">
        <f>IF($B105="","",IFERROR(S105/T105,""))</f>
        <v/>
      </c>
      <c r="V105" s="38">
        <f>IF($B105="","",P105+S105)</f>
        <v/>
      </c>
      <c r="W105" s="38">
        <f>IF($B105="","",M105-J105)</f>
        <v/>
      </c>
      <c r="X105" s="39">
        <f>IF($B105="","",IFERROR(V105/W105,""))</f>
        <v/>
      </c>
      <c r="Y105" s="40">
        <f>IF($B105="","",V105-W105)</f>
        <v/>
      </c>
    </row>
    <row r="106">
      <c r="A106" s="37">
        <f>IF($B106="","",ROW()-3)</f>
        <v/>
      </c>
      <c r="B106" s="13">
        <f>IF(102+1&gt;COUNTA('维度字典'!$C$2:$C$200)*COUNTA('维度字典'!$A$2:$A$200)*COUNTA('维度字典'!$E$2:$E$200),"",INDEX('维度字典'!$C$2:$C$200,MOD(INT(102/(COUNTA('维度字典'!$E$2:$E$200)*COUNTA('维度字典'!$A$2:$A$200))),COUNTA('维度字典'!$C$2:$C$200))+1))</f>
        <v/>
      </c>
      <c r="C106" s="13">
        <f>IF($B106="","",INDEX('维度字典'!$A$2:$A$200,MOD(INT(102/COUNTA('维度字典'!$E$2:$E$200)),COUNTA('维度字典'!$A$2:$A$200))+1))</f>
        <v/>
      </c>
      <c r="D106" s="13">
        <f>IF($B106="","",INDEX('维度字典'!$E$2:$E$200,MOD(102,COUNTA('维度字典'!$E$2:$E$200))+1))</f>
        <v/>
      </c>
      <c r="E106" s="38">
        <f>IF($B106="","",SUMPRODUCT(('系统实绩导入'!$B$4:$B$1500=$B106)*('系统实绩导入'!$C$4:$C$1500=$C106)*('系统实绩导入'!$D$4:$D$1500=$D106)*('系统实绩导入'!$F$4:$F$1500="实绩销售额")*('系统实绩导入'!$G$3:$R$3=$F$1)*'系统实绩导入'!$G$4:$R$1500))</f>
        <v/>
      </c>
      <c r="F106" s="38">
        <f>IF($B106="","",SUMPRODUCT(('系统实绩导入'!$B$4:$B$1500=$B106)*('系统实绩导入'!$C$4:$C$1500=$C106)*('系统实绩导入'!$D$4:$D$1500=$D106)*('系统实绩导入'!$F$4:$F$1500="实绩毛利")*('系统实绩导入'!$G$3:$R$3=$F$1)*'系统实绩导入'!$G$4:$R$1500))</f>
        <v/>
      </c>
      <c r="G106" s="39">
        <f>IF($B106="","",IFERROR(F106/E106,""))</f>
        <v/>
      </c>
      <c r="H106" s="38">
        <f>IF($B106="","",SUMPRODUCT(('目标填报'!$B$4:$B$1500=$B106)*('目标填报'!$C$4:$C$1500=$C106)*('目标填报'!$D$4:$D$1500=$D106)*('目标填报'!$F$4:$F$1500="销售目标额")*('目标填报'!$G$3:$R$3=$F$1)*'目标填报'!$G$4:$R$1500))</f>
        <v/>
      </c>
      <c r="I106" s="39">
        <f>IF($B106="","",IFERROR(E106/H106,""))</f>
        <v/>
      </c>
      <c r="J106" s="38">
        <f>IF($B106="","",SUMPRODUCT(('系统实绩导入'!$B$4:$B$1500=$B106)*('系统实绩导入'!$C$4:$C$1500=$C106)*('系统实绩导入'!$D$4:$D$1500=$D106)*('系统实绩导入'!$F$4:$F$1500="实绩销售额")*('系统实绩导入'!$G$3:$R$3&lt;=$F$1)*'系统实绩导入'!$G$4:$R$1500))</f>
        <v/>
      </c>
      <c r="K106" s="38">
        <f>IF($B106="","",SUMPRODUCT(('系统实绩导入'!$B$4:$B$1500=$B106)*('系统实绩导入'!$C$4:$C$1500=$C106)*('系统实绩导入'!$D$4:$D$1500=$D106)*('系统实绩导入'!$F$4:$F$1500="实绩毛利")*('系统实绩导入'!$G$3:$R$3&lt;=$F$1)*'系统实绩导入'!$G$4:$R$1500))</f>
        <v/>
      </c>
      <c r="L106" s="39">
        <f>IF($B106="","",IFERROR(K106/J106,""))</f>
        <v/>
      </c>
      <c r="M106" s="38">
        <f>IF($B106="","",SUMIFS('目标填报'!$S$4:$S$1500,'目标填报'!$B$4:$B$1500,$B106,'目标填报'!$C$4:$C$1500,$C106,'目标填报'!$D$4:$D$1500,$D106,'目标填报'!$F$4:$F$1500,"销售目标额"))</f>
        <v/>
      </c>
      <c r="N106" s="39">
        <f>IF($B106="","",IFERROR(J106/M106,""))</f>
        <v/>
      </c>
      <c r="O106" s="40">
        <f>IF($B106="","",J106-M106)</f>
        <v/>
      </c>
      <c r="P106" s="38">
        <f>IF($B106="","",SUMPRODUCT(('目标填报'!$B$4:$B$1500=$B106)*('目标填报'!$C$4:$C$1500=$C106)*('目标填报'!$D$4:$D$1500=$D106)*('目标填报'!$F$4:$F$1500="在手订单")*('目标填报'!$G$3:$R$3=$F$1)*'目标填报'!$G$4:$R$1500))</f>
        <v/>
      </c>
      <c r="Q106" s="38">
        <f>IF($B106="","",SUMPRODUCT(('目标填报'!$B$4:$B$1500=$B106)*('目标填报'!$C$4:$C$1500=$C106)*('目标填报'!$D$4:$D$1500=$D106)*('目标填报'!$F$4:$F$1500="在手订单目标")*('目标填报'!$G$3:$R$3=$F$1)*'目标填报'!$G$4:$R$1500))</f>
        <v/>
      </c>
      <c r="R106" s="39">
        <f>IF($B106="","",IFERROR(P106/Q106,""))</f>
        <v/>
      </c>
      <c r="S106" s="38">
        <f>IF($B106="","",SUMPRODUCT(('目标填报'!$B$4:$B$1500=$B106)*('目标填报'!$C$4:$C$1500=$C106)*('目标填报'!$D$4:$D$1500=$D106)*('目标填报'!$F$4:$F$1500="目标客户机会")*('目标填报'!$G$3:$R$3=$F$1)*'目标填报'!$G$4:$R$1500))</f>
        <v/>
      </c>
      <c r="T106" s="38">
        <f>IF($B106="","",SUMPRODUCT(('目标填报'!$B$4:$B$1500=$B106)*('目标填报'!$C$4:$C$1500=$C106)*('目标填报'!$D$4:$D$1500=$D106)*('目标填报'!$F$4:$F$1500="目标客户机会目标")*('目标填报'!$G$3:$R$3=$F$1)*'目标填报'!$G$4:$R$1500))</f>
        <v/>
      </c>
      <c r="U106" s="39">
        <f>IF($B106="","",IFERROR(S106/T106,""))</f>
        <v/>
      </c>
      <c r="V106" s="38">
        <f>IF($B106="","",P106+S106)</f>
        <v/>
      </c>
      <c r="W106" s="38">
        <f>IF($B106="","",M106-J106)</f>
        <v/>
      </c>
      <c r="X106" s="39">
        <f>IF($B106="","",IFERROR(V106/W106,""))</f>
        <v/>
      </c>
      <c r="Y106" s="40">
        <f>IF($B106="","",V106-W106)</f>
        <v/>
      </c>
    </row>
    <row r="107">
      <c r="A107" s="37">
        <f>IF($B107="","",ROW()-3)</f>
        <v/>
      </c>
      <c r="B107" s="13">
        <f>IF(103+1&gt;COUNTA('维度字典'!$C$2:$C$200)*COUNTA('维度字典'!$A$2:$A$200)*COUNTA('维度字典'!$E$2:$E$200),"",INDEX('维度字典'!$C$2:$C$200,MOD(INT(103/(COUNTA('维度字典'!$E$2:$E$200)*COUNTA('维度字典'!$A$2:$A$200))),COUNTA('维度字典'!$C$2:$C$200))+1))</f>
        <v/>
      </c>
      <c r="C107" s="13">
        <f>IF($B107="","",INDEX('维度字典'!$A$2:$A$200,MOD(INT(103/COUNTA('维度字典'!$E$2:$E$200)),COUNTA('维度字典'!$A$2:$A$200))+1))</f>
        <v/>
      </c>
      <c r="D107" s="13">
        <f>IF($B107="","",INDEX('维度字典'!$E$2:$E$200,MOD(103,COUNTA('维度字典'!$E$2:$E$200))+1))</f>
        <v/>
      </c>
      <c r="E107" s="38">
        <f>IF($B107="","",SUMPRODUCT(('系统实绩导入'!$B$4:$B$1500=$B107)*('系统实绩导入'!$C$4:$C$1500=$C107)*('系统实绩导入'!$D$4:$D$1500=$D107)*('系统实绩导入'!$F$4:$F$1500="实绩销售额")*('系统实绩导入'!$G$3:$R$3=$F$1)*'系统实绩导入'!$G$4:$R$1500))</f>
        <v/>
      </c>
      <c r="F107" s="38">
        <f>IF($B107="","",SUMPRODUCT(('系统实绩导入'!$B$4:$B$1500=$B107)*('系统实绩导入'!$C$4:$C$1500=$C107)*('系统实绩导入'!$D$4:$D$1500=$D107)*('系统实绩导入'!$F$4:$F$1500="实绩毛利")*('系统实绩导入'!$G$3:$R$3=$F$1)*'系统实绩导入'!$G$4:$R$1500))</f>
        <v/>
      </c>
      <c r="G107" s="39">
        <f>IF($B107="","",IFERROR(F107/E107,""))</f>
        <v/>
      </c>
      <c r="H107" s="38">
        <f>IF($B107="","",SUMPRODUCT(('目标填报'!$B$4:$B$1500=$B107)*('目标填报'!$C$4:$C$1500=$C107)*('目标填报'!$D$4:$D$1500=$D107)*('目标填报'!$F$4:$F$1500="销售目标额")*('目标填报'!$G$3:$R$3=$F$1)*'目标填报'!$G$4:$R$1500))</f>
        <v/>
      </c>
      <c r="I107" s="39">
        <f>IF($B107="","",IFERROR(E107/H107,""))</f>
        <v/>
      </c>
      <c r="J107" s="38">
        <f>IF($B107="","",SUMPRODUCT(('系统实绩导入'!$B$4:$B$1500=$B107)*('系统实绩导入'!$C$4:$C$1500=$C107)*('系统实绩导入'!$D$4:$D$1500=$D107)*('系统实绩导入'!$F$4:$F$1500="实绩销售额")*('系统实绩导入'!$G$3:$R$3&lt;=$F$1)*'系统实绩导入'!$G$4:$R$1500))</f>
        <v/>
      </c>
      <c r="K107" s="38">
        <f>IF($B107="","",SUMPRODUCT(('系统实绩导入'!$B$4:$B$1500=$B107)*('系统实绩导入'!$C$4:$C$1500=$C107)*('系统实绩导入'!$D$4:$D$1500=$D107)*('系统实绩导入'!$F$4:$F$1500="实绩毛利")*('系统实绩导入'!$G$3:$R$3&lt;=$F$1)*'系统实绩导入'!$G$4:$R$1500))</f>
        <v/>
      </c>
      <c r="L107" s="39">
        <f>IF($B107="","",IFERROR(K107/J107,""))</f>
        <v/>
      </c>
      <c r="M107" s="38">
        <f>IF($B107="","",SUMIFS('目标填报'!$S$4:$S$1500,'目标填报'!$B$4:$B$1500,$B107,'目标填报'!$C$4:$C$1500,$C107,'目标填报'!$D$4:$D$1500,$D107,'目标填报'!$F$4:$F$1500,"销售目标额"))</f>
        <v/>
      </c>
      <c r="N107" s="39">
        <f>IF($B107="","",IFERROR(J107/M107,""))</f>
        <v/>
      </c>
      <c r="O107" s="40">
        <f>IF($B107="","",J107-M107)</f>
        <v/>
      </c>
      <c r="P107" s="38">
        <f>IF($B107="","",SUMPRODUCT(('目标填报'!$B$4:$B$1500=$B107)*('目标填报'!$C$4:$C$1500=$C107)*('目标填报'!$D$4:$D$1500=$D107)*('目标填报'!$F$4:$F$1500="在手订单")*('目标填报'!$G$3:$R$3=$F$1)*'目标填报'!$G$4:$R$1500))</f>
        <v/>
      </c>
      <c r="Q107" s="38">
        <f>IF($B107="","",SUMPRODUCT(('目标填报'!$B$4:$B$1500=$B107)*('目标填报'!$C$4:$C$1500=$C107)*('目标填报'!$D$4:$D$1500=$D107)*('目标填报'!$F$4:$F$1500="在手订单目标")*('目标填报'!$G$3:$R$3=$F$1)*'目标填报'!$G$4:$R$1500))</f>
        <v/>
      </c>
      <c r="R107" s="39">
        <f>IF($B107="","",IFERROR(P107/Q107,""))</f>
        <v/>
      </c>
      <c r="S107" s="38">
        <f>IF($B107="","",SUMPRODUCT(('目标填报'!$B$4:$B$1500=$B107)*('目标填报'!$C$4:$C$1500=$C107)*('目标填报'!$D$4:$D$1500=$D107)*('目标填报'!$F$4:$F$1500="目标客户机会")*('目标填报'!$G$3:$R$3=$F$1)*'目标填报'!$G$4:$R$1500))</f>
        <v/>
      </c>
      <c r="T107" s="38">
        <f>IF($B107="","",SUMPRODUCT(('目标填报'!$B$4:$B$1500=$B107)*('目标填报'!$C$4:$C$1500=$C107)*('目标填报'!$D$4:$D$1500=$D107)*('目标填报'!$F$4:$F$1500="目标客户机会目标")*('目标填报'!$G$3:$R$3=$F$1)*'目标填报'!$G$4:$R$1500))</f>
        <v/>
      </c>
      <c r="U107" s="39">
        <f>IF($B107="","",IFERROR(S107/T107,""))</f>
        <v/>
      </c>
      <c r="V107" s="38">
        <f>IF($B107="","",P107+S107)</f>
        <v/>
      </c>
      <c r="W107" s="38">
        <f>IF($B107="","",M107-J107)</f>
        <v/>
      </c>
      <c r="X107" s="39">
        <f>IF($B107="","",IFERROR(V107/W107,""))</f>
        <v/>
      </c>
      <c r="Y107" s="40">
        <f>IF($B107="","",V107-W107)</f>
        <v/>
      </c>
    </row>
    <row r="108">
      <c r="A108" s="37">
        <f>IF($B108="","",ROW()-3)</f>
        <v/>
      </c>
      <c r="B108" s="13">
        <f>IF(104+1&gt;COUNTA('维度字典'!$C$2:$C$200)*COUNTA('维度字典'!$A$2:$A$200)*COUNTA('维度字典'!$E$2:$E$200),"",INDEX('维度字典'!$C$2:$C$200,MOD(INT(104/(COUNTA('维度字典'!$E$2:$E$200)*COUNTA('维度字典'!$A$2:$A$200))),COUNTA('维度字典'!$C$2:$C$200))+1))</f>
        <v/>
      </c>
      <c r="C108" s="13">
        <f>IF($B108="","",INDEX('维度字典'!$A$2:$A$200,MOD(INT(104/COUNTA('维度字典'!$E$2:$E$200)),COUNTA('维度字典'!$A$2:$A$200))+1))</f>
        <v/>
      </c>
      <c r="D108" s="13">
        <f>IF($B108="","",INDEX('维度字典'!$E$2:$E$200,MOD(104,COUNTA('维度字典'!$E$2:$E$200))+1))</f>
        <v/>
      </c>
      <c r="E108" s="38">
        <f>IF($B108="","",SUMPRODUCT(('系统实绩导入'!$B$4:$B$1500=$B108)*('系统实绩导入'!$C$4:$C$1500=$C108)*('系统实绩导入'!$D$4:$D$1500=$D108)*('系统实绩导入'!$F$4:$F$1500="实绩销售额")*('系统实绩导入'!$G$3:$R$3=$F$1)*'系统实绩导入'!$G$4:$R$1500))</f>
        <v/>
      </c>
      <c r="F108" s="38">
        <f>IF($B108="","",SUMPRODUCT(('系统实绩导入'!$B$4:$B$1500=$B108)*('系统实绩导入'!$C$4:$C$1500=$C108)*('系统实绩导入'!$D$4:$D$1500=$D108)*('系统实绩导入'!$F$4:$F$1500="实绩毛利")*('系统实绩导入'!$G$3:$R$3=$F$1)*'系统实绩导入'!$G$4:$R$1500))</f>
        <v/>
      </c>
      <c r="G108" s="39">
        <f>IF($B108="","",IFERROR(F108/E108,""))</f>
        <v/>
      </c>
      <c r="H108" s="38">
        <f>IF($B108="","",SUMPRODUCT(('目标填报'!$B$4:$B$1500=$B108)*('目标填报'!$C$4:$C$1500=$C108)*('目标填报'!$D$4:$D$1500=$D108)*('目标填报'!$F$4:$F$1500="销售目标额")*('目标填报'!$G$3:$R$3=$F$1)*'目标填报'!$G$4:$R$1500))</f>
        <v/>
      </c>
      <c r="I108" s="39">
        <f>IF($B108="","",IFERROR(E108/H108,""))</f>
        <v/>
      </c>
      <c r="J108" s="38">
        <f>IF($B108="","",SUMPRODUCT(('系统实绩导入'!$B$4:$B$1500=$B108)*('系统实绩导入'!$C$4:$C$1500=$C108)*('系统实绩导入'!$D$4:$D$1500=$D108)*('系统实绩导入'!$F$4:$F$1500="实绩销售额")*('系统实绩导入'!$G$3:$R$3&lt;=$F$1)*'系统实绩导入'!$G$4:$R$1500))</f>
        <v/>
      </c>
      <c r="K108" s="38">
        <f>IF($B108="","",SUMPRODUCT(('系统实绩导入'!$B$4:$B$1500=$B108)*('系统实绩导入'!$C$4:$C$1500=$C108)*('系统实绩导入'!$D$4:$D$1500=$D108)*('系统实绩导入'!$F$4:$F$1500="实绩毛利")*('系统实绩导入'!$G$3:$R$3&lt;=$F$1)*'系统实绩导入'!$G$4:$R$1500))</f>
        <v/>
      </c>
      <c r="L108" s="39">
        <f>IF($B108="","",IFERROR(K108/J108,""))</f>
        <v/>
      </c>
      <c r="M108" s="38">
        <f>IF($B108="","",SUMIFS('目标填报'!$S$4:$S$1500,'目标填报'!$B$4:$B$1500,$B108,'目标填报'!$C$4:$C$1500,$C108,'目标填报'!$D$4:$D$1500,$D108,'目标填报'!$F$4:$F$1500,"销售目标额"))</f>
        <v/>
      </c>
      <c r="N108" s="39">
        <f>IF($B108="","",IFERROR(J108/M108,""))</f>
        <v/>
      </c>
      <c r="O108" s="40">
        <f>IF($B108="","",J108-M108)</f>
        <v/>
      </c>
      <c r="P108" s="38">
        <f>IF($B108="","",SUMPRODUCT(('目标填报'!$B$4:$B$1500=$B108)*('目标填报'!$C$4:$C$1500=$C108)*('目标填报'!$D$4:$D$1500=$D108)*('目标填报'!$F$4:$F$1500="在手订单")*('目标填报'!$G$3:$R$3=$F$1)*'目标填报'!$G$4:$R$1500))</f>
        <v/>
      </c>
      <c r="Q108" s="38">
        <f>IF($B108="","",SUMPRODUCT(('目标填报'!$B$4:$B$1500=$B108)*('目标填报'!$C$4:$C$1500=$C108)*('目标填报'!$D$4:$D$1500=$D108)*('目标填报'!$F$4:$F$1500="在手订单目标")*('目标填报'!$G$3:$R$3=$F$1)*'目标填报'!$G$4:$R$1500))</f>
        <v/>
      </c>
      <c r="R108" s="39">
        <f>IF($B108="","",IFERROR(P108/Q108,""))</f>
        <v/>
      </c>
      <c r="S108" s="38">
        <f>IF($B108="","",SUMPRODUCT(('目标填报'!$B$4:$B$1500=$B108)*('目标填报'!$C$4:$C$1500=$C108)*('目标填报'!$D$4:$D$1500=$D108)*('目标填报'!$F$4:$F$1500="目标客户机会")*('目标填报'!$G$3:$R$3=$F$1)*'目标填报'!$G$4:$R$1500))</f>
        <v/>
      </c>
      <c r="T108" s="38">
        <f>IF($B108="","",SUMPRODUCT(('目标填报'!$B$4:$B$1500=$B108)*('目标填报'!$C$4:$C$1500=$C108)*('目标填报'!$D$4:$D$1500=$D108)*('目标填报'!$F$4:$F$1500="目标客户机会目标")*('目标填报'!$G$3:$R$3=$F$1)*'目标填报'!$G$4:$R$1500))</f>
        <v/>
      </c>
      <c r="U108" s="39">
        <f>IF($B108="","",IFERROR(S108/T108,""))</f>
        <v/>
      </c>
      <c r="V108" s="38">
        <f>IF($B108="","",P108+S108)</f>
        <v/>
      </c>
      <c r="W108" s="38">
        <f>IF($B108="","",M108-J108)</f>
        <v/>
      </c>
      <c r="X108" s="39">
        <f>IF($B108="","",IFERROR(V108/W108,""))</f>
        <v/>
      </c>
      <c r="Y108" s="40">
        <f>IF($B108="","",V108-W108)</f>
        <v/>
      </c>
    </row>
    <row r="109">
      <c r="A109" s="37">
        <f>IF($B109="","",ROW()-3)</f>
        <v/>
      </c>
      <c r="B109" s="13">
        <f>IF(105+1&gt;COUNTA('维度字典'!$C$2:$C$200)*COUNTA('维度字典'!$A$2:$A$200)*COUNTA('维度字典'!$E$2:$E$200),"",INDEX('维度字典'!$C$2:$C$200,MOD(INT(105/(COUNTA('维度字典'!$E$2:$E$200)*COUNTA('维度字典'!$A$2:$A$200))),COUNTA('维度字典'!$C$2:$C$200))+1))</f>
        <v/>
      </c>
      <c r="C109" s="13">
        <f>IF($B109="","",INDEX('维度字典'!$A$2:$A$200,MOD(INT(105/COUNTA('维度字典'!$E$2:$E$200)),COUNTA('维度字典'!$A$2:$A$200))+1))</f>
        <v/>
      </c>
      <c r="D109" s="13">
        <f>IF($B109="","",INDEX('维度字典'!$E$2:$E$200,MOD(105,COUNTA('维度字典'!$E$2:$E$200))+1))</f>
        <v/>
      </c>
      <c r="E109" s="38">
        <f>IF($B109="","",SUMPRODUCT(('系统实绩导入'!$B$4:$B$1500=$B109)*('系统实绩导入'!$C$4:$C$1500=$C109)*('系统实绩导入'!$D$4:$D$1500=$D109)*('系统实绩导入'!$F$4:$F$1500="实绩销售额")*('系统实绩导入'!$G$3:$R$3=$F$1)*'系统实绩导入'!$G$4:$R$1500))</f>
        <v/>
      </c>
      <c r="F109" s="38">
        <f>IF($B109="","",SUMPRODUCT(('系统实绩导入'!$B$4:$B$1500=$B109)*('系统实绩导入'!$C$4:$C$1500=$C109)*('系统实绩导入'!$D$4:$D$1500=$D109)*('系统实绩导入'!$F$4:$F$1500="实绩毛利")*('系统实绩导入'!$G$3:$R$3=$F$1)*'系统实绩导入'!$G$4:$R$1500))</f>
        <v/>
      </c>
      <c r="G109" s="39">
        <f>IF($B109="","",IFERROR(F109/E109,""))</f>
        <v/>
      </c>
      <c r="H109" s="38">
        <f>IF($B109="","",SUMPRODUCT(('目标填报'!$B$4:$B$1500=$B109)*('目标填报'!$C$4:$C$1500=$C109)*('目标填报'!$D$4:$D$1500=$D109)*('目标填报'!$F$4:$F$1500="销售目标额")*('目标填报'!$G$3:$R$3=$F$1)*'目标填报'!$G$4:$R$1500))</f>
        <v/>
      </c>
      <c r="I109" s="39">
        <f>IF($B109="","",IFERROR(E109/H109,""))</f>
        <v/>
      </c>
      <c r="J109" s="38">
        <f>IF($B109="","",SUMPRODUCT(('系统实绩导入'!$B$4:$B$1500=$B109)*('系统实绩导入'!$C$4:$C$1500=$C109)*('系统实绩导入'!$D$4:$D$1500=$D109)*('系统实绩导入'!$F$4:$F$1500="实绩销售额")*('系统实绩导入'!$G$3:$R$3&lt;=$F$1)*'系统实绩导入'!$G$4:$R$1500))</f>
        <v/>
      </c>
      <c r="K109" s="38">
        <f>IF($B109="","",SUMPRODUCT(('系统实绩导入'!$B$4:$B$1500=$B109)*('系统实绩导入'!$C$4:$C$1500=$C109)*('系统实绩导入'!$D$4:$D$1500=$D109)*('系统实绩导入'!$F$4:$F$1500="实绩毛利")*('系统实绩导入'!$G$3:$R$3&lt;=$F$1)*'系统实绩导入'!$G$4:$R$1500))</f>
        <v/>
      </c>
      <c r="L109" s="39">
        <f>IF($B109="","",IFERROR(K109/J109,""))</f>
        <v/>
      </c>
      <c r="M109" s="38">
        <f>IF($B109="","",SUMIFS('目标填报'!$S$4:$S$1500,'目标填报'!$B$4:$B$1500,$B109,'目标填报'!$C$4:$C$1500,$C109,'目标填报'!$D$4:$D$1500,$D109,'目标填报'!$F$4:$F$1500,"销售目标额"))</f>
        <v/>
      </c>
      <c r="N109" s="39">
        <f>IF($B109="","",IFERROR(J109/M109,""))</f>
        <v/>
      </c>
      <c r="O109" s="40">
        <f>IF($B109="","",J109-M109)</f>
        <v/>
      </c>
      <c r="P109" s="38">
        <f>IF($B109="","",SUMPRODUCT(('目标填报'!$B$4:$B$1500=$B109)*('目标填报'!$C$4:$C$1500=$C109)*('目标填报'!$D$4:$D$1500=$D109)*('目标填报'!$F$4:$F$1500="在手订单")*('目标填报'!$G$3:$R$3=$F$1)*'目标填报'!$G$4:$R$1500))</f>
        <v/>
      </c>
      <c r="Q109" s="38">
        <f>IF($B109="","",SUMPRODUCT(('目标填报'!$B$4:$B$1500=$B109)*('目标填报'!$C$4:$C$1500=$C109)*('目标填报'!$D$4:$D$1500=$D109)*('目标填报'!$F$4:$F$1500="在手订单目标")*('目标填报'!$G$3:$R$3=$F$1)*'目标填报'!$G$4:$R$1500))</f>
        <v/>
      </c>
      <c r="R109" s="39">
        <f>IF($B109="","",IFERROR(P109/Q109,""))</f>
        <v/>
      </c>
      <c r="S109" s="38">
        <f>IF($B109="","",SUMPRODUCT(('目标填报'!$B$4:$B$1500=$B109)*('目标填报'!$C$4:$C$1500=$C109)*('目标填报'!$D$4:$D$1500=$D109)*('目标填报'!$F$4:$F$1500="目标客户机会")*('目标填报'!$G$3:$R$3=$F$1)*'目标填报'!$G$4:$R$1500))</f>
        <v/>
      </c>
      <c r="T109" s="38">
        <f>IF($B109="","",SUMPRODUCT(('目标填报'!$B$4:$B$1500=$B109)*('目标填报'!$C$4:$C$1500=$C109)*('目标填报'!$D$4:$D$1500=$D109)*('目标填报'!$F$4:$F$1500="目标客户机会目标")*('目标填报'!$G$3:$R$3=$F$1)*'目标填报'!$G$4:$R$1500))</f>
        <v/>
      </c>
      <c r="U109" s="39">
        <f>IF($B109="","",IFERROR(S109/T109,""))</f>
        <v/>
      </c>
      <c r="V109" s="38">
        <f>IF($B109="","",P109+S109)</f>
        <v/>
      </c>
      <c r="W109" s="38">
        <f>IF($B109="","",M109-J109)</f>
        <v/>
      </c>
      <c r="X109" s="39">
        <f>IF($B109="","",IFERROR(V109/W109,""))</f>
        <v/>
      </c>
      <c r="Y109" s="40">
        <f>IF($B109="","",V109-W109)</f>
        <v/>
      </c>
    </row>
    <row r="110">
      <c r="A110" s="37">
        <f>IF($B110="","",ROW()-3)</f>
        <v/>
      </c>
      <c r="B110" s="13">
        <f>IF(106+1&gt;COUNTA('维度字典'!$C$2:$C$200)*COUNTA('维度字典'!$A$2:$A$200)*COUNTA('维度字典'!$E$2:$E$200),"",INDEX('维度字典'!$C$2:$C$200,MOD(INT(106/(COUNTA('维度字典'!$E$2:$E$200)*COUNTA('维度字典'!$A$2:$A$200))),COUNTA('维度字典'!$C$2:$C$200))+1))</f>
        <v/>
      </c>
      <c r="C110" s="13">
        <f>IF($B110="","",INDEX('维度字典'!$A$2:$A$200,MOD(INT(106/COUNTA('维度字典'!$E$2:$E$200)),COUNTA('维度字典'!$A$2:$A$200))+1))</f>
        <v/>
      </c>
      <c r="D110" s="13">
        <f>IF($B110="","",INDEX('维度字典'!$E$2:$E$200,MOD(106,COUNTA('维度字典'!$E$2:$E$200))+1))</f>
        <v/>
      </c>
      <c r="E110" s="38">
        <f>IF($B110="","",SUMPRODUCT(('系统实绩导入'!$B$4:$B$1500=$B110)*('系统实绩导入'!$C$4:$C$1500=$C110)*('系统实绩导入'!$D$4:$D$1500=$D110)*('系统实绩导入'!$F$4:$F$1500="实绩销售额")*('系统实绩导入'!$G$3:$R$3=$F$1)*'系统实绩导入'!$G$4:$R$1500))</f>
        <v/>
      </c>
      <c r="F110" s="38">
        <f>IF($B110="","",SUMPRODUCT(('系统实绩导入'!$B$4:$B$1500=$B110)*('系统实绩导入'!$C$4:$C$1500=$C110)*('系统实绩导入'!$D$4:$D$1500=$D110)*('系统实绩导入'!$F$4:$F$1500="实绩毛利")*('系统实绩导入'!$G$3:$R$3=$F$1)*'系统实绩导入'!$G$4:$R$1500))</f>
        <v/>
      </c>
      <c r="G110" s="39">
        <f>IF($B110="","",IFERROR(F110/E110,""))</f>
        <v/>
      </c>
      <c r="H110" s="38">
        <f>IF($B110="","",SUMPRODUCT(('目标填报'!$B$4:$B$1500=$B110)*('目标填报'!$C$4:$C$1500=$C110)*('目标填报'!$D$4:$D$1500=$D110)*('目标填报'!$F$4:$F$1500="销售目标额")*('目标填报'!$G$3:$R$3=$F$1)*'目标填报'!$G$4:$R$1500))</f>
        <v/>
      </c>
      <c r="I110" s="39">
        <f>IF($B110="","",IFERROR(E110/H110,""))</f>
        <v/>
      </c>
      <c r="J110" s="38">
        <f>IF($B110="","",SUMPRODUCT(('系统实绩导入'!$B$4:$B$1500=$B110)*('系统实绩导入'!$C$4:$C$1500=$C110)*('系统实绩导入'!$D$4:$D$1500=$D110)*('系统实绩导入'!$F$4:$F$1500="实绩销售额")*('系统实绩导入'!$G$3:$R$3&lt;=$F$1)*'系统实绩导入'!$G$4:$R$1500))</f>
        <v/>
      </c>
      <c r="K110" s="38">
        <f>IF($B110="","",SUMPRODUCT(('系统实绩导入'!$B$4:$B$1500=$B110)*('系统实绩导入'!$C$4:$C$1500=$C110)*('系统实绩导入'!$D$4:$D$1500=$D110)*('系统实绩导入'!$F$4:$F$1500="实绩毛利")*('系统实绩导入'!$G$3:$R$3&lt;=$F$1)*'系统实绩导入'!$G$4:$R$1500))</f>
        <v/>
      </c>
      <c r="L110" s="39">
        <f>IF($B110="","",IFERROR(K110/J110,""))</f>
        <v/>
      </c>
      <c r="M110" s="38">
        <f>IF($B110="","",SUMIFS('目标填报'!$S$4:$S$1500,'目标填报'!$B$4:$B$1500,$B110,'目标填报'!$C$4:$C$1500,$C110,'目标填报'!$D$4:$D$1500,$D110,'目标填报'!$F$4:$F$1500,"销售目标额"))</f>
        <v/>
      </c>
      <c r="N110" s="39">
        <f>IF($B110="","",IFERROR(J110/M110,""))</f>
        <v/>
      </c>
      <c r="O110" s="40">
        <f>IF($B110="","",J110-M110)</f>
        <v/>
      </c>
      <c r="P110" s="38">
        <f>IF($B110="","",SUMPRODUCT(('目标填报'!$B$4:$B$1500=$B110)*('目标填报'!$C$4:$C$1500=$C110)*('目标填报'!$D$4:$D$1500=$D110)*('目标填报'!$F$4:$F$1500="在手订单")*('目标填报'!$G$3:$R$3=$F$1)*'目标填报'!$G$4:$R$1500))</f>
        <v/>
      </c>
      <c r="Q110" s="38">
        <f>IF($B110="","",SUMPRODUCT(('目标填报'!$B$4:$B$1500=$B110)*('目标填报'!$C$4:$C$1500=$C110)*('目标填报'!$D$4:$D$1500=$D110)*('目标填报'!$F$4:$F$1500="在手订单目标")*('目标填报'!$G$3:$R$3=$F$1)*'目标填报'!$G$4:$R$1500))</f>
        <v/>
      </c>
      <c r="R110" s="39">
        <f>IF($B110="","",IFERROR(P110/Q110,""))</f>
        <v/>
      </c>
      <c r="S110" s="38">
        <f>IF($B110="","",SUMPRODUCT(('目标填报'!$B$4:$B$1500=$B110)*('目标填报'!$C$4:$C$1500=$C110)*('目标填报'!$D$4:$D$1500=$D110)*('目标填报'!$F$4:$F$1500="目标客户机会")*('目标填报'!$G$3:$R$3=$F$1)*'目标填报'!$G$4:$R$1500))</f>
        <v/>
      </c>
      <c r="T110" s="38">
        <f>IF($B110="","",SUMPRODUCT(('目标填报'!$B$4:$B$1500=$B110)*('目标填报'!$C$4:$C$1500=$C110)*('目标填报'!$D$4:$D$1500=$D110)*('目标填报'!$F$4:$F$1500="目标客户机会目标")*('目标填报'!$G$3:$R$3=$F$1)*'目标填报'!$G$4:$R$1500))</f>
        <v/>
      </c>
      <c r="U110" s="39">
        <f>IF($B110="","",IFERROR(S110/T110,""))</f>
        <v/>
      </c>
      <c r="V110" s="38">
        <f>IF($B110="","",P110+S110)</f>
        <v/>
      </c>
      <c r="W110" s="38">
        <f>IF($B110="","",M110-J110)</f>
        <v/>
      </c>
      <c r="X110" s="39">
        <f>IF($B110="","",IFERROR(V110/W110,""))</f>
        <v/>
      </c>
      <c r="Y110" s="40">
        <f>IF($B110="","",V110-W110)</f>
        <v/>
      </c>
    </row>
    <row r="111">
      <c r="A111" s="37">
        <f>IF($B111="","",ROW()-3)</f>
        <v/>
      </c>
      <c r="B111" s="13">
        <f>IF(107+1&gt;COUNTA('维度字典'!$C$2:$C$200)*COUNTA('维度字典'!$A$2:$A$200)*COUNTA('维度字典'!$E$2:$E$200),"",INDEX('维度字典'!$C$2:$C$200,MOD(INT(107/(COUNTA('维度字典'!$E$2:$E$200)*COUNTA('维度字典'!$A$2:$A$200))),COUNTA('维度字典'!$C$2:$C$200))+1))</f>
        <v/>
      </c>
      <c r="C111" s="13">
        <f>IF($B111="","",INDEX('维度字典'!$A$2:$A$200,MOD(INT(107/COUNTA('维度字典'!$E$2:$E$200)),COUNTA('维度字典'!$A$2:$A$200))+1))</f>
        <v/>
      </c>
      <c r="D111" s="13">
        <f>IF($B111="","",INDEX('维度字典'!$E$2:$E$200,MOD(107,COUNTA('维度字典'!$E$2:$E$200))+1))</f>
        <v/>
      </c>
      <c r="E111" s="38">
        <f>IF($B111="","",SUMPRODUCT(('系统实绩导入'!$B$4:$B$1500=$B111)*('系统实绩导入'!$C$4:$C$1500=$C111)*('系统实绩导入'!$D$4:$D$1500=$D111)*('系统实绩导入'!$F$4:$F$1500="实绩销售额")*('系统实绩导入'!$G$3:$R$3=$F$1)*'系统实绩导入'!$G$4:$R$1500))</f>
        <v/>
      </c>
      <c r="F111" s="38">
        <f>IF($B111="","",SUMPRODUCT(('系统实绩导入'!$B$4:$B$1500=$B111)*('系统实绩导入'!$C$4:$C$1500=$C111)*('系统实绩导入'!$D$4:$D$1500=$D111)*('系统实绩导入'!$F$4:$F$1500="实绩毛利")*('系统实绩导入'!$G$3:$R$3=$F$1)*'系统实绩导入'!$G$4:$R$1500))</f>
        <v/>
      </c>
      <c r="G111" s="39">
        <f>IF($B111="","",IFERROR(F111/E111,""))</f>
        <v/>
      </c>
      <c r="H111" s="38">
        <f>IF($B111="","",SUMPRODUCT(('目标填报'!$B$4:$B$1500=$B111)*('目标填报'!$C$4:$C$1500=$C111)*('目标填报'!$D$4:$D$1500=$D111)*('目标填报'!$F$4:$F$1500="销售目标额")*('目标填报'!$G$3:$R$3=$F$1)*'目标填报'!$G$4:$R$1500))</f>
        <v/>
      </c>
      <c r="I111" s="39">
        <f>IF($B111="","",IFERROR(E111/H111,""))</f>
        <v/>
      </c>
      <c r="J111" s="38">
        <f>IF($B111="","",SUMPRODUCT(('系统实绩导入'!$B$4:$B$1500=$B111)*('系统实绩导入'!$C$4:$C$1500=$C111)*('系统实绩导入'!$D$4:$D$1500=$D111)*('系统实绩导入'!$F$4:$F$1500="实绩销售额")*('系统实绩导入'!$G$3:$R$3&lt;=$F$1)*'系统实绩导入'!$G$4:$R$1500))</f>
        <v/>
      </c>
      <c r="K111" s="38">
        <f>IF($B111="","",SUMPRODUCT(('系统实绩导入'!$B$4:$B$1500=$B111)*('系统实绩导入'!$C$4:$C$1500=$C111)*('系统实绩导入'!$D$4:$D$1500=$D111)*('系统实绩导入'!$F$4:$F$1500="实绩毛利")*('系统实绩导入'!$G$3:$R$3&lt;=$F$1)*'系统实绩导入'!$G$4:$R$1500))</f>
        <v/>
      </c>
      <c r="L111" s="39">
        <f>IF($B111="","",IFERROR(K111/J111,""))</f>
        <v/>
      </c>
      <c r="M111" s="38">
        <f>IF($B111="","",SUMIFS('目标填报'!$S$4:$S$1500,'目标填报'!$B$4:$B$1500,$B111,'目标填报'!$C$4:$C$1500,$C111,'目标填报'!$D$4:$D$1500,$D111,'目标填报'!$F$4:$F$1500,"销售目标额"))</f>
        <v/>
      </c>
      <c r="N111" s="39">
        <f>IF($B111="","",IFERROR(J111/M111,""))</f>
        <v/>
      </c>
      <c r="O111" s="40">
        <f>IF($B111="","",J111-M111)</f>
        <v/>
      </c>
      <c r="P111" s="38">
        <f>IF($B111="","",SUMPRODUCT(('目标填报'!$B$4:$B$1500=$B111)*('目标填报'!$C$4:$C$1500=$C111)*('目标填报'!$D$4:$D$1500=$D111)*('目标填报'!$F$4:$F$1500="在手订单")*('目标填报'!$G$3:$R$3=$F$1)*'目标填报'!$G$4:$R$1500))</f>
        <v/>
      </c>
      <c r="Q111" s="38">
        <f>IF($B111="","",SUMPRODUCT(('目标填报'!$B$4:$B$1500=$B111)*('目标填报'!$C$4:$C$1500=$C111)*('目标填报'!$D$4:$D$1500=$D111)*('目标填报'!$F$4:$F$1500="在手订单目标")*('目标填报'!$G$3:$R$3=$F$1)*'目标填报'!$G$4:$R$1500))</f>
        <v/>
      </c>
      <c r="R111" s="39">
        <f>IF($B111="","",IFERROR(P111/Q111,""))</f>
        <v/>
      </c>
      <c r="S111" s="38">
        <f>IF($B111="","",SUMPRODUCT(('目标填报'!$B$4:$B$1500=$B111)*('目标填报'!$C$4:$C$1500=$C111)*('目标填报'!$D$4:$D$1500=$D111)*('目标填报'!$F$4:$F$1500="目标客户机会")*('目标填报'!$G$3:$R$3=$F$1)*'目标填报'!$G$4:$R$1500))</f>
        <v/>
      </c>
      <c r="T111" s="38">
        <f>IF($B111="","",SUMPRODUCT(('目标填报'!$B$4:$B$1500=$B111)*('目标填报'!$C$4:$C$1500=$C111)*('目标填报'!$D$4:$D$1500=$D111)*('目标填报'!$F$4:$F$1500="目标客户机会目标")*('目标填报'!$G$3:$R$3=$F$1)*'目标填报'!$G$4:$R$1500))</f>
        <v/>
      </c>
      <c r="U111" s="39">
        <f>IF($B111="","",IFERROR(S111/T111,""))</f>
        <v/>
      </c>
      <c r="V111" s="38">
        <f>IF($B111="","",P111+S111)</f>
        <v/>
      </c>
      <c r="W111" s="38">
        <f>IF($B111="","",M111-J111)</f>
        <v/>
      </c>
      <c r="X111" s="39">
        <f>IF($B111="","",IFERROR(V111/W111,""))</f>
        <v/>
      </c>
      <c r="Y111" s="40">
        <f>IF($B111="","",V111-W111)</f>
        <v/>
      </c>
    </row>
    <row r="112">
      <c r="A112" s="37">
        <f>IF($B112="","",ROW()-3)</f>
        <v/>
      </c>
      <c r="B112" s="13">
        <f>IF(108+1&gt;COUNTA('维度字典'!$C$2:$C$200)*COUNTA('维度字典'!$A$2:$A$200)*COUNTA('维度字典'!$E$2:$E$200),"",INDEX('维度字典'!$C$2:$C$200,MOD(INT(108/(COUNTA('维度字典'!$E$2:$E$200)*COUNTA('维度字典'!$A$2:$A$200))),COUNTA('维度字典'!$C$2:$C$200))+1))</f>
        <v/>
      </c>
      <c r="C112" s="13">
        <f>IF($B112="","",INDEX('维度字典'!$A$2:$A$200,MOD(INT(108/COUNTA('维度字典'!$E$2:$E$200)),COUNTA('维度字典'!$A$2:$A$200))+1))</f>
        <v/>
      </c>
      <c r="D112" s="13">
        <f>IF($B112="","",INDEX('维度字典'!$E$2:$E$200,MOD(108,COUNTA('维度字典'!$E$2:$E$200))+1))</f>
        <v/>
      </c>
      <c r="E112" s="38">
        <f>IF($B112="","",SUMPRODUCT(('系统实绩导入'!$B$4:$B$1500=$B112)*('系统实绩导入'!$C$4:$C$1500=$C112)*('系统实绩导入'!$D$4:$D$1500=$D112)*('系统实绩导入'!$F$4:$F$1500="实绩销售额")*('系统实绩导入'!$G$3:$R$3=$F$1)*'系统实绩导入'!$G$4:$R$1500))</f>
        <v/>
      </c>
      <c r="F112" s="38">
        <f>IF($B112="","",SUMPRODUCT(('系统实绩导入'!$B$4:$B$1500=$B112)*('系统实绩导入'!$C$4:$C$1500=$C112)*('系统实绩导入'!$D$4:$D$1500=$D112)*('系统实绩导入'!$F$4:$F$1500="实绩毛利")*('系统实绩导入'!$G$3:$R$3=$F$1)*'系统实绩导入'!$G$4:$R$1500))</f>
        <v/>
      </c>
      <c r="G112" s="39">
        <f>IF($B112="","",IFERROR(F112/E112,""))</f>
        <v/>
      </c>
      <c r="H112" s="38">
        <f>IF($B112="","",SUMPRODUCT(('目标填报'!$B$4:$B$1500=$B112)*('目标填报'!$C$4:$C$1500=$C112)*('目标填报'!$D$4:$D$1500=$D112)*('目标填报'!$F$4:$F$1500="销售目标额")*('目标填报'!$G$3:$R$3=$F$1)*'目标填报'!$G$4:$R$1500))</f>
        <v/>
      </c>
      <c r="I112" s="39">
        <f>IF($B112="","",IFERROR(E112/H112,""))</f>
        <v/>
      </c>
      <c r="J112" s="38">
        <f>IF($B112="","",SUMPRODUCT(('系统实绩导入'!$B$4:$B$1500=$B112)*('系统实绩导入'!$C$4:$C$1500=$C112)*('系统实绩导入'!$D$4:$D$1500=$D112)*('系统实绩导入'!$F$4:$F$1500="实绩销售额")*('系统实绩导入'!$G$3:$R$3&lt;=$F$1)*'系统实绩导入'!$G$4:$R$1500))</f>
        <v/>
      </c>
      <c r="K112" s="38">
        <f>IF($B112="","",SUMPRODUCT(('系统实绩导入'!$B$4:$B$1500=$B112)*('系统实绩导入'!$C$4:$C$1500=$C112)*('系统实绩导入'!$D$4:$D$1500=$D112)*('系统实绩导入'!$F$4:$F$1500="实绩毛利")*('系统实绩导入'!$G$3:$R$3&lt;=$F$1)*'系统实绩导入'!$G$4:$R$1500))</f>
        <v/>
      </c>
      <c r="L112" s="39">
        <f>IF($B112="","",IFERROR(K112/J112,""))</f>
        <v/>
      </c>
      <c r="M112" s="38">
        <f>IF($B112="","",SUMIFS('目标填报'!$S$4:$S$1500,'目标填报'!$B$4:$B$1500,$B112,'目标填报'!$C$4:$C$1500,$C112,'目标填报'!$D$4:$D$1500,$D112,'目标填报'!$F$4:$F$1500,"销售目标额"))</f>
        <v/>
      </c>
      <c r="N112" s="39">
        <f>IF($B112="","",IFERROR(J112/M112,""))</f>
        <v/>
      </c>
      <c r="O112" s="40">
        <f>IF($B112="","",J112-M112)</f>
        <v/>
      </c>
      <c r="P112" s="38">
        <f>IF($B112="","",SUMPRODUCT(('目标填报'!$B$4:$B$1500=$B112)*('目标填报'!$C$4:$C$1500=$C112)*('目标填报'!$D$4:$D$1500=$D112)*('目标填报'!$F$4:$F$1500="在手订单")*('目标填报'!$G$3:$R$3=$F$1)*'目标填报'!$G$4:$R$1500))</f>
        <v/>
      </c>
      <c r="Q112" s="38">
        <f>IF($B112="","",SUMPRODUCT(('目标填报'!$B$4:$B$1500=$B112)*('目标填报'!$C$4:$C$1500=$C112)*('目标填报'!$D$4:$D$1500=$D112)*('目标填报'!$F$4:$F$1500="在手订单目标")*('目标填报'!$G$3:$R$3=$F$1)*'目标填报'!$G$4:$R$1500))</f>
        <v/>
      </c>
      <c r="R112" s="39">
        <f>IF($B112="","",IFERROR(P112/Q112,""))</f>
        <v/>
      </c>
      <c r="S112" s="38">
        <f>IF($B112="","",SUMPRODUCT(('目标填报'!$B$4:$B$1500=$B112)*('目标填报'!$C$4:$C$1500=$C112)*('目标填报'!$D$4:$D$1500=$D112)*('目标填报'!$F$4:$F$1500="目标客户机会")*('目标填报'!$G$3:$R$3=$F$1)*'目标填报'!$G$4:$R$1500))</f>
        <v/>
      </c>
      <c r="T112" s="38">
        <f>IF($B112="","",SUMPRODUCT(('目标填报'!$B$4:$B$1500=$B112)*('目标填报'!$C$4:$C$1500=$C112)*('目标填报'!$D$4:$D$1500=$D112)*('目标填报'!$F$4:$F$1500="目标客户机会目标")*('目标填报'!$G$3:$R$3=$F$1)*'目标填报'!$G$4:$R$1500))</f>
        <v/>
      </c>
      <c r="U112" s="39">
        <f>IF($B112="","",IFERROR(S112/T112,""))</f>
        <v/>
      </c>
      <c r="V112" s="38">
        <f>IF($B112="","",P112+S112)</f>
        <v/>
      </c>
      <c r="W112" s="38">
        <f>IF($B112="","",M112-J112)</f>
        <v/>
      </c>
      <c r="X112" s="39">
        <f>IF($B112="","",IFERROR(V112/W112,""))</f>
        <v/>
      </c>
      <c r="Y112" s="40">
        <f>IF($B112="","",V112-W112)</f>
        <v/>
      </c>
    </row>
    <row r="113">
      <c r="A113" s="37">
        <f>IF($B113="","",ROW()-3)</f>
        <v/>
      </c>
      <c r="B113" s="13">
        <f>IF(109+1&gt;COUNTA('维度字典'!$C$2:$C$200)*COUNTA('维度字典'!$A$2:$A$200)*COUNTA('维度字典'!$E$2:$E$200),"",INDEX('维度字典'!$C$2:$C$200,MOD(INT(109/(COUNTA('维度字典'!$E$2:$E$200)*COUNTA('维度字典'!$A$2:$A$200))),COUNTA('维度字典'!$C$2:$C$200))+1))</f>
        <v/>
      </c>
      <c r="C113" s="13">
        <f>IF($B113="","",INDEX('维度字典'!$A$2:$A$200,MOD(INT(109/COUNTA('维度字典'!$E$2:$E$200)),COUNTA('维度字典'!$A$2:$A$200))+1))</f>
        <v/>
      </c>
      <c r="D113" s="13">
        <f>IF($B113="","",INDEX('维度字典'!$E$2:$E$200,MOD(109,COUNTA('维度字典'!$E$2:$E$200))+1))</f>
        <v/>
      </c>
      <c r="E113" s="38">
        <f>IF($B113="","",SUMPRODUCT(('系统实绩导入'!$B$4:$B$1500=$B113)*('系统实绩导入'!$C$4:$C$1500=$C113)*('系统实绩导入'!$D$4:$D$1500=$D113)*('系统实绩导入'!$F$4:$F$1500="实绩销售额")*('系统实绩导入'!$G$3:$R$3=$F$1)*'系统实绩导入'!$G$4:$R$1500))</f>
        <v/>
      </c>
      <c r="F113" s="38">
        <f>IF($B113="","",SUMPRODUCT(('系统实绩导入'!$B$4:$B$1500=$B113)*('系统实绩导入'!$C$4:$C$1500=$C113)*('系统实绩导入'!$D$4:$D$1500=$D113)*('系统实绩导入'!$F$4:$F$1500="实绩毛利")*('系统实绩导入'!$G$3:$R$3=$F$1)*'系统实绩导入'!$G$4:$R$1500))</f>
        <v/>
      </c>
      <c r="G113" s="39">
        <f>IF($B113="","",IFERROR(F113/E113,""))</f>
        <v/>
      </c>
      <c r="H113" s="38">
        <f>IF($B113="","",SUMPRODUCT(('目标填报'!$B$4:$B$1500=$B113)*('目标填报'!$C$4:$C$1500=$C113)*('目标填报'!$D$4:$D$1500=$D113)*('目标填报'!$F$4:$F$1500="销售目标额")*('目标填报'!$G$3:$R$3=$F$1)*'目标填报'!$G$4:$R$1500))</f>
        <v/>
      </c>
      <c r="I113" s="39">
        <f>IF($B113="","",IFERROR(E113/H113,""))</f>
        <v/>
      </c>
      <c r="J113" s="38">
        <f>IF($B113="","",SUMPRODUCT(('系统实绩导入'!$B$4:$B$1500=$B113)*('系统实绩导入'!$C$4:$C$1500=$C113)*('系统实绩导入'!$D$4:$D$1500=$D113)*('系统实绩导入'!$F$4:$F$1500="实绩销售额")*('系统实绩导入'!$G$3:$R$3&lt;=$F$1)*'系统实绩导入'!$G$4:$R$1500))</f>
        <v/>
      </c>
      <c r="K113" s="38">
        <f>IF($B113="","",SUMPRODUCT(('系统实绩导入'!$B$4:$B$1500=$B113)*('系统实绩导入'!$C$4:$C$1500=$C113)*('系统实绩导入'!$D$4:$D$1500=$D113)*('系统实绩导入'!$F$4:$F$1500="实绩毛利")*('系统实绩导入'!$G$3:$R$3&lt;=$F$1)*'系统实绩导入'!$G$4:$R$1500))</f>
        <v/>
      </c>
      <c r="L113" s="39">
        <f>IF($B113="","",IFERROR(K113/J113,""))</f>
        <v/>
      </c>
      <c r="M113" s="38">
        <f>IF($B113="","",SUMIFS('目标填报'!$S$4:$S$1500,'目标填报'!$B$4:$B$1500,$B113,'目标填报'!$C$4:$C$1500,$C113,'目标填报'!$D$4:$D$1500,$D113,'目标填报'!$F$4:$F$1500,"销售目标额"))</f>
        <v/>
      </c>
      <c r="N113" s="39">
        <f>IF($B113="","",IFERROR(J113/M113,""))</f>
        <v/>
      </c>
      <c r="O113" s="40">
        <f>IF($B113="","",J113-M113)</f>
        <v/>
      </c>
      <c r="P113" s="38">
        <f>IF($B113="","",SUMPRODUCT(('目标填报'!$B$4:$B$1500=$B113)*('目标填报'!$C$4:$C$1500=$C113)*('目标填报'!$D$4:$D$1500=$D113)*('目标填报'!$F$4:$F$1500="在手订单")*('目标填报'!$G$3:$R$3=$F$1)*'目标填报'!$G$4:$R$1500))</f>
        <v/>
      </c>
      <c r="Q113" s="38">
        <f>IF($B113="","",SUMPRODUCT(('目标填报'!$B$4:$B$1500=$B113)*('目标填报'!$C$4:$C$1500=$C113)*('目标填报'!$D$4:$D$1500=$D113)*('目标填报'!$F$4:$F$1500="在手订单目标")*('目标填报'!$G$3:$R$3=$F$1)*'目标填报'!$G$4:$R$1500))</f>
        <v/>
      </c>
      <c r="R113" s="39">
        <f>IF($B113="","",IFERROR(P113/Q113,""))</f>
        <v/>
      </c>
      <c r="S113" s="38">
        <f>IF($B113="","",SUMPRODUCT(('目标填报'!$B$4:$B$1500=$B113)*('目标填报'!$C$4:$C$1500=$C113)*('目标填报'!$D$4:$D$1500=$D113)*('目标填报'!$F$4:$F$1500="目标客户机会")*('目标填报'!$G$3:$R$3=$F$1)*'目标填报'!$G$4:$R$1500))</f>
        <v/>
      </c>
      <c r="T113" s="38">
        <f>IF($B113="","",SUMPRODUCT(('目标填报'!$B$4:$B$1500=$B113)*('目标填报'!$C$4:$C$1500=$C113)*('目标填报'!$D$4:$D$1500=$D113)*('目标填报'!$F$4:$F$1500="目标客户机会目标")*('目标填报'!$G$3:$R$3=$F$1)*'目标填报'!$G$4:$R$1500))</f>
        <v/>
      </c>
      <c r="U113" s="39">
        <f>IF($B113="","",IFERROR(S113/T113,""))</f>
        <v/>
      </c>
      <c r="V113" s="38">
        <f>IF($B113="","",P113+S113)</f>
        <v/>
      </c>
      <c r="W113" s="38">
        <f>IF($B113="","",M113-J113)</f>
        <v/>
      </c>
      <c r="X113" s="39">
        <f>IF($B113="","",IFERROR(V113/W113,""))</f>
        <v/>
      </c>
      <c r="Y113" s="40">
        <f>IF($B113="","",V113-W113)</f>
        <v/>
      </c>
    </row>
    <row r="114">
      <c r="A114" s="37">
        <f>IF($B114="","",ROW()-3)</f>
        <v/>
      </c>
      <c r="B114" s="13">
        <f>IF(110+1&gt;COUNTA('维度字典'!$C$2:$C$200)*COUNTA('维度字典'!$A$2:$A$200)*COUNTA('维度字典'!$E$2:$E$200),"",INDEX('维度字典'!$C$2:$C$200,MOD(INT(110/(COUNTA('维度字典'!$E$2:$E$200)*COUNTA('维度字典'!$A$2:$A$200))),COUNTA('维度字典'!$C$2:$C$200))+1))</f>
        <v/>
      </c>
      <c r="C114" s="13">
        <f>IF($B114="","",INDEX('维度字典'!$A$2:$A$200,MOD(INT(110/COUNTA('维度字典'!$E$2:$E$200)),COUNTA('维度字典'!$A$2:$A$200))+1))</f>
        <v/>
      </c>
      <c r="D114" s="13">
        <f>IF($B114="","",INDEX('维度字典'!$E$2:$E$200,MOD(110,COUNTA('维度字典'!$E$2:$E$200))+1))</f>
        <v/>
      </c>
      <c r="E114" s="38">
        <f>IF($B114="","",SUMPRODUCT(('系统实绩导入'!$B$4:$B$1500=$B114)*('系统实绩导入'!$C$4:$C$1500=$C114)*('系统实绩导入'!$D$4:$D$1500=$D114)*('系统实绩导入'!$F$4:$F$1500="实绩销售额")*('系统实绩导入'!$G$3:$R$3=$F$1)*'系统实绩导入'!$G$4:$R$1500))</f>
        <v/>
      </c>
      <c r="F114" s="38">
        <f>IF($B114="","",SUMPRODUCT(('系统实绩导入'!$B$4:$B$1500=$B114)*('系统实绩导入'!$C$4:$C$1500=$C114)*('系统实绩导入'!$D$4:$D$1500=$D114)*('系统实绩导入'!$F$4:$F$1500="实绩毛利")*('系统实绩导入'!$G$3:$R$3=$F$1)*'系统实绩导入'!$G$4:$R$1500))</f>
        <v/>
      </c>
      <c r="G114" s="39">
        <f>IF($B114="","",IFERROR(F114/E114,""))</f>
        <v/>
      </c>
      <c r="H114" s="38">
        <f>IF($B114="","",SUMPRODUCT(('目标填报'!$B$4:$B$1500=$B114)*('目标填报'!$C$4:$C$1500=$C114)*('目标填报'!$D$4:$D$1500=$D114)*('目标填报'!$F$4:$F$1500="销售目标额")*('目标填报'!$G$3:$R$3=$F$1)*'目标填报'!$G$4:$R$1500))</f>
        <v/>
      </c>
      <c r="I114" s="39">
        <f>IF($B114="","",IFERROR(E114/H114,""))</f>
        <v/>
      </c>
      <c r="J114" s="38">
        <f>IF($B114="","",SUMPRODUCT(('系统实绩导入'!$B$4:$B$1500=$B114)*('系统实绩导入'!$C$4:$C$1500=$C114)*('系统实绩导入'!$D$4:$D$1500=$D114)*('系统实绩导入'!$F$4:$F$1500="实绩销售额")*('系统实绩导入'!$G$3:$R$3&lt;=$F$1)*'系统实绩导入'!$G$4:$R$1500))</f>
        <v/>
      </c>
      <c r="K114" s="38">
        <f>IF($B114="","",SUMPRODUCT(('系统实绩导入'!$B$4:$B$1500=$B114)*('系统实绩导入'!$C$4:$C$1500=$C114)*('系统实绩导入'!$D$4:$D$1500=$D114)*('系统实绩导入'!$F$4:$F$1500="实绩毛利")*('系统实绩导入'!$G$3:$R$3&lt;=$F$1)*'系统实绩导入'!$G$4:$R$1500))</f>
        <v/>
      </c>
      <c r="L114" s="39">
        <f>IF($B114="","",IFERROR(K114/J114,""))</f>
        <v/>
      </c>
      <c r="M114" s="38">
        <f>IF($B114="","",SUMIFS('目标填报'!$S$4:$S$1500,'目标填报'!$B$4:$B$1500,$B114,'目标填报'!$C$4:$C$1500,$C114,'目标填报'!$D$4:$D$1500,$D114,'目标填报'!$F$4:$F$1500,"销售目标额"))</f>
        <v/>
      </c>
      <c r="N114" s="39">
        <f>IF($B114="","",IFERROR(J114/M114,""))</f>
        <v/>
      </c>
      <c r="O114" s="40">
        <f>IF($B114="","",J114-M114)</f>
        <v/>
      </c>
      <c r="P114" s="38">
        <f>IF($B114="","",SUMPRODUCT(('目标填报'!$B$4:$B$1500=$B114)*('目标填报'!$C$4:$C$1500=$C114)*('目标填报'!$D$4:$D$1500=$D114)*('目标填报'!$F$4:$F$1500="在手订单")*('目标填报'!$G$3:$R$3=$F$1)*'目标填报'!$G$4:$R$1500))</f>
        <v/>
      </c>
      <c r="Q114" s="38">
        <f>IF($B114="","",SUMPRODUCT(('目标填报'!$B$4:$B$1500=$B114)*('目标填报'!$C$4:$C$1500=$C114)*('目标填报'!$D$4:$D$1500=$D114)*('目标填报'!$F$4:$F$1500="在手订单目标")*('目标填报'!$G$3:$R$3=$F$1)*'目标填报'!$G$4:$R$1500))</f>
        <v/>
      </c>
      <c r="R114" s="39">
        <f>IF($B114="","",IFERROR(P114/Q114,""))</f>
        <v/>
      </c>
      <c r="S114" s="38">
        <f>IF($B114="","",SUMPRODUCT(('目标填报'!$B$4:$B$1500=$B114)*('目标填报'!$C$4:$C$1500=$C114)*('目标填报'!$D$4:$D$1500=$D114)*('目标填报'!$F$4:$F$1500="目标客户机会")*('目标填报'!$G$3:$R$3=$F$1)*'目标填报'!$G$4:$R$1500))</f>
        <v/>
      </c>
      <c r="T114" s="38">
        <f>IF($B114="","",SUMPRODUCT(('目标填报'!$B$4:$B$1500=$B114)*('目标填报'!$C$4:$C$1500=$C114)*('目标填报'!$D$4:$D$1500=$D114)*('目标填报'!$F$4:$F$1500="目标客户机会目标")*('目标填报'!$G$3:$R$3=$F$1)*'目标填报'!$G$4:$R$1500))</f>
        <v/>
      </c>
      <c r="U114" s="39">
        <f>IF($B114="","",IFERROR(S114/T114,""))</f>
        <v/>
      </c>
      <c r="V114" s="38">
        <f>IF($B114="","",P114+S114)</f>
        <v/>
      </c>
      <c r="W114" s="38">
        <f>IF($B114="","",M114-J114)</f>
        <v/>
      </c>
      <c r="X114" s="39">
        <f>IF($B114="","",IFERROR(V114/W114,""))</f>
        <v/>
      </c>
      <c r="Y114" s="40">
        <f>IF($B114="","",V114-W114)</f>
        <v/>
      </c>
    </row>
    <row r="115">
      <c r="A115" s="37">
        <f>IF($B115="","",ROW()-3)</f>
        <v/>
      </c>
      <c r="B115" s="13">
        <f>IF(111+1&gt;COUNTA('维度字典'!$C$2:$C$200)*COUNTA('维度字典'!$A$2:$A$200)*COUNTA('维度字典'!$E$2:$E$200),"",INDEX('维度字典'!$C$2:$C$200,MOD(INT(111/(COUNTA('维度字典'!$E$2:$E$200)*COUNTA('维度字典'!$A$2:$A$200))),COUNTA('维度字典'!$C$2:$C$200))+1))</f>
        <v/>
      </c>
      <c r="C115" s="13">
        <f>IF($B115="","",INDEX('维度字典'!$A$2:$A$200,MOD(INT(111/COUNTA('维度字典'!$E$2:$E$200)),COUNTA('维度字典'!$A$2:$A$200))+1))</f>
        <v/>
      </c>
      <c r="D115" s="13">
        <f>IF($B115="","",INDEX('维度字典'!$E$2:$E$200,MOD(111,COUNTA('维度字典'!$E$2:$E$200))+1))</f>
        <v/>
      </c>
      <c r="E115" s="38">
        <f>IF($B115="","",SUMPRODUCT(('系统实绩导入'!$B$4:$B$1500=$B115)*('系统实绩导入'!$C$4:$C$1500=$C115)*('系统实绩导入'!$D$4:$D$1500=$D115)*('系统实绩导入'!$F$4:$F$1500="实绩销售额")*('系统实绩导入'!$G$3:$R$3=$F$1)*'系统实绩导入'!$G$4:$R$1500))</f>
        <v/>
      </c>
      <c r="F115" s="38">
        <f>IF($B115="","",SUMPRODUCT(('系统实绩导入'!$B$4:$B$1500=$B115)*('系统实绩导入'!$C$4:$C$1500=$C115)*('系统实绩导入'!$D$4:$D$1500=$D115)*('系统实绩导入'!$F$4:$F$1500="实绩毛利")*('系统实绩导入'!$G$3:$R$3=$F$1)*'系统实绩导入'!$G$4:$R$1500))</f>
        <v/>
      </c>
      <c r="G115" s="39">
        <f>IF($B115="","",IFERROR(F115/E115,""))</f>
        <v/>
      </c>
      <c r="H115" s="38">
        <f>IF($B115="","",SUMPRODUCT(('目标填报'!$B$4:$B$1500=$B115)*('目标填报'!$C$4:$C$1500=$C115)*('目标填报'!$D$4:$D$1500=$D115)*('目标填报'!$F$4:$F$1500="销售目标额")*('目标填报'!$G$3:$R$3=$F$1)*'目标填报'!$G$4:$R$1500))</f>
        <v/>
      </c>
      <c r="I115" s="39">
        <f>IF($B115="","",IFERROR(E115/H115,""))</f>
        <v/>
      </c>
      <c r="J115" s="38">
        <f>IF($B115="","",SUMPRODUCT(('系统实绩导入'!$B$4:$B$1500=$B115)*('系统实绩导入'!$C$4:$C$1500=$C115)*('系统实绩导入'!$D$4:$D$1500=$D115)*('系统实绩导入'!$F$4:$F$1500="实绩销售额")*('系统实绩导入'!$G$3:$R$3&lt;=$F$1)*'系统实绩导入'!$G$4:$R$1500))</f>
        <v/>
      </c>
      <c r="K115" s="38">
        <f>IF($B115="","",SUMPRODUCT(('系统实绩导入'!$B$4:$B$1500=$B115)*('系统实绩导入'!$C$4:$C$1500=$C115)*('系统实绩导入'!$D$4:$D$1500=$D115)*('系统实绩导入'!$F$4:$F$1500="实绩毛利")*('系统实绩导入'!$G$3:$R$3&lt;=$F$1)*'系统实绩导入'!$G$4:$R$1500))</f>
        <v/>
      </c>
      <c r="L115" s="39">
        <f>IF($B115="","",IFERROR(K115/J115,""))</f>
        <v/>
      </c>
      <c r="M115" s="38">
        <f>IF($B115="","",SUMIFS('目标填报'!$S$4:$S$1500,'目标填报'!$B$4:$B$1500,$B115,'目标填报'!$C$4:$C$1500,$C115,'目标填报'!$D$4:$D$1500,$D115,'目标填报'!$F$4:$F$1500,"销售目标额"))</f>
        <v/>
      </c>
      <c r="N115" s="39">
        <f>IF($B115="","",IFERROR(J115/M115,""))</f>
        <v/>
      </c>
      <c r="O115" s="40">
        <f>IF($B115="","",J115-M115)</f>
        <v/>
      </c>
      <c r="P115" s="38">
        <f>IF($B115="","",SUMPRODUCT(('目标填报'!$B$4:$B$1500=$B115)*('目标填报'!$C$4:$C$1500=$C115)*('目标填报'!$D$4:$D$1500=$D115)*('目标填报'!$F$4:$F$1500="在手订单")*('目标填报'!$G$3:$R$3=$F$1)*'目标填报'!$G$4:$R$1500))</f>
        <v/>
      </c>
      <c r="Q115" s="38">
        <f>IF($B115="","",SUMPRODUCT(('目标填报'!$B$4:$B$1500=$B115)*('目标填报'!$C$4:$C$1500=$C115)*('目标填报'!$D$4:$D$1500=$D115)*('目标填报'!$F$4:$F$1500="在手订单目标")*('目标填报'!$G$3:$R$3=$F$1)*'目标填报'!$G$4:$R$1500))</f>
        <v/>
      </c>
      <c r="R115" s="39">
        <f>IF($B115="","",IFERROR(P115/Q115,""))</f>
        <v/>
      </c>
      <c r="S115" s="38">
        <f>IF($B115="","",SUMPRODUCT(('目标填报'!$B$4:$B$1500=$B115)*('目标填报'!$C$4:$C$1500=$C115)*('目标填报'!$D$4:$D$1500=$D115)*('目标填报'!$F$4:$F$1500="目标客户机会")*('目标填报'!$G$3:$R$3=$F$1)*'目标填报'!$G$4:$R$1500))</f>
        <v/>
      </c>
      <c r="T115" s="38">
        <f>IF($B115="","",SUMPRODUCT(('目标填报'!$B$4:$B$1500=$B115)*('目标填报'!$C$4:$C$1500=$C115)*('目标填报'!$D$4:$D$1500=$D115)*('目标填报'!$F$4:$F$1500="目标客户机会目标")*('目标填报'!$G$3:$R$3=$F$1)*'目标填报'!$G$4:$R$1500))</f>
        <v/>
      </c>
      <c r="U115" s="39">
        <f>IF($B115="","",IFERROR(S115/T115,""))</f>
        <v/>
      </c>
      <c r="V115" s="38">
        <f>IF($B115="","",P115+S115)</f>
        <v/>
      </c>
      <c r="W115" s="38">
        <f>IF($B115="","",M115-J115)</f>
        <v/>
      </c>
      <c r="X115" s="39">
        <f>IF($B115="","",IFERROR(V115/W115,""))</f>
        <v/>
      </c>
      <c r="Y115" s="40">
        <f>IF($B115="","",V115-W115)</f>
        <v/>
      </c>
    </row>
    <row r="116">
      <c r="A116" s="37">
        <f>IF($B116="","",ROW()-3)</f>
        <v/>
      </c>
      <c r="B116" s="13">
        <f>IF(112+1&gt;COUNTA('维度字典'!$C$2:$C$200)*COUNTA('维度字典'!$A$2:$A$200)*COUNTA('维度字典'!$E$2:$E$200),"",INDEX('维度字典'!$C$2:$C$200,MOD(INT(112/(COUNTA('维度字典'!$E$2:$E$200)*COUNTA('维度字典'!$A$2:$A$200))),COUNTA('维度字典'!$C$2:$C$200))+1))</f>
        <v/>
      </c>
      <c r="C116" s="13">
        <f>IF($B116="","",INDEX('维度字典'!$A$2:$A$200,MOD(INT(112/COUNTA('维度字典'!$E$2:$E$200)),COUNTA('维度字典'!$A$2:$A$200))+1))</f>
        <v/>
      </c>
      <c r="D116" s="13">
        <f>IF($B116="","",INDEX('维度字典'!$E$2:$E$200,MOD(112,COUNTA('维度字典'!$E$2:$E$200))+1))</f>
        <v/>
      </c>
      <c r="E116" s="38">
        <f>IF($B116="","",SUMPRODUCT(('系统实绩导入'!$B$4:$B$1500=$B116)*('系统实绩导入'!$C$4:$C$1500=$C116)*('系统实绩导入'!$D$4:$D$1500=$D116)*('系统实绩导入'!$F$4:$F$1500="实绩销售额")*('系统实绩导入'!$G$3:$R$3=$F$1)*'系统实绩导入'!$G$4:$R$1500))</f>
        <v/>
      </c>
      <c r="F116" s="38">
        <f>IF($B116="","",SUMPRODUCT(('系统实绩导入'!$B$4:$B$1500=$B116)*('系统实绩导入'!$C$4:$C$1500=$C116)*('系统实绩导入'!$D$4:$D$1500=$D116)*('系统实绩导入'!$F$4:$F$1500="实绩毛利")*('系统实绩导入'!$G$3:$R$3=$F$1)*'系统实绩导入'!$G$4:$R$1500))</f>
        <v/>
      </c>
      <c r="G116" s="39">
        <f>IF($B116="","",IFERROR(F116/E116,""))</f>
        <v/>
      </c>
      <c r="H116" s="38">
        <f>IF($B116="","",SUMPRODUCT(('目标填报'!$B$4:$B$1500=$B116)*('目标填报'!$C$4:$C$1500=$C116)*('目标填报'!$D$4:$D$1500=$D116)*('目标填报'!$F$4:$F$1500="销售目标额")*('目标填报'!$G$3:$R$3=$F$1)*'目标填报'!$G$4:$R$1500))</f>
        <v/>
      </c>
      <c r="I116" s="39">
        <f>IF($B116="","",IFERROR(E116/H116,""))</f>
        <v/>
      </c>
      <c r="J116" s="38">
        <f>IF($B116="","",SUMPRODUCT(('系统实绩导入'!$B$4:$B$1500=$B116)*('系统实绩导入'!$C$4:$C$1500=$C116)*('系统实绩导入'!$D$4:$D$1500=$D116)*('系统实绩导入'!$F$4:$F$1500="实绩销售额")*('系统实绩导入'!$G$3:$R$3&lt;=$F$1)*'系统实绩导入'!$G$4:$R$1500))</f>
        <v/>
      </c>
      <c r="K116" s="38">
        <f>IF($B116="","",SUMPRODUCT(('系统实绩导入'!$B$4:$B$1500=$B116)*('系统实绩导入'!$C$4:$C$1500=$C116)*('系统实绩导入'!$D$4:$D$1500=$D116)*('系统实绩导入'!$F$4:$F$1500="实绩毛利")*('系统实绩导入'!$G$3:$R$3&lt;=$F$1)*'系统实绩导入'!$G$4:$R$1500))</f>
        <v/>
      </c>
      <c r="L116" s="39">
        <f>IF($B116="","",IFERROR(K116/J116,""))</f>
        <v/>
      </c>
      <c r="M116" s="38">
        <f>IF($B116="","",SUMIFS('目标填报'!$S$4:$S$1500,'目标填报'!$B$4:$B$1500,$B116,'目标填报'!$C$4:$C$1500,$C116,'目标填报'!$D$4:$D$1500,$D116,'目标填报'!$F$4:$F$1500,"销售目标额"))</f>
        <v/>
      </c>
      <c r="N116" s="39">
        <f>IF($B116="","",IFERROR(J116/M116,""))</f>
        <v/>
      </c>
      <c r="O116" s="40">
        <f>IF($B116="","",J116-M116)</f>
        <v/>
      </c>
      <c r="P116" s="38">
        <f>IF($B116="","",SUMPRODUCT(('目标填报'!$B$4:$B$1500=$B116)*('目标填报'!$C$4:$C$1500=$C116)*('目标填报'!$D$4:$D$1500=$D116)*('目标填报'!$F$4:$F$1500="在手订单")*('目标填报'!$G$3:$R$3=$F$1)*'目标填报'!$G$4:$R$1500))</f>
        <v/>
      </c>
      <c r="Q116" s="38">
        <f>IF($B116="","",SUMPRODUCT(('目标填报'!$B$4:$B$1500=$B116)*('目标填报'!$C$4:$C$1500=$C116)*('目标填报'!$D$4:$D$1500=$D116)*('目标填报'!$F$4:$F$1500="在手订单目标")*('目标填报'!$G$3:$R$3=$F$1)*'目标填报'!$G$4:$R$1500))</f>
        <v/>
      </c>
      <c r="R116" s="39">
        <f>IF($B116="","",IFERROR(P116/Q116,""))</f>
        <v/>
      </c>
      <c r="S116" s="38">
        <f>IF($B116="","",SUMPRODUCT(('目标填报'!$B$4:$B$1500=$B116)*('目标填报'!$C$4:$C$1500=$C116)*('目标填报'!$D$4:$D$1500=$D116)*('目标填报'!$F$4:$F$1500="目标客户机会")*('目标填报'!$G$3:$R$3=$F$1)*'目标填报'!$G$4:$R$1500))</f>
        <v/>
      </c>
      <c r="T116" s="38">
        <f>IF($B116="","",SUMPRODUCT(('目标填报'!$B$4:$B$1500=$B116)*('目标填报'!$C$4:$C$1500=$C116)*('目标填报'!$D$4:$D$1500=$D116)*('目标填报'!$F$4:$F$1500="目标客户机会目标")*('目标填报'!$G$3:$R$3=$F$1)*'目标填报'!$G$4:$R$1500))</f>
        <v/>
      </c>
      <c r="U116" s="39">
        <f>IF($B116="","",IFERROR(S116/T116,""))</f>
        <v/>
      </c>
      <c r="V116" s="38">
        <f>IF($B116="","",P116+S116)</f>
        <v/>
      </c>
      <c r="W116" s="38">
        <f>IF($B116="","",M116-J116)</f>
        <v/>
      </c>
      <c r="X116" s="39">
        <f>IF($B116="","",IFERROR(V116/W116,""))</f>
        <v/>
      </c>
      <c r="Y116" s="40">
        <f>IF($B116="","",V116-W116)</f>
        <v/>
      </c>
    </row>
    <row r="117">
      <c r="A117" s="37">
        <f>IF($B117="","",ROW()-3)</f>
        <v/>
      </c>
      <c r="B117" s="13">
        <f>IF(113+1&gt;COUNTA('维度字典'!$C$2:$C$200)*COUNTA('维度字典'!$A$2:$A$200)*COUNTA('维度字典'!$E$2:$E$200),"",INDEX('维度字典'!$C$2:$C$200,MOD(INT(113/(COUNTA('维度字典'!$E$2:$E$200)*COUNTA('维度字典'!$A$2:$A$200))),COUNTA('维度字典'!$C$2:$C$200))+1))</f>
        <v/>
      </c>
      <c r="C117" s="13">
        <f>IF($B117="","",INDEX('维度字典'!$A$2:$A$200,MOD(INT(113/COUNTA('维度字典'!$E$2:$E$200)),COUNTA('维度字典'!$A$2:$A$200))+1))</f>
        <v/>
      </c>
      <c r="D117" s="13">
        <f>IF($B117="","",INDEX('维度字典'!$E$2:$E$200,MOD(113,COUNTA('维度字典'!$E$2:$E$200))+1))</f>
        <v/>
      </c>
      <c r="E117" s="38">
        <f>IF($B117="","",SUMPRODUCT(('系统实绩导入'!$B$4:$B$1500=$B117)*('系统实绩导入'!$C$4:$C$1500=$C117)*('系统实绩导入'!$D$4:$D$1500=$D117)*('系统实绩导入'!$F$4:$F$1500="实绩销售额")*('系统实绩导入'!$G$3:$R$3=$F$1)*'系统实绩导入'!$G$4:$R$1500))</f>
        <v/>
      </c>
      <c r="F117" s="38">
        <f>IF($B117="","",SUMPRODUCT(('系统实绩导入'!$B$4:$B$1500=$B117)*('系统实绩导入'!$C$4:$C$1500=$C117)*('系统实绩导入'!$D$4:$D$1500=$D117)*('系统实绩导入'!$F$4:$F$1500="实绩毛利")*('系统实绩导入'!$G$3:$R$3=$F$1)*'系统实绩导入'!$G$4:$R$1500))</f>
        <v/>
      </c>
      <c r="G117" s="39">
        <f>IF($B117="","",IFERROR(F117/E117,""))</f>
        <v/>
      </c>
      <c r="H117" s="38">
        <f>IF($B117="","",SUMPRODUCT(('目标填报'!$B$4:$B$1500=$B117)*('目标填报'!$C$4:$C$1500=$C117)*('目标填报'!$D$4:$D$1500=$D117)*('目标填报'!$F$4:$F$1500="销售目标额")*('目标填报'!$G$3:$R$3=$F$1)*'目标填报'!$G$4:$R$1500))</f>
        <v/>
      </c>
      <c r="I117" s="39">
        <f>IF($B117="","",IFERROR(E117/H117,""))</f>
        <v/>
      </c>
      <c r="J117" s="38">
        <f>IF($B117="","",SUMPRODUCT(('系统实绩导入'!$B$4:$B$1500=$B117)*('系统实绩导入'!$C$4:$C$1500=$C117)*('系统实绩导入'!$D$4:$D$1500=$D117)*('系统实绩导入'!$F$4:$F$1500="实绩销售额")*('系统实绩导入'!$G$3:$R$3&lt;=$F$1)*'系统实绩导入'!$G$4:$R$1500))</f>
        <v/>
      </c>
      <c r="K117" s="38">
        <f>IF($B117="","",SUMPRODUCT(('系统实绩导入'!$B$4:$B$1500=$B117)*('系统实绩导入'!$C$4:$C$1500=$C117)*('系统实绩导入'!$D$4:$D$1500=$D117)*('系统实绩导入'!$F$4:$F$1500="实绩毛利")*('系统实绩导入'!$G$3:$R$3&lt;=$F$1)*'系统实绩导入'!$G$4:$R$1500))</f>
        <v/>
      </c>
      <c r="L117" s="39">
        <f>IF($B117="","",IFERROR(K117/J117,""))</f>
        <v/>
      </c>
      <c r="M117" s="38">
        <f>IF($B117="","",SUMIFS('目标填报'!$S$4:$S$1500,'目标填报'!$B$4:$B$1500,$B117,'目标填报'!$C$4:$C$1500,$C117,'目标填报'!$D$4:$D$1500,$D117,'目标填报'!$F$4:$F$1500,"销售目标额"))</f>
        <v/>
      </c>
      <c r="N117" s="39">
        <f>IF($B117="","",IFERROR(J117/M117,""))</f>
        <v/>
      </c>
      <c r="O117" s="40">
        <f>IF($B117="","",J117-M117)</f>
        <v/>
      </c>
      <c r="P117" s="38">
        <f>IF($B117="","",SUMPRODUCT(('目标填报'!$B$4:$B$1500=$B117)*('目标填报'!$C$4:$C$1500=$C117)*('目标填报'!$D$4:$D$1500=$D117)*('目标填报'!$F$4:$F$1500="在手订单")*('目标填报'!$G$3:$R$3=$F$1)*'目标填报'!$G$4:$R$1500))</f>
        <v/>
      </c>
      <c r="Q117" s="38">
        <f>IF($B117="","",SUMPRODUCT(('目标填报'!$B$4:$B$1500=$B117)*('目标填报'!$C$4:$C$1500=$C117)*('目标填报'!$D$4:$D$1500=$D117)*('目标填报'!$F$4:$F$1500="在手订单目标")*('目标填报'!$G$3:$R$3=$F$1)*'目标填报'!$G$4:$R$1500))</f>
        <v/>
      </c>
      <c r="R117" s="39">
        <f>IF($B117="","",IFERROR(P117/Q117,""))</f>
        <v/>
      </c>
      <c r="S117" s="38">
        <f>IF($B117="","",SUMPRODUCT(('目标填报'!$B$4:$B$1500=$B117)*('目标填报'!$C$4:$C$1500=$C117)*('目标填报'!$D$4:$D$1500=$D117)*('目标填报'!$F$4:$F$1500="目标客户机会")*('目标填报'!$G$3:$R$3=$F$1)*'目标填报'!$G$4:$R$1500))</f>
        <v/>
      </c>
      <c r="T117" s="38">
        <f>IF($B117="","",SUMPRODUCT(('目标填报'!$B$4:$B$1500=$B117)*('目标填报'!$C$4:$C$1500=$C117)*('目标填报'!$D$4:$D$1500=$D117)*('目标填报'!$F$4:$F$1500="目标客户机会目标")*('目标填报'!$G$3:$R$3=$F$1)*'目标填报'!$G$4:$R$1500))</f>
        <v/>
      </c>
      <c r="U117" s="39">
        <f>IF($B117="","",IFERROR(S117/T117,""))</f>
        <v/>
      </c>
      <c r="V117" s="38">
        <f>IF($B117="","",P117+S117)</f>
        <v/>
      </c>
      <c r="W117" s="38">
        <f>IF($B117="","",M117-J117)</f>
        <v/>
      </c>
      <c r="X117" s="39">
        <f>IF($B117="","",IFERROR(V117/W117,""))</f>
        <v/>
      </c>
      <c r="Y117" s="40">
        <f>IF($B117="","",V117-W117)</f>
        <v/>
      </c>
    </row>
    <row r="118">
      <c r="A118" s="37">
        <f>IF($B118="","",ROW()-3)</f>
        <v/>
      </c>
      <c r="B118" s="13">
        <f>IF(114+1&gt;COUNTA('维度字典'!$C$2:$C$200)*COUNTA('维度字典'!$A$2:$A$200)*COUNTA('维度字典'!$E$2:$E$200),"",INDEX('维度字典'!$C$2:$C$200,MOD(INT(114/(COUNTA('维度字典'!$E$2:$E$200)*COUNTA('维度字典'!$A$2:$A$200))),COUNTA('维度字典'!$C$2:$C$200))+1))</f>
        <v/>
      </c>
      <c r="C118" s="13">
        <f>IF($B118="","",INDEX('维度字典'!$A$2:$A$200,MOD(INT(114/COUNTA('维度字典'!$E$2:$E$200)),COUNTA('维度字典'!$A$2:$A$200))+1))</f>
        <v/>
      </c>
      <c r="D118" s="13">
        <f>IF($B118="","",INDEX('维度字典'!$E$2:$E$200,MOD(114,COUNTA('维度字典'!$E$2:$E$200))+1))</f>
        <v/>
      </c>
      <c r="E118" s="38">
        <f>IF($B118="","",SUMPRODUCT(('系统实绩导入'!$B$4:$B$1500=$B118)*('系统实绩导入'!$C$4:$C$1500=$C118)*('系统实绩导入'!$D$4:$D$1500=$D118)*('系统实绩导入'!$F$4:$F$1500="实绩销售额")*('系统实绩导入'!$G$3:$R$3=$F$1)*'系统实绩导入'!$G$4:$R$1500))</f>
        <v/>
      </c>
      <c r="F118" s="38">
        <f>IF($B118="","",SUMPRODUCT(('系统实绩导入'!$B$4:$B$1500=$B118)*('系统实绩导入'!$C$4:$C$1500=$C118)*('系统实绩导入'!$D$4:$D$1500=$D118)*('系统实绩导入'!$F$4:$F$1500="实绩毛利")*('系统实绩导入'!$G$3:$R$3=$F$1)*'系统实绩导入'!$G$4:$R$1500))</f>
        <v/>
      </c>
      <c r="G118" s="39">
        <f>IF($B118="","",IFERROR(F118/E118,""))</f>
        <v/>
      </c>
      <c r="H118" s="38">
        <f>IF($B118="","",SUMPRODUCT(('目标填报'!$B$4:$B$1500=$B118)*('目标填报'!$C$4:$C$1500=$C118)*('目标填报'!$D$4:$D$1500=$D118)*('目标填报'!$F$4:$F$1500="销售目标额")*('目标填报'!$G$3:$R$3=$F$1)*'目标填报'!$G$4:$R$1500))</f>
        <v/>
      </c>
      <c r="I118" s="39">
        <f>IF($B118="","",IFERROR(E118/H118,""))</f>
        <v/>
      </c>
      <c r="J118" s="38">
        <f>IF($B118="","",SUMPRODUCT(('系统实绩导入'!$B$4:$B$1500=$B118)*('系统实绩导入'!$C$4:$C$1500=$C118)*('系统实绩导入'!$D$4:$D$1500=$D118)*('系统实绩导入'!$F$4:$F$1500="实绩销售额")*('系统实绩导入'!$G$3:$R$3&lt;=$F$1)*'系统实绩导入'!$G$4:$R$1500))</f>
        <v/>
      </c>
      <c r="K118" s="38">
        <f>IF($B118="","",SUMPRODUCT(('系统实绩导入'!$B$4:$B$1500=$B118)*('系统实绩导入'!$C$4:$C$1500=$C118)*('系统实绩导入'!$D$4:$D$1500=$D118)*('系统实绩导入'!$F$4:$F$1500="实绩毛利")*('系统实绩导入'!$G$3:$R$3&lt;=$F$1)*'系统实绩导入'!$G$4:$R$1500))</f>
        <v/>
      </c>
      <c r="L118" s="39">
        <f>IF($B118="","",IFERROR(K118/J118,""))</f>
        <v/>
      </c>
      <c r="M118" s="38">
        <f>IF($B118="","",SUMIFS('目标填报'!$S$4:$S$1500,'目标填报'!$B$4:$B$1500,$B118,'目标填报'!$C$4:$C$1500,$C118,'目标填报'!$D$4:$D$1500,$D118,'目标填报'!$F$4:$F$1500,"销售目标额"))</f>
        <v/>
      </c>
      <c r="N118" s="39">
        <f>IF($B118="","",IFERROR(J118/M118,""))</f>
        <v/>
      </c>
      <c r="O118" s="40">
        <f>IF($B118="","",J118-M118)</f>
        <v/>
      </c>
      <c r="P118" s="38">
        <f>IF($B118="","",SUMPRODUCT(('目标填报'!$B$4:$B$1500=$B118)*('目标填报'!$C$4:$C$1500=$C118)*('目标填报'!$D$4:$D$1500=$D118)*('目标填报'!$F$4:$F$1500="在手订单")*('目标填报'!$G$3:$R$3=$F$1)*'目标填报'!$G$4:$R$1500))</f>
        <v/>
      </c>
      <c r="Q118" s="38">
        <f>IF($B118="","",SUMPRODUCT(('目标填报'!$B$4:$B$1500=$B118)*('目标填报'!$C$4:$C$1500=$C118)*('目标填报'!$D$4:$D$1500=$D118)*('目标填报'!$F$4:$F$1500="在手订单目标")*('目标填报'!$G$3:$R$3=$F$1)*'目标填报'!$G$4:$R$1500))</f>
        <v/>
      </c>
      <c r="R118" s="39">
        <f>IF($B118="","",IFERROR(P118/Q118,""))</f>
        <v/>
      </c>
      <c r="S118" s="38">
        <f>IF($B118="","",SUMPRODUCT(('目标填报'!$B$4:$B$1500=$B118)*('目标填报'!$C$4:$C$1500=$C118)*('目标填报'!$D$4:$D$1500=$D118)*('目标填报'!$F$4:$F$1500="目标客户机会")*('目标填报'!$G$3:$R$3=$F$1)*'目标填报'!$G$4:$R$1500))</f>
        <v/>
      </c>
      <c r="T118" s="38">
        <f>IF($B118="","",SUMPRODUCT(('目标填报'!$B$4:$B$1500=$B118)*('目标填报'!$C$4:$C$1500=$C118)*('目标填报'!$D$4:$D$1500=$D118)*('目标填报'!$F$4:$F$1500="目标客户机会目标")*('目标填报'!$G$3:$R$3=$F$1)*'目标填报'!$G$4:$R$1500))</f>
        <v/>
      </c>
      <c r="U118" s="39">
        <f>IF($B118="","",IFERROR(S118/T118,""))</f>
        <v/>
      </c>
      <c r="V118" s="38">
        <f>IF($B118="","",P118+S118)</f>
        <v/>
      </c>
      <c r="W118" s="38">
        <f>IF($B118="","",M118-J118)</f>
        <v/>
      </c>
      <c r="X118" s="39">
        <f>IF($B118="","",IFERROR(V118/W118,""))</f>
        <v/>
      </c>
      <c r="Y118" s="40">
        <f>IF($B118="","",V118-W118)</f>
        <v/>
      </c>
    </row>
    <row r="119">
      <c r="A119" s="37">
        <f>IF($B119="","",ROW()-3)</f>
        <v/>
      </c>
      <c r="B119" s="13">
        <f>IF(115+1&gt;COUNTA('维度字典'!$C$2:$C$200)*COUNTA('维度字典'!$A$2:$A$200)*COUNTA('维度字典'!$E$2:$E$200),"",INDEX('维度字典'!$C$2:$C$200,MOD(INT(115/(COUNTA('维度字典'!$E$2:$E$200)*COUNTA('维度字典'!$A$2:$A$200))),COUNTA('维度字典'!$C$2:$C$200))+1))</f>
        <v/>
      </c>
      <c r="C119" s="13">
        <f>IF($B119="","",INDEX('维度字典'!$A$2:$A$200,MOD(INT(115/COUNTA('维度字典'!$E$2:$E$200)),COUNTA('维度字典'!$A$2:$A$200))+1))</f>
        <v/>
      </c>
      <c r="D119" s="13">
        <f>IF($B119="","",INDEX('维度字典'!$E$2:$E$200,MOD(115,COUNTA('维度字典'!$E$2:$E$200))+1))</f>
        <v/>
      </c>
      <c r="E119" s="38">
        <f>IF($B119="","",SUMPRODUCT(('系统实绩导入'!$B$4:$B$1500=$B119)*('系统实绩导入'!$C$4:$C$1500=$C119)*('系统实绩导入'!$D$4:$D$1500=$D119)*('系统实绩导入'!$F$4:$F$1500="实绩销售额")*('系统实绩导入'!$G$3:$R$3=$F$1)*'系统实绩导入'!$G$4:$R$1500))</f>
        <v/>
      </c>
      <c r="F119" s="38">
        <f>IF($B119="","",SUMPRODUCT(('系统实绩导入'!$B$4:$B$1500=$B119)*('系统实绩导入'!$C$4:$C$1500=$C119)*('系统实绩导入'!$D$4:$D$1500=$D119)*('系统实绩导入'!$F$4:$F$1500="实绩毛利")*('系统实绩导入'!$G$3:$R$3=$F$1)*'系统实绩导入'!$G$4:$R$1500))</f>
        <v/>
      </c>
      <c r="G119" s="39">
        <f>IF($B119="","",IFERROR(F119/E119,""))</f>
        <v/>
      </c>
      <c r="H119" s="38">
        <f>IF($B119="","",SUMPRODUCT(('目标填报'!$B$4:$B$1500=$B119)*('目标填报'!$C$4:$C$1500=$C119)*('目标填报'!$D$4:$D$1500=$D119)*('目标填报'!$F$4:$F$1500="销售目标额")*('目标填报'!$G$3:$R$3=$F$1)*'目标填报'!$G$4:$R$1500))</f>
        <v/>
      </c>
      <c r="I119" s="39">
        <f>IF($B119="","",IFERROR(E119/H119,""))</f>
        <v/>
      </c>
      <c r="J119" s="38">
        <f>IF($B119="","",SUMPRODUCT(('系统实绩导入'!$B$4:$B$1500=$B119)*('系统实绩导入'!$C$4:$C$1500=$C119)*('系统实绩导入'!$D$4:$D$1500=$D119)*('系统实绩导入'!$F$4:$F$1500="实绩销售额")*('系统实绩导入'!$G$3:$R$3&lt;=$F$1)*'系统实绩导入'!$G$4:$R$1500))</f>
        <v/>
      </c>
      <c r="K119" s="38">
        <f>IF($B119="","",SUMPRODUCT(('系统实绩导入'!$B$4:$B$1500=$B119)*('系统实绩导入'!$C$4:$C$1500=$C119)*('系统实绩导入'!$D$4:$D$1500=$D119)*('系统实绩导入'!$F$4:$F$1500="实绩毛利")*('系统实绩导入'!$G$3:$R$3&lt;=$F$1)*'系统实绩导入'!$G$4:$R$1500))</f>
        <v/>
      </c>
      <c r="L119" s="39">
        <f>IF($B119="","",IFERROR(K119/J119,""))</f>
        <v/>
      </c>
      <c r="M119" s="38">
        <f>IF($B119="","",SUMIFS('目标填报'!$S$4:$S$1500,'目标填报'!$B$4:$B$1500,$B119,'目标填报'!$C$4:$C$1500,$C119,'目标填报'!$D$4:$D$1500,$D119,'目标填报'!$F$4:$F$1500,"销售目标额"))</f>
        <v/>
      </c>
      <c r="N119" s="39">
        <f>IF($B119="","",IFERROR(J119/M119,""))</f>
        <v/>
      </c>
      <c r="O119" s="40">
        <f>IF($B119="","",J119-M119)</f>
        <v/>
      </c>
      <c r="P119" s="38">
        <f>IF($B119="","",SUMPRODUCT(('目标填报'!$B$4:$B$1500=$B119)*('目标填报'!$C$4:$C$1500=$C119)*('目标填报'!$D$4:$D$1500=$D119)*('目标填报'!$F$4:$F$1500="在手订单")*('目标填报'!$G$3:$R$3=$F$1)*'目标填报'!$G$4:$R$1500))</f>
        <v/>
      </c>
      <c r="Q119" s="38">
        <f>IF($B119="","",SUMPRODUCT(('目标填报'!$B$4:$B$1500=$B119)*('目标填报'!$C$4:$C$1500=$C119)*('目标填报'!$D$4:$D$1500=$D119)*('目标填报'!$F$4:$F$1500="在手订单目标")*('目标填报'!$G$3:$R$3=$F$1)*'目标填报'!$G$4:$R$1500))</f>
        <v/>
      </c>
      <c r="R119" s="39">
        <f>IF($B119="","",IFERROR(P119/Q119,""))</f>
        <v/>
      </c>
      <c r="S119" s="38">
        <f>IF($B119="","",SUMPRODUCT(('目标填报'!$B$4:$B$1500=$B119)*('目标填报'!$C$4:$C$1500=$C119)*('目标填报'!$D$4:$D$1500=$D119)*('目标填报'!$F$4:$F$1500="目标客户机会")*('目标填报'!$G$3:$R$3=$F$1)*'目标填报'!$G$4:$R$1500))</f>
        <v/>
      </c>
      <c r="T119" s="38">
        <f>IF($B119="","",SUMPRODUCT(('目标填报'!$B$4:$B$1500=$B119)*('目标填报'!$C$4:$C$1500=$C119)*('目标填报'!$D$4:$D$1500=$D119)*('目标填报'!$F$4:$F$1500="目标客户机会目标")*('目标填报'!$G$3:$R$3=$F$1)*'目标填报'!$G$4:$R$1500))</f>
        <v/>
      </c>
      <c r="U119" s="39">
        <f>IF($B119="","",IFERROR(S119/T119,""))</f>
        <v/>
      </c>
      <c r="V119" s="38">
        <f>IF($B119="","",P119+S119)</f>
        <v/>
      </c>
      <c r="W119" s="38">
        <f>IF($B119="","",M119-J119)</f>
        <v/>
      </c>
      <c r="X119" s="39">
        <f>IF($B119="","",IFERROR(V119/W119,""))</f>
        <v/>
      </c>
      <c r="Y119" s="40">
        <f>IF($B119="","",V119-W119)</f>
        <v/>
      </c>
    </row>
    <row r="120">
      <c r="A120" s="37">
        <f>IF($B120="","",ROW()-3)</f>
        <v/>
      </c>
      <c r="B120" s="13">
        <f>IF(116+1&gt;COUNTA('维度字典'!$C$2:$C$200)*COUNTA('维度字典'!$A$2:$A$200)*COUNTA('维度字典'!$E$2:$E$200),"",INDEX('维度字典'!$C$2:$C$200,MOD(INT(116/(COUNTA('维度字典'!$E$2:$E$200)*COUNTA('维度字典'!$A$2:$A$200))),COUNTA('维度字典'!$C$2:$C$200))+1))</f>
        <v/>
      </c>
      <c r="C120" s="13">
        <f>IF($B120="","",INDEX('维度字典'!$A$2:$A$200,MOD(INT(116/COUNTA('维度字典'!$E$2:$E$200)),COUNTA('维度字典'!$A$2:$A$200))+1))</f>
        <v/>
      </c>
      <c r="D120" s="13">
        <f>IF($B120="","",INDEX('维度字典'!$E$2:$E$200,MOD(116,COUNTA('维度字典'!$E$2:$E$200))+1))</f>
        <v/>
      </c>
      <c r="E120" s="38">
        <f>IF($B120="","",SUMPRODUCT(('系统实绩导入'!$B$4:$B$1500=$B120)*('系统实绩导入'!$C$4:$C$1500=$C120)*('系统实绩导入'!$D$4:$D$1500=$D120)*('系统实绩导入'!$F$4:$F$1500="实绩销售额")*('系统实绩导入'!$G$3:$R$3=$F$1)*'系统实绩导入'!$G$4:$R$1500))</f>
        <v/>
      </c>
      <c r="F120" s="38">
        <f>IF($B120="","",SUMPRODUCT(('系统实绩导入'!$B$4:$B$1500=$B120)*('系统实绩导入'!$C$4:$C$1500=$C120)*('系统实绩导入'!$D$4:$D$1500=$D120)*('系统实绩导入'!$F$4:$F$1500="实绩毛利")*('系统实绩导入'!$G$3:$R$3=$F$1)*'系统实绩导入'!$G$4:$R$1500))</f>
        <v/>
      </c>
      <c r="G120" s="39">
        <f>IF($B120="","",IFERROR(F120/E120,""))</f>
        <v/>
      </c>
      <c r="H120" s="38">
        <f>IF($B120="","",SUMPRODUCT(('目标填报'!$B$4:$B$1500=$B120)*('目标填报'!$C$4:$C$1500=$C120)*('目标填报'!$D$4:$D$1500=$D120)*('目标填报'!$F$4:$F$1500="销售目标额")*('目标填报'!$G$3:$R$3=$F$1)*'目标填报'!$G$4:$R$1500))</f>
        <v/>
      </c>
      <c r="I120" s="39">
        <f>IF($B120="","",IFERROR(E120/H120,""))</f>
        <v/>
      </c>
      <c r="J120" s="38">
        <f>IF($B120="","",SUMPRODUCT(('系统实绩导入'!$B$4:$B$1500=$B120)*('系统实绩导入'!$C$4:$C$1500=$C120)*('系统实绩导入'!$D$4:$D$1500=$D120)*('系统实绩导入'!$F$4:$F$1500="实绩销售额")*('系统实绩导入'!$G$3:$R$3&lt;=$F$1)*'系统实绩导入'!$G$4:$R$1500))</f>
        <v/>
      </c>
      <c r="K120" s="38">
        <f>IF($B120="","",SUMPRODUCT(('系统实绩导入'!$B$4:$B$1500=$B120)*('系统实绩导入'!$C$4:$C$1500=$C120)*('系统实绩导入'!$D$4:$D$1500=$D120)*('系统实绩导入'!$F$4:$F$1500="实绩毛利")*('系统实绩导入'!$G$3:$R$3&lt;=$F$1)*'系统实绩导入'!$G$4:$R$1500))</f>
        <v/>
      </c>
      <c r="L120" s="39">
        <f>IF($B120="","",IFERROR(K120/J120,""))</f>
        <v/>
      </c>
      <c r="M120" s="38">
        <f>IF($B120="","",SUMIFS('目标填报'!$S$4:$S$1500,'目标填报'!$B$4:$B$1500,$B120,'目标填报'!$C$4:$C$1500,$C120,'目标填报'!$D$4:$D$1500,$D120,'目标填报'!$F$4:$F$1500,"销售目标额"))</f>
        <v/>
      </c>
      <c r="N120" s="39">
        <f>IF($B120="","",IFERROR(J120/M120,""))</f>
        <v/>
      </c>
      <c r="O120" s="40">
        <f>IF($B120="","",J120-M120)</f>
        <v/>
      </c>
      <c r="P120" s="38">
        <f>IF($B120="","",SUMPRODUCT(('目标填报'!$B$4:$B$1500=$B120)*('目标填报'!$C$4:$C$1500=$C120)*('目标填报'!$D$4:$D$1500=$D120)*('目标填报'!$F$4:$F$1500="在手订单")*('目标填报'!$G$3:$R$3=$F$1)*'目标填报'!$G$4:$R$1500))</f>
        <v/>
      </c>
      <c r="Q120" s="38">
        <f>IF($B120="","",SUMPRODUCT(('目标填报'!$B$4:$B$1500=$B120)*('目标填报'!$C$4:$C$1500=$C120)*('目标填报'!$D$4:$D$1500=$D120)*('目标填报'!$F$4:$F$1500="在手订单目标")*('目标填报'!$G$3:$R$3=$F$1)*'目标填报'!$G$4:$R$1500))</f>
        <v/>
      </c>
      <c r="R120" s="39">
        <f>IF($B120="","",IFERROR(P120/Q120,""))</f>
        <v/>
      </c>
      <c r="S120" s="38">
        <f>IF($B120="","",SUMPRODUCT(('目标填报'!$B$4:$B$1500=$B120)*('目标填报'!$C$4:$C$1500=$C120)*('目标填报'!$D$4:$D$1500=$D120)*('目标填报'!$F$4:$F$1500="目标客户机会")*('目标填报'!$G$3:$R$3=$F$1)*'目标填报'!$G$4:$R$1500))</f>
        <v/>
      </c>
      <c r="T120" s="38">
        <f>IF($B120="","",SUMPRODUCT(('目标填报'!$B$4:$B$1500=$B120)*('目标填报'!$C$4:$C$1500=$C120)*('目标填报'!$D$4:$D$1500=$D120)*('目标填报'!$F$4:$F$1500="目标客户机会目标")*('目标填报'!$G$3:$R$3=$F$1)*'目标填报'!$G$4:$R$1500))</f>
        <v/>
      </c>
      <c r="U120" s="39">
        <f>IF($B120="","",IFERROR(S120/T120,""))</f>
        <v/>
      </c>
      <c r="V120" s="38">
        <f>IF($B120="","",P120+S120)</f>
        <v/>
      </c>
      <c r="W120" s="38">
        <f>IF($B120="","",M120-J120)</f>
        <v/>
      </c>
      <c r="X120" s="39">
        <f>IF($B120="","",IFERROR(V120/W120,""))</f>
        <v/>
      </c>
      <c r="Y120" s="40">
        <f>IF($B120="","",V120-W120)</f>
        <v/>
      </c>
    </row>
    <row r="121">
      <c r="A121" s="37">
        <f>IF($B121="","",ROW()-3)</f>
        <v/>
      </c>
      <c r="B121" s="13">
        <f>IF(117+1&gt;COUNTA('维度字典'!$C$2:$C$200)*COUNTA('维度字典'!$A$2:$A$200)*COUNTA('维度字典'!$E$2:$E$200),"",INDEX('维度字典'!$C$2:$C$200,MOD(INT(117/(COUNTA('维度字典'!$E$2:$E$200)*COUNTA('维度字典'!$A$2:$A$200))),COUNTA('维度字典'!$C$2:$C$200))+1))</f>
        <v/>
      </c>
      <c r="C121" s="13">
        <f>IF($B121="","",INDEX('维度字典'!$A$2:$A$200,MOD(INT(117/COUNTA('维度字典'!$E$2:$E$200)),COUNTA('维度字典'!$A$2:$A$200))+1))</f>
        <v/>
      </c>
      <c r="D121" s="13">
        <f>IF($B121="","",INDEX('维度字典'!$E$2:$E$200,MOD(117,COUNTA('维度字典'!$E$2:$E$200))+1))</f>
        <v/>
      </c>
      <c r="E121" s="38">
        <f>IF($B121="","",SUMPRODUCT(('系统实绩导入'!$B$4:$B$1500=$B121)*('系统实绩导入'!$C$4:$C$1500=$C121)*('系统实绩导入'!$D$4:$D$1500=$D121)*('系统实绩导入'!$F$4:$F$1500="实绩销售额")*('系统实绩导入'!$G$3:$R$3=$F$1)*'系统实绩导入'!$G$4:$R$1500))</f>
        <v/>
      </c>
      <c r="F121" s="38">
        <f>IF($B121="","",SUMPRODUCT(('系统实绩导入'!$B$4:$B$1500=$B121)*('系统实绩导入'!$C$4:$C$1500=$C121)*('系统实绩导入'!$D$4:$D$1500=$D121)*('系统实绩导入'!$F$4:$F$1500="实绩毛利")*('系统实绩导入'!$G$3:$R$3=$F$1)*'系统实绩导入'!$G$4:$R$1500))</f>
        <v/>
      </c>
      <c r="G121" s="39">
        <f>IF($B121="","",IFERROR(F121/E121,""))</f>
        <v/>
      </c>
      <c r="H121" s="38">
        <f>IF($B121="","",SUMPRODUCT(('目标填报'!$B$4:$B$1500=$B121)*('目标填报'!$C$4:$C$1500=$C121)*('目标填报'!$D$4:$D$1500=$D121)*('目标填报'!$F$4:$F$1500="销售目标额")*('目标填报'!$G$3:$R$3=$F$1)*'目标填报'!$G$4:$R$1500))</f>
        <v/>
      </c>
      <c r="I121" s="39">
        <f>IF($B121="","",IFERROR(E121/H121,""))</f>
        <v/>
      </c>
      <c r="J121" s="38">
        <f>IF($B121="","",SUMPRODUCT(('系统实绩导入'!$B$4:$B$1500=$B121)*('系统实绩导入'!$C$4:$C$1500=$C121)*('系统实绩导入'!$D$4:$D$1500=$D121)*('系统实绩导入'!$F$4:$F$1500="实绩销售额")*('系统实绩导入'!$G$3:$R$3&lt;=$F$1)*'系统实绩导入'!$G$4:$R$1500))</f>
        <v/>
      </c>
      <c r="K121" s="38">
        <f>IF($B121="","",SUMPRODUCT(('系统实绩导入'!$B$4:$B$1500=$B121)*('系统实绩导入'!$C$4:$C$1500=$C121)*('系统实绩导入'!$D$4:$D$1500=$D121)*('系统实绩导入'!$F$4:$F$1500="实绩毛利")*('系统实绩导入'!$G$3:$R$3&lt;=$F$1)*'系统实绩导入'!$G$4:$R$1500))</f>
        <v/>
      </c>
      <c r="L121" s="39">
        <f>IF($B121="","",IFERROR(K121/J121,""))</f>
        <v/>
      </c>
      <c r="M121" s="38">
        <f>IF($B121="","",SUMIFS('目标填报'!$S$4:$S$1500,'目标填报'!$B$4:$B$1500,$B121,'目标填报'!$C$4:$C$1500,$C121,'目标填报'!$D$4:$D$1500,$D121,'目标填报'!$F$4:$F$1500,"销售目标额"))</f>
        <v/>
      </c>
      <c r="N121" s="39">
        <f>IF($B121="","",IFERROR(J121/M121,""))</f>
        <v/>
      </c>
      <c r="O121" s="40">
        <f>IF($B121="","",J121-M121)</f>
        <v/>
      </c>
      <c r="P121" s="38">
        <f>IF($B121="","",SUMPRODUCT(('目标填报'!$B$4:$B$1500=$B121)*('目标填报'!$C$4:$C$1500=$C121)*('目标填报'!$D$4:$D$1500=$D121)*('目标填报'!$F$4:$F$1500="在手订单")*('目标填报'!$G$3:$R$3=$F$1)*'目标填报'!$G$4:$R$1500))</f>
        <v/>
      </c>
      <c r="Q121" s="38">
        <f>IF($B121="","",SUMPRODUCT(('目标填报'!$B$4:$B$1500=$B121)*('目标填报'!$C$4:$C$1500=$C121)*('目标填报'!$D$4:$D$1500=$D121)*('目标填报'!$F$4:$F$1500="在手订单目标")*('目标填报'!$G$3:$R$3=$F$1)*'目标填报'!$G$4:$R$1500))</f>
        <v/>
      </c>
      <c r="R121" s="39">
        <f>IF($B121="","",IFERROR(P121/Q121,""))</f>
        <v/>
      </c>
      <c r="S121" s="38">
        <f>IF($B121="","",SUMPRODUCT(('目标填报'!$B$4:$B$1500=$B121)*('目标填报'!$C$4:$C$1500=$C121)*('目标填报'!$D$4:$D$1500=$D121)*('目标填报'!$F$4:$F$1500="目标客户机会")*('目标填报'!$G$3:$R$3=$F$1)*'目标填报'!$G$4:$R$1500))</f>
        <v/>
      </c>
      <c r="T121" s="38">
        <f>IF($B121="","",SUMPRODUCT(('目标填报'!$B$4:$B$1500=$B121)*('目标填报'!$C$4:$C$1500=$C121)*('目标填报'!$D$4:$D$1500=$D121)*('目标填报'!$F$4:$F$1500="目标客户机会目标")*('目标填报'!$G$3:$R$3=$F$1)*'目标填报'!$G$4:$R$1500))</f>
        <v/>
      </c>
      <c r="U121" s="39">
        <f>IF($B121="","",IFERROR(S121/T121,""))</f>
        <v/>
      </c>
      <c r="V121" s="38">
        <f>IF($B121="","",P121+S121)</f>
        <v/>
      </c>
      <c r="W121" s="38">
        <f>IF($B121="","",M121-J121)</f>
        <v/>
      </c>
      <c r="X121" s="39">
        <f>IF($B121="","",IFERROR(V121/W121,""))</f>
        <v/>
      </c>
      <c r="Y121" s="40">
        <f>IF($B121="","",V121-W121)</f>
        <v/>
      </c>
    </row>
    <row r="122">
      <c r="A122" s="37">
        <f>IF($B122="","",ROW()-3)</f>
        <v/>
      </c>
      <c r="B122" s="13">
        <f>IF(118+1&gt;COUNTA('维度字典'!$C$2:$C$200)*COUNTA('维度字典'!$A$2:$A$200)*COUNTA('维度字典'!$E$2:$E$200),"",INDEX('维度字典'!$C$2:$C$200,MOD(INT(118/(COUNTA('维度字典'!$E$2:$E$200)*COUNTA('维度字典'!$A$2:$A$200))),COUNTA('维度字典'!$C$2:$C$200))+1))</f>
        <v/>
      </c>
      <c r="C122" s="13">
        <f>IF($B122="","",INDEX('维度字典'!$A$2:$A$200,MOD(INT(118/COUNTA('维度字典'!$E$2:$E$200)),COUNTA('维度字典'!$A$2:$A$200))+1))</f>
        <v/>
      </c>
      <c r="D122" s="13">
        <f>IF($B122="","",INDEX('维度字典'!$E$2:$E$200,MOD(118,COUNTA('维度字典'!$E$2:$E$200))+1))</f>
        <v/>
      </c>
      <c r="E122" s="38">
        <f>IF($B122="","",SUMPRODUCT(('系统实绩导入'!$B$4:$B$1500=$B122)*('系统实绩导入'!$C$4:$C$1500=$C122)*('系统实绩导入'!$D$4:$D$1500=$D122)*('系统实绩导入'!$F$4:$F$1500="实绩销售额")*('系统实绩导入'!$G$3:$R$3=$F$1)*'系统实绩导入'!$G$4:$R$1500))</f>
        <v/>
      </c>
      <c r="F122" s="38">
        <f>IF($B122="","",SUMPRODUCT(('系统实绩导入'!$B$4:$B$1500=$B122)*('系统实绩导入'!$C$4:$C$1500=$C122)*('系统实绩导入'!$D$4:$D$1500=$D122)*('系统实绩导入'!$F$4:$F$1500="实绩毛利")*('系统实绩导入'!$G$3:$R$3=$F$1)*'系统实绩导入'!$G$4:$R$1500))</f>
        <v/>
      </c>
      <c r="G122" s="39">
        <f>IF($B122="","",IFERROR(F122/E122,""))</f>
        <v/>
      </c>
      <c r="H122" s="38">
        <f>IF($B122="","",SUMPRODUCT(('目标填报'!$B$4:$B$1500=$B122)*('目标填报'!$C$4:$C$1500=$C122)*('目标填报'!$D$4:$D$1500=$D122)*('目标填报'!$F$4:$F$1500="销售目标额")*('目标填报'!$G$3:$R$3=$F$1)*'目标填报'!$G$4:$R$1500))</f>
        <v/>
      </c>
      <c r="I122" s="39">
        <f>IF($B122="","",IFERROR(E122/H122,""))</f>
        <v/>
      </c>
      <c r="J122" s="38">
        <f>IF($B122="","",SUMPRODUCT(('系统实绩导入'!$B$4:$B$1500=$B122)*('系统实绩导入'!$C$4:$C$1500=$C122)*('系统实绩导入'!$D$4:$D$1500=$D122)*('系统实绩导入'!$F$4:$F$1500="实绩销售额")*('系统实绩导入'!$G$3:$R$3&lt;=$F$1)*'系统实绩导入'!$G$4:$R$1500))</f>
        <v/>
      </c>
      <c r="K122" s="38">
        <f>IF($B122="","",SUMPRODUCT(('系统实绩导入'!$B$4:$B$1500=$B122)*('系统实绩导入'!$C$4:$C$1500=$C122)*('系统实绩导入'!$D$4:$D$1500=$D122)*('系统实绩导入'!$F$4:$F$1500="实绩毛利")*('系统实绩导入'!$G$3:$R$3&lt;=$F$1)*'系统实绩导入'!$G$4:$R$1500))</f>
        <v/>
      </c>
      <c r="L122" s="39">
        <f>IF($B122="","",IFERROR(K122/J122,""))</f>
        <v/>
      </c>
      <c r="M122" s="38">
        <f>IF($B122="","",SUMIFS('目标填报'!$S$4:$S$1500,'目标填报'!$B$4:$B$1500,$B122,'目标填报'!$C$4:$C$1500,$C122,'目标填报'!$D$4:$D$1500,$D122,'目标填报'!$F$4:$F$1500,"销售目标额"))</f>
        <v/>
      </c>
      <c r="N122" s="39">
        <f>IF($B122="","",IFERROR(J122/M122,""))</f>
        <v/>
      </c>
      <c r="O122" s="40">
        <f>IF($B122="","",J122-M122)</f>
        <v/>
      </c>
      <c r="P122" s="38">
        <f>IF($B122="","",SUMPRODUCT(('目标填报'!$B$4:$B$1500=$B122)*('目标填报'!$C$4:$C$1500=$C122)*('目标填报'!$D$4:$D$1500=$D122)*('目标填报'!$F$4:$F$1500="在手订单")*('目标填报'!$G$3:$R$3=$F$1)*'目标填报'!$G$4:$R$1500))</f>
        <v/>
      </c>
      <c r="Q122" s="38">
        <f>IF($B122="","",SUMPRODUCT(('目标填报'!$B$4:$B$1500=$B122)*('目标填报'!$C$4:$C$1500=$C122)*('目标填报'!$D$4:$D$1500=$D122)*('目标填报'!$F$4:$F$1500="在手订单目标")*('目标填报'!$G$3:$R$3=$F$1)*'目标填报'!$G$4:$R$1500))</f>
        <v/>
      </c>
      <c r="R122" s="39">
        <f>IF($B122="","",IFERROR(P122/Q122,""))</f>
        <v/>
      </c>
      <c r="S122" s="38">
        <f>IF($B122="","",SUMPRODUCT(('目标填报'!$B$4:$B$1500=$B122)*('目标填报'!$C$4:$C$1500=$C122)*('目标填报'!$D$4:$D$1500=$D122)*('目标填报'!$F$4:$F$1500="目标客户机会")*('目标填报'!$G$3:$R$3=$F$1)*'目标填报'!$G$4:$R$1500))</f>
        <v/>
      </c>
      <c r="T122" s="38">
        <f>IF($B122="","",SUMPRODUCT(('目标填报'!$B$4:$B$1500=$B122)*('目标填报'!$C$4:$C$1500=$C122)*('目标填报'!$D$4:$D$1500=$D122)*('目标填报'!$F$4:$F$1500="目标客户机会目标")*('目标填报'!$G$3:$R$3=$F$1)*'目标填报'!$G$4:$R$1500))</f>
        <v/>
      </c>
      <c r="U122" s="39">
        <f>IF($B122="","",IFERROR(S122/T122,""))</f>
        <v/>
      </c>
      <c r="V122" s="38">
        <f>IF($B122="","",P122+S122)</f>
        <v/>
      </c>
      <c r="W122" s="38">
        <f>IF($B122="","",M122-J122)</f>
        <v/>
      </c>
      <c r="X122" s="39">
        <f>IF($B122="","",IFERROR(V122/W122,""))</f>
        <v/>
      </c>
      <c r="Y122" s="40">
        <f>IF($B122="","",V122-W122)</f>
        <v/>
      </c>
    </row>
    <row r="123">
      <c r="A123" s="37">
        <f>IF($B123="","",ROW()-3)</f>
        <v/>
      </c>
      <c r="B123" s="13">
        <f>IF(119+1&gt;COUNTA('维度字典'!$C$2:$C$200)*COUNTA('维度字典'!$A$2:$A$200)*COUNTA('维度字典'!$E$2:$E$200),"",INDEX('维度字典'!$C$2:$C$200,MOD(INT(119/(COUNTA('维度字典'!$E$2:$E$200)*COUNTA('维度字典'!$A$2:$A$200))),COUNTA('维度字典'!$C$2:$C$200))+1))</f>
        <v/>
      </c>
      <c r="C123" s="13">
        <f>IF($B123="","",INDEX('维度字典'!$A$2:$A$200,MOD(INT(119/COUNTA('维度字典'!$E$2:$E$200)),COUNTA('维度字典'!$A$2:$A$200))+1))</f>
        <v/>
      </c>
      <c r="D123" s="13">
        <f>IF($B123="","",INDEX('维度字典'!$E$2:$E$200,MOD(119,COUNTA('维度字典'!$E$2:$E$200))+1))</f>
        <v/>
      </c>
      <c r="E123" s="38">
        <f>IF($B123="","",SUMPRODUCT(('系统实绩导入'!$B$4:$B$1500=$B123)*('系统实绩导入'!$C$4:$C$1500=$C123)*('系统实绩导入'!$D$4:$D$1500=$D123)*('系统实绩导入'!$F$4:$F$1500="实绩销售额")*('系统实绩导入'!$G$3:$R$3=$F$1)*'系统实绩导入'!$G$4:$R$1500))</f>
        <v/>
      </c>
      <c r="F123" s="38">
        <f>IF($B123="","",SUMPRODUCT(('系统实绩导入'!$B$4:$B$1500=$B123)*('系统实绩导入'!$C$4:$C$1500=$C123)*('系统实绩导入'!$D$4:$D$1500=$D123)*('系统实绩导入'!$F$4:$F$1500="实绩毛利")*('系统实绩导入'!$G$3:$R$3=$F$1)*'系统实绩导入'!$G$4:$R$1500))</f>
        <v/>
      </c>
      <c r="G123" s="39">
        <f>IF($B123="","",IFERROR(F123/E123,""))</f>
        <v/>
      </c>
      <c r="H123" s="38">
        <f>IF($B123="","",SUMPRODUCT(('目标填报'!$B$4:$B$1500=$B123)*('目标填报'!$C$4:$C$1500=$C123)*('目标填报'!$D$4:$D$1500=$D123)*('目标填报'!$F$4:$F$1500="销售目标额")*('目标填报'!$G$3:$R$3=$F$1)*'目标填报'!$G$4:$R$1500))</f>
        <v/>
      </c>
      <c r="I123" s="39">
        <f>IF($B123="","",IFERROR(E123/H123,""))</f>
        <v/>
      </c>
      <c r="J123" s="38">
        <f>IF($B123="","",SUMPRODUCT(('系统实绩导入'!$B$4:$B$1500=$B123)*('系统实绩导入'!$C$4:$C$1500=$C123)*('系统实绩导入'!$D$4:$D$1500=$D123)*('系统实绩导入'!$F$4:$F$1500="实绩销售额")*('系统实绩导入'!$G$3:$R$3&lt;=$F$1)*'系统实绩导入'!$G$4:$R$1500))</f>
        <v/>
      </c>
      <c r="K123" s="38">
        <f>IF($B123="","",SUMPRODUCT(('系统实绩导入'!$B$4:$B$1500=$B123)*('系统实绩导入'!$C$4:$C$1500=$C123)*('系统实绩导入'!$D$4:$D$1500=$D123)*('系统实绩导入'!$F$4:$F$1500="实绩毛利")*('系统实绩导入'!$G$3:$R$3&lt;=$F$1)*'系统实绩导入'!$G$4:$R$1500))</f>
        <v/>
      </c>
      <c r="L123" s="39">
        <f>IF($B123="","",IFERROR(K123/J123,""))</f>
        <v/>
      </c>
      <c r="M123" s="38">
        <f>IF($B123="","",SUMIFS('目标填报'!$S$4:$S$1500,'目标填报'!$B$4:$B$1500,$B123,'目标填报'!$C$4:$C$1500,$C123,'目标填报'!$D$4:$D$1500,$D123,'目标填报'!$F$4:$F$1500,"销售目标额"))</f>
        <v/>
      </c>
      <c r="N123" s="39">
        <f>IF($B123="","",IFERROR(J123/M123,""))</f>
        <v/>
      </c>
      <c r="O123" s="40">
        <f>IF($B123="","",J123-M123)</f>
        <v/>
      </c>
      <c r="P123" s="38">
        <f>IF($B123="","",SUMPRODUCT(('目标填报'!$B$4:$B$1500=$B123)*('目标填报'!$C$4:$C$1500=$C123)*('目标填报'!$D$4:$D$1500=$D123)*('目标填报'!$F$4:$F$1500="在手订单")*('目标填报'!$G$3:$R$3=$F$1)*'目标填报'!$G$4:$R$1500))</f>
        <v/>
      </c>
      <c r="Q123" s="38">
        <f>IF($B123="","",SUMPRODUCT(('目标填报'!$B$4:$B$1500=$B123)*('目标填报'!$C$4:$C$1500=$C123)*('目标填报'!$D$4:$D$1500=$D123)*('目标填报'!$F$4:$F$1500="在手订单目标")*('目标填报'!$G$3:$R$3=$F$1)*'目标填报'!$G$4:$R$1500))</f>
        <v/>
      </c>
      <c r="R123" s="39">
        <f>IF($B123="","",IFERROR(P123/Q123,""))</f>
        <v/>
      </c>
      <c r="S123" s="38">
        <f>IF($B123="","",SUMPRODUCT(('目标填报'!$B$4:$B$1500=$B123)*('目标填报'!$C$4:$C$1500=$C123)*('目标填报'!$D$4:$D$1500=$D123)*('目标填报'!$F$4:$F$1500="目标客户机会")*('目标填报'!$G$3:$R$3=$F$1)*'目标填报'!$G$4:$R$1500))</f>
        <v/>
      </c>
      <c r="T123" s="38">
        <f>IF($B123="","",SUMPRODUCT(('目标填报'!$B$4:$B$1500=$B123)*('目标填报'!$C$4:$C$1500=$C123)*('目标填报'!$D$4:$D$1500=$D123)*('目标填报'!$F$4:$F$1500="目标客户机会目标")*('目标填报'!$G$3:$R$3=$F$1)*'目标填报'!$G$4:$R$1500))</f>
        <v/>
      </c>
      <c r="U123" s="39">
        <f>IF($B123="","",IFERROR(S123/T123,""))</f>
        <v/>
      </c>
      <c r="V123" s="38">
        <f>IF($B123="","",P123+S123)</f>
        <v/>
      </c>
      <c r="W123" s="38">
        <f>IF($B123="","",M123-J123)</f>
        <v/>
      </c>
      <c r="X123" s="39">
        <f>IF($B123="","",IFERROR(V123/W123,""))</f>
        <v/>
      </c>
      <c r="Y123" s="40">
        <f>IF($B123="","",V123-W123)</f>
        <v/>
      </c>
    </row>
    <row r="124">
      <c r="A124" s="37">
        <f>IF($B124="","",ROW()-3)</f>
        <v/>
      </c>
      <c r="B124" s="13">
        <f>IF(120+1&gt;COUNTA('维度字典'!$C$2:$C$200)*COUNTA('维度字典'!$A$2:$A$200)*COUNTA('维度字典'!$E$2:$E$200),"",INDEX('维度字典'!$C$2:$C$200,MOD(INT(120/(COUNTA('维度字典'!$E$2:$E$200)*COUNTA('维度字典'!$A$2:$A$200))),COUNTA('维度字典'!$C$2:$C$200))+1))</f>
        <v/>
      </c>
      <c r="C124" s="13">
        <f>IF($B124="","",INDEX('维度字典'!$A$2:$A$200,MOD(INT(120/COUNTA('维度字典'!$E$2:$E$200)),COUNTA('维度字典'!$A$2:$A$200))+1))</f>
        <v/>
      </c>
      <c r="D124" s="13">
        <f>IF($B124="","",INDEX('维度字典'!$E$2:$E$200,MOD(120,COUNTA('维度字典'!$E$2:$E$200))+1))</f>
        <v/>
      </c>
      <c r="E124" s="38">
        <f>IF($B124="","",SUMPRODUCT(('系统实绩导入'!$B$4:$B$1500=$B124)*('系统实绩导入'!$C$4:$C$1500=$C124)*('系统实绩导入'!$D$4:$D$1500=$D124)*('系统实绩导入'!$F$4:$F$1500="实绩销售额")*('系统实绩导入'!$G$3:$R$3=$F$1)*'系统实绩导入'!$G$4:$R$1500))</f>
        <v/>
      </c>
      <c r="F124" s="38">
        <f>IF($B124="","",SUMPRODUCT(('系统实绩导入'!$B$4:$B$1500=$B124)*('系统实绩导入'!$C$4:$C$1500=$C124)*('系统实绩导入'!$D$4:$D$1500=$D124)*('系统实绩导入'!$F$4:$F$1500="实绩毛利")*('系统实绩导入'!$G$3:$R$3=$F$1)*'系统实绩导入'!$G$4:$R$1500))</f>
        <v/>
      </c>
      <c r="G124" s="39">
        <f>IF($B124="","",IFERROR(F124/E124,""))</f>
        <v/>
      </c>
      <c r="H124" s="38">
        <f>IF($B124="","",SUMPRODUCT(('目标填报'!$B$4:$B$1500=$B124)*('目标填报'!$C$4:$C$1500=$C124)*('目标填报'!$D$4:$D$1500=$D124)*('目标填报'!$F$4:$F$1500="销售目标额")*('目标填报'!$G$3:$R$3=$F$1)*'目标填报'!$G$4:$R$1500))</f>
        <v/>
      </c>
      <c r="I124" s="39">
        <f>IF($B124="","",IFERROR(E124/H124,""))</f>
        <v/>
      </c>
      <c r="J124" s="38">
        <f>IF($B124="","",SUMPRODUCT(('系统实绩导入'!$B$4:$B$1500=$B124)*('系统实绩导入'!$C$4:$C$1500=$C124)*('系统实绩导入'!$D$4:$D$1500=$D124)*('系统实绩导入'!$F$4:$F$1500="实绩销售额")*('系统实绩导入'!$G$3:$R$3&lt;=$F$1)*'系统实绩导入'!$G$4:$R$1500))</f>
        <v/>
      </c>
      <c r="K124" s="38">
        <f>IF($B124="","",SUMPRODUCT(('系统实绩导入'!$B$4:$B$1500=$B124)*('系统实绩导入'!$C$4:$C$1500=$C124)*('系统实绩导入'!$D$4:$D$1500=$D124)*('系统实绩导入'!$F$4:$F$1500="实绩毛利")*('系统实绩导入'!$G$3:$R$3&lt;=$F$1)*'系统实绩导入'!$G$4:$R$1500))</f>
        <v/>
      </c>
      <c r="L124" s="39">
        <f>IF($B124="","",IFERROR(K124/J124,""))</f>
        <v/>
      </c>
      <c r="M124" s="38">
        <f>IF($B124="","",SUMIFS('目标填报'!$S$4:$S$1500,'目标填报'!$B$4:$B$1500,$B124,'目标填报'!$C$4:$C$1500,$C124,'目标填报'!$D$4:$D$1500,$D124,'目标填报'!$F$4:$F$1500,"销售目标额"))</f>
        <v/>
      </c>
      <c r="N124" s="39">
        <f>IF($B124="","",IFERROR(J124/M124,""))</f>
        <v/>
      </c>
      <c r="O124" s="40">
        <f>IF($B124="","",J124-M124)</f>
        <v/>
      </c>
      <c r="P124" s="38">
        <f>IF($B124="","",SUMPRODUCT(('目标填报'!$B$4:$B$1500=$B124)*('目标填报'!$C$4:$C$1500=$C124)*('目标填报'!$D$4:$D$1500=$D124)*('目标填报'!$F$4:$F$1500="在手订单")*('目标填报'!$G$3:$R$3=$F$1)*'目标填报'!$G$4:$R$1500))</f>
        <v/>
      </c>
      <c r="Q124" s="38">
        <f>IF($B124="","",SUMPRODUCT(('目标填报'!$B$4:$B$1500=$B124)*('目标填报'!$C$4:$C$1500=$C124)*('目标填报'!$D$4:$D$1500=$D124)*('目标填报'!$F$4:$F$1500="在手订单目标")*('目标填报'!$G$3:$R$3=$F$1)*'目标填报'!$G$4:$R$1500))</f>
        <v/>
      </c>
      <c r="R124" s="39">
        <f>IF($B124="","",IFERROR(P124/Q124,""))</f>
        <v/>
      </c>
      <c r="S124" s="38">
        <f>IF($B124="","",SUMPRODUCT(('目标填报'!$B$4:$B$1500=$B124)*('目标填报'!$C$4:$C$1500=$C124)*('目标填报'!$D$4:$D$1500=$D124)*('目标填报'!$F$4:$F$1500="目标客户机会")*('目标填报'!$G$3:$R$3=$F$1)*'目标填报'!$G$4:$R$1500))</f>
        <v/>
      </c>
      <c r="T124" s="38">
        <f>IF($B124="","",SUMPRODUCT(('目标填报'!$B$4:$B$1500=$B124)*('目标填报'!$C$4:$C$1500=$C124)*('目标填报'!$D$4:$D$1500=$D124)*('目标填报'!$F$4:$F$1500="目标客户机会目标")*('目标填报'!$G$3:$R$3=$F$1)*'目标填报'!$G$4:$R$1500))</f>
        <v/>
      </c>
      <c r="U124" s="39">
        <f>IF($B124="","",IFERROR(S124/T124,""))</f>
        <v/>
      </c>
      <c r="V124" s="38">
        <f>IF($B124="","",P124+S124)</f>
        <v/>
      </c>
      <c r="W124" s="38">
        <f>IF($B124="","",M124-J124)</f>
        <v/>
      </c>
      <c r="X124" s="39">
        <f>IF($B124="","",IFERROR(V124/W124,""))</f>
        <v/>
      </c>
      <c r="Y124" s="40">
        <f>IF($B124="","",V124-W124)</f>
        <v/>
      </c>
    </row>
    <row r="125">
      <c r="A125" s="37">
        <f>IF($B125="","",ROW()-3)</f>
        <v/>
      </c>
      <c r="B125" s="13">
        <f>IF(121+1&gt;COUNTA('维度字典'!$C$2:$C$200)*COUNTA('维度字典'!$A$2:$A$200)*COUNTA('维度字典'!$E$2:$E$200),"",INDEX('维度字典'!$C$2:$C$200,MOD(INT(121/(COUNTA('维度字典'!$E$2:$E$200)*COUNTA('维度字典'!$A$2:$A$200))),COUNTA('维度字典'!$C$2:$C$200))+1))</f>
        <v/>
      </c>
      <c r="C125" s="13">
        <f>IF($B125="","",INDEX('维度字典'!$A$2:$A$200,MOD(INT(121/COUNTA('维度字典'!$E$2:$E$200)),COUNTA('维度字典'!$A$2:$A$200))+1))</f>
        <v/>
      </c>
      <c r="D125" s="13">
        <f>IF($B125="","",INDEX('维度字典'!$E$2:$E$200,MOD(121,COUNTA('维度字典'!$E$2:$E$200))+1))</f>
        <v/>
      </c>
      <c r="E125" s="38">
        <f>IF($B125="","",SUMPRODUCT(('系统实绩导入'!$B$4:$B$1500=$B125)*('系统实绩导入'!$C$4:$C$1500=$C125)*('系统实绩导入'!$D$4:$D$1500=$D125)*('系统实绩导入'!$F$4:$F$1500="实绩销售额")*('系统实绩导入'!$G$3:$R$3=$F$1)*'系统实绩导入'!$G$4:$R$1500))</f>
        <v/>
      </c>
      <c r="F125" s="38">
        <f>IF($B125="","",SUMPRODUCT(('系统实绩导入'!$B$4:$B$1500=$B125)*('系统实绩导入'!$C$4:$C$1500=$C125)*('系统实绩导入'!$D$4:$D$1500=$D125)*('系统实绩导入'!$F$4:$F$1500="实绩毛利")*('系统实绩导入'!$G$3:$R$3=$F$1)*'系统实绩导入'!$G$4:$R$1500))</f>
        <v/>
      </c>
      <c r="G125" s="39">
        <f>IF($B125="","",IFERROR(F125/E125,""))</f>
        <v/>
      </c>
      <c r="H125" s="38">
        <f>IF($B125="","",SUMPRODUCT(('目标填报'!$B$4:$B$1500=$B125)*('目标填报'!$C$4:$C$1500=$C125)*('目标填报'!$D$4:$D$1500=$D125)*('目标填报'!$F$4:$F$1500="销售目标额")*('目标填报'!$G$3:$R$3=$F$1)*'目标填报'!$G$4:$R$1500))</f>
        <v/>
      </c>
      <c r="I125" s="39">
        <f>IF($B125="","",IFERROR(E125/H125,""))</f>
        <v/>
      </c>
      <c r="J125" s="38">
        <f>IF($B125="","",SUMPRODUCT(('系统实绩导入'!$B$4:$B$1500=$B125)*('系统实绩导入'!$C$4:$C$1500=$C125)*('系统实绩导入'!$D$4:$D$1500=$D125)*('系统实绩导入'!$F$4:$F$1500="实绩销售额")*('系统实绩导入'!$G$3:$R$3&lt;=$F$1)*'系统实绩导入'!$G$4:$R$1500))</f>
        <v/>
      </c>
      <c r="K125" s="38">
        <f>IF($B125="","",SUMPRODUCT(('系统实绩导入'!$B$4:$B$1500=$B125)*('系统实绩导入'!$C$4:$C$1500=$C125)*('系统实绩导入'!$D$4:$D$1500=$D125)*('系统实绩导入'!$F$4:$F$1500="实绩毛利")*('系统实绩导入'!$G$3:$R$3&lt;=$F$1)*'系统实绩导入'!$G$4:$R$1500))</f>
        <v/>
      </c>
      <c r="L125" s="39">
        <f>IF($B125="","",IFERROR(K125/J125,""))</f>
        <v/>
      </c>
      <c r="M125" s="38">
        <f>IF($B125="","",SUMIFS('目标填报'!$S$4:$S$1500,'目标填报'!$B$4:$B$1500,$B125,'目标填报'!$C$4:$C$1500,$C125,'目标填报'!$D$4:$D$1500,$D125,'目标填报'!$F$4:$F$1500,"销售目标额"))</f>
        <v/>
      </c>
      <c r="N125" s="39">
        <f>IF($B125="","",IFERROR(J125/M125,""))</f>
        <v/>
      </c>
      <c r="O125" s="40">
        <f>IF($B125="","",J125-M125)</f>
        <v/>
      </c>
      <c r="P125" s="38">
        <f>IF($B125="","",SUMPRODUCT(('目标填报'!$B$4:$B$1500=$B125)*('目标填报'!$C$4:$C$1500=$C125)*('目标填报'!$D$4:$D$1500=$D125)*('目标填报'!$F$4:$F$1500="在手订单")*('目标填报'!$G$3:$R$3=$F$1)*'目标填报'!$G$4:$R$1500))</f>
        <v/>
      </c>
      <c r="Q125" s="38">
        <f>IF($B125="","",SUMPRODUCT(('目标填报'!$B$4:$B$1500=$B125)*('目标填报'!$C$4:$C$1500=$C125)*('目标填报'!$D$4:$D$1500=$D125)*('目标填报'!$F$4:$F$1500="在手订单目标")*('目标填报'!$G$3:$R$3=$F$1)*'目标填报'!$G$4:$R$1500))</f>
        <v/>
      </c>
      <c r="R125" s="39">
        <f>IF($B125="","",IFERROR(P125/Q125,""))</f>
        <v/>
      </c>
      <c r="S125" s="38">
        <f>IF($B125="","",SUMPRODUCT(('目标填报'!$B$4:$B$1500=$B125)*('目标填报'!$C$4:$C$1500=$C125)*('目标填报'!$D$4:$D$1500=$D125)*('目标填报'!$F$4:$F$1500="目标客户机会")*('目标填报'!$G$3:$R$3=$F$1)*'目标填报'!$G$4:$R$1500))</f>
        <v/>
      </c>
      <c r="T125" s="38">
        <f>IF($B125="","",SUMPRODUCT(('目标填报'!$B$4:$B$1500=$B125)*('目标填报'!$C$4:$C$1500=$C125)*('目标填报'!$D$4:$D$1500=$D125)*('目标填报'!$F$4:$F$1500="目标客户机会目标")*('目标填报'!$G$3:$R$3=$F$1)*'目标填报'!$G$4:$R$1500))</f>
        <v/>
      </c>
      <c r="U125" s="39">
        <f>IF($B125="","",IFERROR(S125/T125,""))</f>
        <v/>
      </c>
      <c r="V125" s="38">
        <f>IF($B125="","",P125+S125)</f>
        <v/>
      </c>
      <c r="W125" s="38">
        <f>IF($B125="","",M125-J125)</f>
        <v/>
      </c>
      <c r="X125" s="39">
        <f>IF($B125="","",IFERROR(V125/W125,""))</f>
        <v/>
      </c>
      <c r="Y125" s="40">
        <f>IF($B125="","",V125-W125)</f>
        <v/>
      </c>
    </row>
    <row r="126">
      <c r="A126" s="37">
        <f>IF($B126="","",ROW()-3)</f>
        <v/>
      </c>
      <c r="B126" s="13">
        <f>IF(122+1&gt;COUNTA('维度字典'!$C$2:$C$200)*COUNTA('维度字典'!$A$2:$A$200)*COUNTA('维度字典'!$E$2:$E$200),"",INDEX('维度字典'!$C$2:$C$200,MOD(INT(122/(COUNTA('维度字典'!$E$2:$E$200)*COUNTA('维度字典'!$A$2:$A$200))),COUNTA('维度字典'!$C$2:$C$200))+1))</f>
        <v/>
      </c>
      <c r="C126" s="13">
        <f>IF($B126="","",INDEX('维度字典'!$A$2:$A$200,MOD(INT(122/COUNTA('维度字典'!$E$2:$E$200)),COUNTA('维度字典'!$A$2:$A$200))+1))</f>
        <v/>
      </c>
      <c r="D126" s="13">
        <f>IF($B126="","",INDEX('维度字典'!$E$2:$E$200,MOD(122,COUNTA('维度字典'!$E$2:$E$200))+1))</f>
        <v/>
      </c>
      <c r="E126" s="38">
        <f>IF($B126="","",SUMPRODUCT(('系统实绩导入'!$B$4:$B$1500=$B126)*('系统实绩导入'!$C$4:$C$1500=$C126)*('系统实绩导入'!$D$4:$D$1500=$D126)*('系统实绩导入'!$F$4:$F$1500="实绩销售额")*('系统实绩导入'!$G$3:$R$3=$F$1)*'系统实绩导入'!$G$4:$R$1500))</f>
        <v/>
      </c>
      <c r="F126" s="38">
        <f>IF($B126="","",SUMPRODUCT(('系统实绩导入'!$B$4:$B$1500=$B126)*('系统实绩导入'!$C$4:$C$1500=$C126)*('系统实绩导入'!$D$4:$D$1500=$D126)*('系统实绩导入'!$F$4:$F$1500="实绩毛利")*('系统实绩导入'!$G$3:$R$3=$F$1)*'系统实绩导入'!$G$4:$R$1500))</f>
        <v/>
      </c>
      <c r="G126" s="39">
        <f>IF($B126="","",IFERROR(F126/E126,""))</f>
        <v/>
      </c>
      <c r="H126" s="38">
        <f>IF($B126="","",SUMPRODUCT(('目标填报'!$B$4:$B$1500=$B126)*('目标填报'!$C$4:$C$1500=$C126)*('目标填报'!$D$4:$D$1500=$D126)*('目标填报'!$F$4:$F$1500="销售目标额")*('目标填报'!$G$3:$R$3=$F$1)*'目标填报'!$G$4:$R$1500))</f>
        <v/>
      </c>
      <c r="I126" s="39">
        <f>IF($B126="","",IFERROR(E126/H126,""))</f>
        <v/>
      </c>
      <c r="J126" s="38">
        <f>IF($B126="","",SUMPRODUCT(('系统实绩导入'!$B$4:$B$1500=$B126)*('系统实绩导入'!$C$4:$C$1500=$C126)*('系统实绩导入'!$D$4:$D$1500=$D126)*('系统实绩导入'!$F$4:$F$1500="实绩销售额")*('系统实绩导入'!$G$3:$R$3&lt;=$F$1)*'系统实绩导入'!$G$4:$R$1500))</f>
        <v/>
      </c>
      <c r="K126" s="38">
        <f>IF($B126="","",SUMPRODUCT(('系统实绩导入'!$B$4:$B$1500=$B126)*('系统实绩导入'!$C$4:$C$1500=$C126)*('系统实绩导入'!$D$4:$D$1500=$D126)*('系统实绩导入'!$F$4:$F$1500="实绩毛利")*('系统实绩导入'!$G$3:$R$3&lt;=$F$1)*'系统实绩导入'!$G$4:$R$1500))</f>
        <v/>
      </c>
      <c r="L126" s="39">
        <f>IF($B126="","",IFERROR(K126/J126,""))</f>
        <v/>
      </c>
      <c r="M126" s="38">
        <f>IF($B126="","",SUMIFS('目标填报'!$S$4:$S$1500,'目标填报'!$B$4:$B$1500,$B126,'目标填报'!$C$4:$C$1500,$C126,'目标填报'!$D$4:$D$1500,$D126,'目标填报'!$F$4:$F$1500,"销售目标额"))</f>
        <v/>
      </c>
      <c r="N126" s="39">
        <f>IF($B126="","",IFERROR(J126/M126,""))</f>
        <v/>
      </c>
      <c r="O126" s="40">
        <f>IF($B126="","",J126-M126)</f>
        <v/>
      </c>
      <c r="P126" s="38">
        <f>IF($B126="","",SUMPRODUCT(('目标填报'!$B$4:$B$1500=$B126)*('目标填报'!$C$4:$C$1500=$C126)*('目标填报'!$D$4:$D$1500=$D126)*('目标填报'!$F$4:$F$1500="在手订单")*('目标填报'!$G$3:$R$3=$F$1)*'目标填报'!$G$4:$R$1500))</f>
        <v/>
      </c>
      <c r="Q126" s="38">
        <f>IF($B126="","",SUMPRODUCT(('目标填报'!$B$4:$B$1500=$B126)*('目标填报'!$C$4:$C$1500=$C126)*('目标填报'!$D$4:$D$1500=$D126)*('目标填报'!$F$4:$F$1500="在手订单目标")*('目标填报'!$G$3:$R$3=$F$1)*'目标填报'!$G$4:$R$1500))</f>
        <v/>
      </c>
      <c r="R126" s="39">
        <f>IF($B126="","",IFERROR(P126/Q126,""))</f>
        <v/>
      </c>
      <c r="S126" s="38">
        <f>IF($B126="","",SUMPRODUCT(('目标填报'!$B$4:$B$1500=$B126)*('目标填报'!$C$4:$C$1500=$C126)*('目标填报'!$D$4:$D$1500=$D126)*('目标填报'!$F$4:$F$1500="目标客户机会")*('目标填报'!$G$3:$R$3=$F$1)*'目标填报'!$G$4:$R$1500))</f>
        <v/>
      </c>
      <c r="T126" s="38">
        <f>IF($B126="","",SUMPRODUCT(('目标填报'!$B$4:$B$1500=$B126)*('目标填报'!$C$4:$C$1500=$C126)*('目标填报'!$D$4:$D$1500=$D126)*('目标填报'!$F$4:$F$1500="目标客户机会目标")*('目标填报'!$G$3:$R$3=$F$1)*'目标填报'!$G$4:$R$1500))</f>
        <v/>
      </c>
      <c r="U126" s="39">
        <f>IF($B126="","",IFERROR(S126/T126,""))</f>
        <v/>
      </c>
      <c r="V126" s="38">
        <f>IF($B126="","",P126+S126)</f>
        <v/>
      </c>
      <c r="W126" s="38">
        <f>IF($B126="","",M126-J126)</f>
        <v/>
      </c>
      <c r="X126" s="39">
        <f>IF($B126="","",IFERROR(V126/W126,""))</f>
        <v/>
      </c>
      <c r="Y126" s="40">
        <f>IF($B126="","",V126-W126)</f>
        <v/>
      </c>
    </row>
    <row r="127">
      <c r="A127" s="37">
        <f>IF($B127="","",ROW()-3)</f>
        <v/>
      </c>
      <c r="B127" s="13">
        <f>IF(123+1&gt;COUNTA('维度字典'!$C$2:$C$200)*COUNTA('维度字典'!$A$2:$A$200)*COUNTA('维度字典'!$E$2:$E$200),"",INDEX('维度字典'!$C$2:$C$200,MOD(INT(123/(COUNTA('维度字典'!$E$2:$E$200)*COUNTA('维度字典'!$A$2:$A$200))),COUNTA('维度字典'!$C$2:$C$200))+1))</f>
        <v/>
      </c>
      <c r="C127" s="13">
        <f>IF($B127="","",INDEX('维度字典'!$A$2:$A$200,MOD(INT(123/COUNTA('维度字典'!$E$2:$E$200)),COUNTA('维度字典'!$A$2:$A$200))+1))</f>
        <v/>
      </c>
      <c r="D127" s="13">
        <f>IF($B127="","",INDEX('维度字典'!$E$2:$E$200,MOD(123,COUNTA('维度字典'!$E$2:$E$200))+1))</f>
        <v/>
      </c>
      <c r="E127" s="38">
        <f>IF($B127="","",SUMPRODUCT(('系统实绩导入'!$B$4:$B$1500=$B127)*('系统实绩导入'!$C$4:$C$1500=$C127)*('系统实绩导入'!$D$4:$D$1500=$D127)*('系统实绩导入'!$F$4:$F$1500="实绩销售额")*('系统实绩导入'!$G$3:$R$3=$F$1)*'系统实绩导入'!$G$4:$R$1500))</f>
        <v/>
      </c>
      <c r="F127" s="38">
        <f>IF($B127="","",SUMPRODUCT(('系统实绩导入'!$B$4:$B$1500=$B127)*('系统实绩导入'!$C$4:$C$1500=$C127)*('系统实绩导入'!$D$4:$D$1500=$D127)*('系统实绩导入'!$F$4:$F$1500="实绩毛利")*('系统实绩导入'!$G$3:$R$3=$F$1)*'系统实绩导入'!$G$4:$R$1500))</f>
        <v/>
      </c>
      <c r="G127" s="39">
        <f>IF($B127="","",IFERROR(F127/E127,""))</f>
        <v/>
      </c>
      <c r="H127" s="38">
        <f>IF($B127="","",SUMPRODUCT(('目标填报'!$B$4:$B$1500=$B127)*('目标填报'!$C$4:$C$1500=$C127)*('目标填报'!$D$4:$D$1500=$D127)*('目标填报'!$F$4:$F$1500="销售目标额")*('目标填报'!$G$3:$R$3=$F$1)*'目标填报'!$G$4:$R$1500))</f>
        <v/>
      </c>
      <c r="I127" s="39">
        <f>IF($B127="","",IFERROR(E127/H127,""))</f>
        <v/>
      </c>
      <c r="J127" s="38">
        <f>IF($B127="","",SUMPRODUCT(('系统实绩导入'!$B$4:$B$1500=$B127)*('系统实绩导入'!$C$4:$C$1500=$C127)*('系统实绩导入'!$D$4:$D$1500=$D127)*('系统实绩导入'!$F$4:$F$1500="实绩销售额")*('系统实绩导入'!$G$3:$R$3&lt;=$F$1)*'系统实绩导入'!$G$4:$R$1500))</f>
        <v/>
      </c>
      <c r="K127" s="38">
        <f>IF($B127="","",SUMPRODUCT(('系统实绩导入'!$B$4:$B$1500=$B127)*('系统实绩导入'!$C$4:$C$1500=$C127)*('系统实绩导入'!$D$4:$D$1500=$D127)*('系统实绩导入'!$F$4:$F$1500="实绩毛利")*('系统实绩导入'!$G$3:$R$3&lt;=$F$1)*'系统实绩导入'!$G$4:$R$1500))</f>
        <v/>
      </c>
      <c r="L127" s="39">
        <f>IF($B127="","",IFERROR(K127/J127,""))</f>
        <v/>
      </c>
      <c r="M127" s="38">
        <f>IF($B127="","",SUMIFS('目标填报'!$S$4:$S$1500,'目标填报'!$B$4:$B$1500,$B127,'目标填报'!$C$4:$C$1500,$C127,'目标填报'!$D$4:$D$1500,$D127,'目标填报'!$F$4:$F$1500,"销售目标额"))</f>
        <v/>
      </c>
      <c r="N127" s="39">
        <f>IF($B127="","",IFERROR(J127/M127,""))</f>
        <v/>
      </c>
      <c r="O127" s="40">
        <f>IF($B127="","",J127-M127)</f>
        <v/>
      </c>
      <c r="P127" s="38">
        <f>IF($B127="","",SUMPRODUCT(('目标填报'!$B$4:$B$1500=$B127)*('目标填报'!$C$4:$C$1500=$C127)*('目标填报'!$D$4:$D$1500=$D127)*('目标填报'!$F$4:$F$1500="在手订单")*('目标填报'!$G$3:$R$3=$F$1)*'目标填报'!$G$4:$R$1500))</f>
        <v/>
      </c>
      <c r="Q127" s="38">
        <f>IF($B127="","",SUMPRODUCT(('目标填报'!$B$4:$B$1500=$B127)*('目标填报'!$C$4:$C$1500=$C127)*('目标填报'!$D$4:$D$1500=$D127)*('目标填报'!$F$4:$F$1500="在手订单目标")*('目标填报'!$G$3:$R$3=$F$1)*'目标填报'!$G$4:$R$1500))</f>
        <v/>
      </c>
      <c r="R127" s="39">
        <f>IF($B127="","",IFERROR(P127/Q127,""))</f>
        <v/>
      </c>
      <c r="S127" s="38">
        <f>IF($B127="","",SUMPRODUCT(('目标填报'!$B$4:$B$1500=$B127)*('目标填报'!$C$4:$C$1500=$C127)*('目标填报'!$D$4:$D$1500=$D127)*('目标填报'!$F$4:$F$1500="目标客户机会")*('目标填报'!$G$3:$R$3=$F$1)*'目标填报'!$G$4:$R$1500))</f>
        <v/>
      </c>
      <c r="T127" s="38">
        <f>IF($B127="","",SUMPRODUCT(('目标填报'!$B$4:$B$1500=$B127)*('目标填报'!$C$4:$C$1500=$C127)*('目标填报'!$D$4:$D$1500=$D127)*('目标填报'!$F$4:$F$1500="目标客户机会目标")*('目标填报'!$G$3:$R$3=$F$1)*'目标填报'!$G$4:$R$1500))</f>
        <v/>
      </c>
      <c r="U127" s="39">
        <f>IF($B127="","",IFERROR(S127/T127,""))</f>
        <v/>
      </c>
      <c r="V127" s="38">
        <f>IF($B127="","",P127+S127)</f>
        <v/>
      </c>
      <c r="W127" s="38">
        <f>IF($B127="","",M127-J127)</f>
        <v/>
      </c>
      <c r="X127" s="39">
        <f>IF($B127="","",IFERROR(V127/W127,""))</f>
        <v/>
      </c>
      <c r="Y127" s="40">
        <f>IF($B127="","",V127-W127)</f>
        <v/>
      </c>
    </row>
    <row r="128">
      <c r="A128" s="37">
        <f>IF($B128="","",ROW()-3)</f>
        <v/>
      </c>
      <c r="B128" s="13">
        <f>IF(124+1&gt;COUNTA('维度字典'!$C$2:$C$200)*COUNTA('维度字典'!$A$2:$A$200)*COUNTA('维度字典'!$E$2:$E$200),"",INDEX('维度字典'!$C$2:$C$200,MOD(INT(124/(COUNTA('维度字典'!$E$2:$E$200)*COUNTA('维度字典'!$A$2:$A$200))),COUNTA('维度字典'!$C$2:$C$200))+1))</f>
        <v/>
      </c>
      <c r="C128" s="13">
        <f>IF($B128="","",INDEX('维度字典'!$A$2:$A$200,MOD(INT(124/COUNTA('维度字典'!$E$2:$E$200)),COUNTA('维度字典'!$A$2:$A$200))+1))</f>
        <v/>
      </c>
      <c r="D128" s="13">
        <f>IF($B128="","",INDEX('维度字典'!$E$2:$E$200,MOD(124,COUNTA('维度字典'!$E$2:$E$200))+1))</f>
        <v/>
      </c>
      <c r="E128" s="38">
        <f>IF($B128="","",SUMPRODUCT(('系统实绩导入'!$B$4:$B$1500=$B128)*('系统实绩导入'!$C$4:$C$1500=$C128)*('系统实绩导入'!$D$4:$D$1500=$D128)*('系统实绩导入'!$F$4:$F$1500="实绩销售额")*('系统实绩导入'!$G$3:$R$3=$F$1)*'系统实绩导入'!$G$4:$R$1500))</f>
        <v/>
      </c>
      <c r="F128" s="38">
        <f>IF($B128="","",SUMPRODUCT(('系统实绩导入'!$B$4:$B$1500=$B128)*('系统实绩导入'!$C$4:$C$1500=$C128)*('系统实绩导入'!$D$4:$D$1500=$D128)*('系统实绩导入'!$F$4:$F$1500="实绩毛利")*('系统实绩导入'!$G$3:$R$3=$F$1)*'系统实绩导入'!$G$4:$R$1500))</f>
        <v/>
      </c>
      <c r="G128" s="39">
        <f>IF($B128="","",IFERROR(F128/E128,""))</f>
        <v/>
      </c>
      <c r="H128" s="38">
        <f>IF($B128="","",SUMPRODUCT(('目标填报'!$B$4:$B$1500=$B128)*('目标填报'!$C$4:$C$1500=$C128)*('目标填报'!$D$4:$D$1500=$D128)*('目标填报'!$F$4:$F$1500="销售目标额")*('目标填报'!$G$3:$R$3=$F$1)*'目标填报'!$G$4:$R$1500))</f>
        <v/>
      </c>
      <c r="I128" s="39">
        <f>IF($B128="","",IFERROR(E128/H128,""))</f>
        <v/>
      </c>
      <c r="J128" s="38">
        <f>IF($B128="","",SUMPRODUCT(('系统实绩导入'!$B$4:$B$1500=$B128)*('系统实绩导入'!$C$4:$C$1500=$C128)*('系统实绩导入'!$D$4:$D$1500=$D128)*('系统实绩导入'!$F$4:$F$1500="实绩销售额")*('系统实绩导入'!$G$3:$R$3&lt;=$F$1)*'系统实绩导入'!$G$4:$R$1500))</f>
        <v/>
      </c>
      <c r="K128" s="38">
        <f>IF($B128="","",SUMPRODUCT(('系统实绩导入'!$B$4:$B$1500=$B128)*('系统实绩导入'!$C$4:$C$1500=$C128)*('系统实绩导入'!$D$4:$D$1500=$D128)*('系统实绩导入'!$F$4:$F$1500="实绩毛利")*('系统实绩导入'!$G$3:$R$3&lt;=$F$1)*'系统实绩导入'!$G$4:$R$1500))</f>
        <v/>
      </c>
      <c r="L128" s="39">
        <f>IF($B128="","",IFERROR(K128/J128,""))</f>
        <v/>
      </c>
      <c r="M128" s="38">
        <f>IF($B128="","",SUMIFS('目标填报'!$S$4:$S$1500,'目标填报'!$B$4:$B$1500,$B128,'目标填报'!$C$4:$C$1500,$C128,'目标填报'!$D$4:$D$1500,$D128,'目标填报'!$F$4:$F$1500,"销售目标额"))</f>
        <v/>
      </c>
      <c r="N128" s="39">
        <f>IF($B128="","",IFERROR(J128/M128,""))</f>
        <v/>
      </c>
      <c r="O128" s="40">
        <f>IF($B128="","",J128-M128)</f>
        <v/>
      </c>
      <c r="P128" s="38">
        <f>IF($B128="","",SUMPRODUCT(('目标填报'!$B$4:$B$1500=$B128)*('目标填报'!$C$4:$C$1500=$C128)*('目标填报'!$D$4:$D$1500=$D128)*('目标填报'!$F$4:$F$1500="在手订单")*('目标填报'!$G$3:$R$3=$F$1)*'目标填报'!$G$4:$R$1500))</f>
        <v/>
      </c>
      <c r="Q128" s="38">
        <f>IF($B128="","",SUMPRODUCT(('目标填报'!$B$4:$B$1500=$B128)*('目标填报'!$C$4:$C$1500=$C128)*('目标填报'!$D$4:$D$1500=$D128)*('目标填报'!$F$4:$F$1500="在手订单目标")*('目标填报'!$G$3:$R$3=$F$1)*'目标填报'!$G$4:$R$1500))</f>
        <v/>
      </c>
      <c r="R128" s="39">
        <f>IF($B128="","",IFERROR(P128/Q128,""))</f>
        <v/>
      </c>
      <c r="S128" s="38">
        <f>IF($B128="","",SUMPRODUCT(('目标填报'!$B$4:$B$1500=$B128)*('目标填报'!$C$4:$C$1500=$C128)*('目标填报'!$D$4:$D$1500=$D128)*('目标填报'!$F$4:$F$1500="目标客户机会")*('目标填报'!$G$3:$R$3=$F$1)*'目标填报'!$G$4:$R$1500))</f>
        <v/>
      </c>
      <c r="T128" s="38">
        <f>IF($B128="","",SUMPRODUCT(('目标填报'!$B$4:$B$1500=$B128)*('目标填报'!$C$4:$C$1500=$C128)*('目标填报'!$D$4:$D$1500=$D128)*('目标填报'!$F$4:$F$1500="目标客户机会目标")*('目标填报'!$G$3:$R$3=$F$1)*'目标填报'!$G$4:$R$1500))</f>
        <v/>
      </c>
      <c r="U128" s="39">
        <f>IF($B128="","",IFERROR(S128/T128,""))</f>
        <v/>
      </c>
      <c r="V128" s="38">
        <f>IF($B128="","",P128+S128)</f>
        <v/>
      </c>
      <c r="W128" s="38">
        <f>IF($B128="","",M128-J128)</f>
        <v/>
      </c>
      <c r="X128" s="39">
        <f>IF($B128="","",IFERROR(V128/W128,""))</f>
        <v/>
      </c>
      <c r="Y128" s="40">
        <f>IF($B128="","",V128-W128)</f>
        <v/>
      </c>
    </row>
    <row r="129">
      <c r="A129" s="37">
        <f>IF($B129="","",ROW()-3)</f>
        <v/>
      </c>
      <c r="B129" s="13">
        <f>IF(125+1&gt;COUNTA('维度字典'!$C$2:$C$200)*COUNTA('维度字典'!$A$2:$A$200)*COUNTA('维度字典'!$E$2:$E$200),"",INDEX('维度字典'!$C$2:$C$200,MOD(INT(125/(COUNTA('维度字典'!$E$2:$E$200)*COUNTA('维度字典'!$A$2:$A$200))),COUNTA('维度字典'!$C$2:$C$200))+1))</f>
        <v/>
      </c>
      <c r="C129" s="13">
        <f>IF($B129="","",INDEX('维度字典'!$A$2:$A$200,MOD(INT(125/COUNTA('维度字典'!$E$2:$E$200)),COUNTA('维度字典'!$A$2:$A$200))+1))</f>
        <v/>
      </c>
      <c r="D129" s="13">
        <f>IF($B129="","",INDEX('维度字典'!$E$2:$E$200,MOD(125,COUNTA('维度字典'!$E$2:$E$200))+1))</f>
        <v/>
      </c>
      <c r="E129" s="38">
        <f>IF($B129="","",SUMPRODUCT(('系统实绩导入'!$B$4:$B$1500=$B129)*('系统实绩导入'!$C$4:$C$1500=$C129)*('系统实绩导入'!$D$4:$D$1500=$D129)*('系统实绩导入'!$F$4:$F$1500="实绩销售额")*('系统实绩导入'!$G$3:$R$3=$F$1)*'系统实绩导入'!$G$4:$R$1500))</f>
        <v/>
      </c>
      <c r="F129" s="38">
        <f>IF($B129="","",SUMPRODUCT(('系统实绩导入'!$B$4:$B$1500=$B129)*('系统实绩导入'!$C$4:$C$1500=$C129)*('系统实绩导入'!$D$4:$D$1500=$D129)*('系统实绩导入'!$F$4:$F$1500="实绩毛利")*('系统实绩导入'!$G$3:$R$3=$F$1)*'系统实绩导入'!$G$4:$R$1500))</f>
        <v/>
      </c>
      <c r="G129" s="39">
        <f>IF($B129="","",IFERROR(F129/E129,""))</f>
        <v/>
      </c>
      <c r="H129" s="38">
        <f>IF($B129="","",SUMPRODUCT(('目标填报'!$B$4:$B$1500=$B129)*('目标填报'!$C$4:$C$1500=$C129)*('目标填报'!$D$4:$D$1500=$D129)*('目标填报'!$F$4:$F$1500="销售目标额")*('目标填报'!$G$3:$R$3=$F$1)*'目标填报'!$G$4:$R$1500))</f>
        <v/>
      </c>
      <c r="I129" s="39">
        <f>IF($B129="","",IFERROR(E129/H129,""))</f>
        <v/>
      </c>
      <c r="J129" s="38">
        <f>IF($B129="","",SUMPRODUCT(('系统实绩导入'!$B$4:$B$1500=$B129)*('系统实绩导入'!$C$4:$C$1500=$C129)*('系统实绩导入'!$D$4:$D$1500=$D129)*('系统实绩导入'!$F$4:$F$1500="实绩销售额")*('系统实绩导入'!$G$3:$R$3&lt;=$F$1)*'系统实绩导入'!$G$4:$R$1500))</f>
        <v/>
      </c>
      <c r="K129" s="38">
        <f>IF($B129="","",SUMPRODUCT(('系统实绩导入'!$B$4:$B$1500=$B129)*('系统实绩导入'!$C$4:$C$1500=$C129)*('系统实绩导入'!$D$4:$D$1500=$D129)*('系统实绩导入'!$F$4:$F$1500="实绩毛利")*('系统实绩导入'!$G$3:$R$3&lt;=$F$1)*'系统实绩导入'!$G$4:$R$1500))</f>
        <v/>
      </c>
      <c r="L129" s="39">
        <f>IF($B129="","",IFERROR(K129/J129,""))</f>
        <v/>
      </c>
      <c r="M129" s="38">
        <f>IF($B129="","",SUMIFS('目标填报'!$S$4:$S$1500,'目标填报'!$B$4:$B$1500,$B129,'目标填报'!$C$4:$C$1500,$C129,'目标填报'!$D$4:$D$1500,$D129,'目标填报'!$F$4:$F$1500,"销售目标额"))</f>
        <v/>
      </c>
      <c r="N129" s="39">
        <f>IF($B129="","",IFERROR(J129/M129,""))</f>
        <v/>
      </c>
      <c r="O129" s="40">
        <f>IF($B129="","",J129-M129)</f>
        <v/>
      </c>
      <c r="P129" s="38">
        <f>IF($B129="","",SUMPRODUCT(('目标填报'!$B$4:$B$1500=$B129)*('目标填报'!$C$4:$C$1500=$C129)*('目标填报'!$D$4:$D$1500=$D129)*('目标填报'!$F$4:$F$1500="在手订单")*('目标填报'!$G$3:$R$3=$F$1)*'目标填报'!$G$4:$R$1500))</f>
        <v/>
      </c>
      <c r="Q129" s="38">
        <f>IF($B129="","",SUMPRODUCT(('目标填报'!$B$4:$B$1500=$B129)*('目标填报'!$C$4:$C$1500=$C129)*('目标填报'!$D$4:$D$1500=$D129)*('目标填报'!$F$4:$F$1500="在手订单目标")*('目标填报'!$G$3:$R$3=$F$1)*'目标填报'!$G$4:$R$1500))</f>
        <v/>
      </c>
      <c r="R129" s="39">
        <f>IF($B129="","",IFERROR(P129/Q129,""))</f>
        <v/>
      </c>
      <c r="S129" s="38">
        <f>IF($B129="","",SUMPRODUCT(('目标填报'!$B$4:$B$1500=$B129)*('目标填报'!$C$4:$C$1500=$C129)*('目标填报'!$D$4:$D$1500=$D129)*('目标填报'!$F$4:$F$1500="目标客户机会")*('目标填报'!$G$3:$R$3=$F$1)*'目标填报'!$G$4:$R$1500))</f>
        <v/>
      </c>
      <c r="T129" s="38">
        <f>IF($B129="","",SUMPRODUCT(('目标填报'!$B$4:$B$1500=$B129)*('目标填报'!$C$4:$C$1500=$C129)*('目标填报'!$D$4:$D$1500=$D129)*('目标填报'!$F$4:$F$1500="目标客户机会目标")*('目标填报'!$G$3:$R$3=$F$1)*'目标填报'!$G$4:$R$1500))</f>
        <v/>
      </c>
      <c r="U129" s="39">
        <f>IF($B129="","",IFERROR(S129/T129,""))</f>
        <v/>
      </c>
      <c r="V129" s="38">
        <f>IF($B129="","",P129+S129)</f>
        <v/>
      </c>
      <c r="W129" s="38">
        <f>IF($B129="","",M129-J129)</f>
        <v/>
      </c>
      <c r="X129" s="39">
        <f>IF($B129="","",IFERROR(V129/W129,""))</f>
        <v/>
      </c>
      <c r="Y129" s="40">
        <f>IF($B129="","",V129-W129)</f>
        <v/>
      </c>
    </row>
    <row r="130">
      <c r="A130" s="37">
        <f>IF($B130="","",ROW()-3)</f>
        <v/>
      </c>
      <c r="B130" s="13">
        <f>IF(126+1&gt;COUNTA('维度字典'!$C$2:$C$200)*COUNTA('维度字典'!$A$2:$A$200)*COUNTA('维度字典'!$E$2:$E$200),"",INDEX('维度字典'!$C$2:$C$200,MOD(INT(126/(COUNTA('维度字典'!$E$2:$E$200)*COUNTA('维度字典'!$A$2:$A$200))),COUNTA('维度字典'!$C$2:$C$200))+1))</f>
        <v/>
      </c>
      <c r="C130" s="13">
        <f>IF($B130="","",INDEX('维度字典'!$A$2:$A$200,MOD(INT(126/COUNTA('维度字典'!$E$2:$E$200)),COUNTA('维度字典'!$A$2:$A$200))+1))</f>
        <v/>
      </c>
      <c r="D130" s="13">
        <f>IF($B130="","",INDEX('维度字典'!$E$2:$E$200,MOD(126,COUNTA('维度字典'!$E$2:$E$200))+1))</f>
        <v/>
      </c>
      <c r="E130" s="38">
        <f>IF($B130="","",SUMPRODUCT(('系统实绩导入'!$B$4:$B$1500=$B130)*('系统实绩导入'!$C$4:$C$1500=$C130)*('系统实绩导入'!$D$4:$D$1500=$D130)*('系统实绩导入'!$F$4:$F$1500="实绩销售额")*('系统实绩导入'!$G$3:$R$3=$F$1)*'系统实绩导入'!$G$4:$R$1500))</f>
        <v/>
      </c>
      <c r="F130" s="38">
        <f>IF($B130="","",SUMPRODUCT(('系统实绩导入'!$B$4:$B$1500=$B130)*('系统实绩导入'!$C$4:$C$1500=$C130)*('系统实绩导入'!$D$4:$D$1500=$D130)*('系统实绩导入'!$F$4:$F$1500="实绩毛利")*('系统实绩导入'!$G$3:$R$3=$F$1)*'系统实绩导入'!$G$4:$R$1500))</f>
        <v/>
      </c>
      <c r="G130" s="39">
        <f>IF($B130="","",IFERROR(F130/E130,""))</f>
        <v/>
      </c>
      <c r="H130" s="38">
        <f>IF($B130="","",SUMPRODUCT(('目标填报'!$B$4:$B$1500=$B130)*('目标填报'!$C$4:$C$1500=$C130)*('目标填报'!$D$4:$D$1500=$D130)*('目标填报'!$F$4:$F$1500="销售目标额")*('目标填报'!$G$3:$R$3=$F$1)*'目标填报'!$G$4:$R$1500))</f>
        <v/>
      </c>
      <c r="I130" s="39">
        <f>IF($B130="","",IFERROR(E130/H130,""))</f>
        <v/>
      </c>
      <c r="J130" s="38">
        <f>IF($B130="","",SUMPRODUCT(('系统实绩导入'!$B$4:$B$1500=$B130)*('系统实绩导入'!$C$4:$C$1500=$C130)*('系统实绩导入'!$D$4:$D$1500=$D130)*('系统实绩导入'!$F$4:$F$1500="实绩销售额")*('系统实绩导入'!$G$3:$R$3&lt;=$F$1)*'系统实绩导入'!$G$4:$R$1500))</f>
        <v/>
      </c>
      <c r="K130" s="38">
        <f>IF($B130="","",SUMPRODUCT(('系统实绩导入'!$B$4:$B$1500=$B130)*('系统实绩导入'!$C$4:$C$1500=$C130)*('系统实绩导入'!$D$4:$D$1500=$D130)*('系统实绩导入'!$F$4:$F$1500="实绩毛利")*('系统实绩导入'!$G$3:$R$3&lt;=$F$1)*'系统实绩导入'!$G$4:$R$1500))</f>
        <v/>
      </c>
      <c r="L130" s="39">
        <f>IF($B130="","",IFERROR(K130/J130,""))</f>
        <v/>
      </c>
      <c r="M130" s="38">
        <f>IF($B130="","",SUMIFS('目标填报'!$S$4:$S$1500,'目标填报'!$B$4:$B$1500,$B130,'目标填报'!$C$4:$C$1500,$C130,'目标填报'!$D$4:$D$1500,$D130,'目标填报'!$F$4:$F$1500,"销售目标额"))</f>
        <v/>
      </c>
      <c r="N130" s="39">
        <f>IF($B130="","",IFERROR(J130/M130,""))</f>
        <v/>
      </c>
      <c r="O130" s="40">
        <f>IF($B130="","",J130-M130)</f>
        <v/>
      </c>
      <c r="P130" s="38">
        <f>IF($B130="","",SUMPRODUCT(('目标填报'!$B$4:$B$1500=$B130)*('目标填报'!$C$4:$C$1500=$C130)*('目标填报'!$D$4:$D$1500=$D130)*('目标填报'!$F$4:$F$1500="在手订单")*('目标填报'!$G$3:$R$3=$F$1)*'目标填报'!$G$4:$R$1500))</f>
        <v/>
      </c>
      <c r="Q130" s="38">
        <f>IF($B130="","",SUMPRODUCT(('目标填报'!$B$4:$B$1500=$B130)*('目标填报'!$C$4:$C$1500=$C130)*('目标填报'!$D$4:$D$1500=$D130)*('目标填报'!$F$4:$F$1500="在手订单目标")*('目标填报'!$G$3:$R$3=$F$1)*'目标填报'!$G$4:$R$1500))</f>
        <v/>
      </c>
      <c r="R130" s="39">
        <f>IF($B130="","",IFERROR(P130/Q130,""))</f>
        <v/>
      </c>
      <c r="S130" s="38">
        <f>IF($B130="","",SUMPRODUCT(('目标填报'!$B$4:$B$1500=$B130)*('目标填报'!$C$4:$C$1500=$C130)*('目标填报'!$D$4:$D$1500=$D130)*('目标填报'!$F$4:$F$1500="目标客户机会")*('目标填报'!$G$3:$R$3=$F$1)*'目标填报'!$G$4:$R$1500))</f>
        <v/>
      </c>
      <c r="T130" s="38">
        <f>IF($B130="","",SUMPRODUCT(('目标填报'!$B$4:$B$1500=$B130)*('目标填报'!$C$4:$C$1500=$C130)*('目标填报'!$D$4:$D$1500=$D130)*('目标填报'!$F$4:$F$1500="目标客户机会目标")*('目标填报'!$G$3:$R$3=$F$1)*'目标填报'!$G$4:$R$1500))</f>
        <v/>
      </c>
      <c r="U130" s="39">
        <f>IF($B130="","",IFERROR(S130/T130,""))</f>
        <v/>
      </c>
      <c r="V130" s="38">
        <f>IF($B130="","",P130+S130)</f>
        <v/>
      </c>
      <c r="W130" s="38">
        <f>IF($B130="","",M130-J130)</f>
        <v/>
      </c>
      <c r="X130" s="39">
        <f>IF($B130="","",IFERROR(V130/W130,""))</f>
        <v/>
      </c>
      <c r="Y130" s="40">
        <f>IF($B130="","",V130-W130)</f>
        <v/>
      </c>
    </row>
    <row r="131">
      <c r="A131" s="37">
        <f>IF($B131="","",ROW()-3)</f>
        <v/>
      </c>
      <c r="B131" s="13">
        <f>IF(127+1&gt;COUNTA('维度字典'!$C$2:$C$200)*COUNTA('维度字典'!$A$2:$A$200)*COUNTA('维度字典'!$E$2:$E$200),"",INDEX('维度字典'!$C$2:$C$200,MOD(INT(127/(COUNTA('维度字典'!$E$2:$E$200)*COUNTA('维度字典'!$A$2:$A$200))),COUNTA('维度字典'!$C$2:$C$200))+1))</f>
        <v/>
      </c>
      <c r="C131" s="13">
        <f>IF($B131="","",INDEX('维度字典'!$A$2:$A$200,MOD(INT(127/COUNTA('维度字典'!$E$2:$E$200)),COUNTA('维度字典'!$A$2:$A$200))+1))</f>
        <v/>
      </c>
      <c r="D131" s="13">
        <f>IF($B131="","",INDEX('维度字典'!$E$2:$E$200,MOD(127,COUNTA('维度字典'!$E$2:$E$200))+1))</f>
        <v/>
      </c>
      <c r="E131" s="38">
        <f>IF($B131="","",SUMPRODUCT(('系统实绩导入'!$B$4:$B$1500=$B131)*('系统实绩导入'!$C$4:$C$1500=$C131)*('系统实绩导入'!$D$4:$D$1500=$D131)*('系统实绩导入'!$F$4:$F$1500="实绩销售额")*('系统实绩导入'!$G$3:$R$3=$F$1)*'系统实绩导入'!$G$4:$R$1500))</f>
        <v/>
      </c>
      <c r="F131" s="38">
        <f>IF($B131="","",SUMPRODUCT(('系统实绩导入'!$B$4:$B$1500=$B131)*('系统实绩导入'!$C$4:$C$1500=$C131)*('系统实绩导入'!$D$4:$D$1500=$D131)*('系统实绩导入'!$F$4:$F$1500="实绩毛利")*('系统实绩导入'!$G$3:$R$3=$F$1)*'系统实绩导入'!$G$4:$R$1500))</f>
        <v/>
      </c>
      <c r="G131" s="39">
        <f>IF($B131="","",IFERROR(F131/E131,""))</f>
        <v/>
      </c>
      <c r="H131" s="38">
        <f>IF($B131="","",SUMPRODUCT(('目标填报'!$B$4:$B$1500=$B131)*('目标填报'!$C$4:$C$1500=$C131)*('目标填报'!$D$4:$D$1500=$D131)*('目标填报'!$F$4:$F$1500="销售目标额")*('目标填报'!$G$3:$R$3=$F$1)*'目标填报'!$G$4:$R$1500))</f>
        <v/>
      </c>
      <c r="I131" s="39">
        <f>IF($B131="","",IFERROR(E131/H131,""))</f>
        <v/>
      </c>
      <c r="J131" s="38">
        <f>IF($B131="","",SUMPRODUCT(('系统实绩导入'!$B$4:$B$1500=$B131)*('系统实绩导入'!$C$4:$C$1500=$C131)*('系统实绩导入'!$D$4:$D$1500=$D131)*('系统实绩导入'!$F$4:$F$1500="实绩销售额")*('系统实绩导入'!$G$3:$R$3&lt;=$F$1)*'系统实绩导入'!$G$4:$R$1500))</f>
        <v/>
      </c>
      <c r="K131" s="38">
        <f>IF($B131="","",SUMPRODUCT(('系统实绩导入'!$B$4:$B$1500=$B131)*('系统实绩导入'!$C$4:$C$1500=$C131)*('系统实绩导入'!$D$4:$D$1500=$D131)*('系统实绩导入'!$F$4:$F$1500="实绩毛利")*('系统实绩导入'!$G$3:$R$3&lt;=$F$1)*'系统实绩导入'!$G$4:$R$1500))</f>
        <v/>
      </c>
      <c r="L131" s="39">
        <f>IF($B131="","",IFERROR(K131/J131,""))</f>
        <v/>
      </c>
      <c r="M131" s="38">
        <f>IF($B131="","",SUMIFS('目标填报'!$S$4:$S$1500,'目标填报'!$B$4:$B$1500,$B131,'目标填报'!$C$4:$C$1500,$C131,'目标填报'!$D$4:$D$1500,$D131,'目标填报'!$F$4:$F$1500,"销售目标额"))</f>
        <v/>
      </c>
      <c r="N131" s="39">
        <f>IF($B131="","",IFERROR(J131/M131,""))</f>
        <v/>
      </c>
      <c r="O131" s="40">
        <f>IF($B131="","",J131-M131)</f>
        <v/>
      </c>
      <c r="P131" s="38">
        <f>IF($B131="","",SUMPRODUCT(('目标填报'!$B$4:$B$1500=$B131)*('目标填报'!$C$4:$C$1500=$C131)*('目标填报'!$D$4:$D$1500=$D131)*('目标填报'!$F$4:$F$1500="在手订单")*('目标填报'!$G$3:$R$3=$F$1)*'目标填报'!$G$4:$R$1500))</f>
        <v/>
      </c>
      <c r="Q131" s="38">
        <f>IF($B131="","",SUMPRODUCT(('目标填报'!$B$4:$B$1500=$B131)*('目标填报'!$C$4:$C$1500=$C131)*('目标填报'!$D$4:$D$1500=$D131)*('目标填报'!$F$4:$F$1500="在手订单目标")*('目标填报'!$G$3:$R$3=$F$1)*'目标填报'!$G$4:$R$1500))</f>
        <v/>
      </c>
      <c r="R131" s="39">
        <f>IF($B131="","",IFERROR(P131/Q131,""))</f>
        <v/>
      </c>
      <c r="S131" s="38">
        <f>IF($B131="","",SUMPRODUCT(('目标填报'!$B$4:$B$1500=$B131)*('目标填报'!$C$4:$C$1500=$C131)*('目标填报'!$D$4:$D$1500=$D131)*('目标填报'!$F$4:$F$1500="目标客户机会")*('目标填报'!$G$3:$R$3=$F$1)*'目标填报'!$G$4:$R$1500))</f>
        <v/>
      </c>
      <c r="T131" s="38">
        <f>IF($B131="","",SUMPRODUCT(('目标填报'!$B$4:$B$1500=$B131)*('目标填报'!$C$4:$C$1500=$C131)*('目标填报'!$D$4:$D$1500=$D131)*('目标填报'!$F$4:$F$1500="目标客户机会目标")*('目标填报'!$G$3:$R$3=$F$1)*'目标填报'!$G$4:$R$1500))</f>
        <v/>
      </c>
      <c r="U131" s="39">
        <f>IF($B131="","",IFERROR(S131/T131,""))</f>
        <v/>
      </c>
      <c r="V131" s="38">
        <f>IF($B131="","",P131+S131)</f>
        <v/>
      </c>
      <c r="W131" s="38">
        <f>IF($B131="","",M131-J131)</f>
        <v/>
      </c>
      <c r="X131" s="39">
        <f>IF($B131="","",IFERROR(V131/W131,""))</f>
        <v/>
      </c>
      <c r="Y131" s="40">
        <f>IF($B131="","",V131-W131)</f>
        <v/>
      </c>
    </row>
    <row r="132">
      <c r="A132" s="37">
        <f>IF($B132="","",ROW()-3)</f>
        <v/>
      </c>
      <c r="B132" s="13">
        <f>IF(128+1&gt;COUNTA('维度字典'!$C$2:$C$200)*COUNTA('维度字典'!$A$2:$A$200)*COUNTA('维度字典'!$E$2:$E$200),"",INDEX('维度字典'!$C$2:$C$200,MOD(INT(128/(COUNTA('维度字典'!$E$2:$E$200)*COUNTA('维度字典'!$A$2:$A$200))),COUNTA('维度字典'!$C$2:$C$200))+1))</f>
        <v/>
      </c>
      <c r="C132" s="13">
        <f>IF($B132="","",INDEX('维度字典'!$A$2:$A$200,MOD(INT(128/COUNTA('维度字典'!$E$2:$E$200)),COUNTA('维度字典'!$A$2:$A$200))+1))</f>
        <v/>
      </c>
      <c r="D132" s="13">
        <f>IF($B132="","",INDEX('维度字典'!$E$2:$E$200,MOD(128,COUNTA('维度字典'!$E$2:$E$200))+1))</f>
        <v/>
      </c>
      <c r="E132" s="38">
        <f>IF($B132="","",SUMPRODUCT(('系统实绩导入'!$B$4:$B$1500=$B132)*('系统实绩导入'!$C$4:$C$1500=$C132)*('系统实绩导入'!$D$4:$D$1500=$D132)*('系统实绩导入'!$F$4:$F$1500="实绩销售额")*('系统实绩导入'!$G$3:$R$3=$F$1)*'系统实绩导入'!$G$4:$R$1500))</f>
        <v/>
      </c>
      <c r="F132" s="38">
        <f>IF($B132="","",SUMPRODUCT(('系统实绩导入'!$B$4:$B$1500=$B132)*('系统实绩导入'!$C$4:$C$1500=$C132)*('系统实绩导入'!$D$4:$D$1500=$D132)*('系统实绩导入'!$F$4:$F$1500="实绩毛利")*('系统实绩导入'!$G$3:$R$3=$F$1)*'系统实绩导入'!$G$4:$R$1500))</f>
        <v/>
      </c>
      <c r="G132" s="39">
        <f>IF($B132="","",IFERROR(F132/E132,""))</f>
        <v/>
      </c>
      <c r="H132" s="38">
        <f>IF($B132="","",SUMPRODUCT(('目标填报'!$B$4:$B$1500=$B132)*('目标填报'!$C$4:$C$1500=$C132)*('目标填报'!$D$4:$D$1500=$D132)*('目标填报'!$F$4:$F$1500="销售目标额")*('目标填报'!$G$3:$R$3=$F$1)*'目标填报'!$G$4:$R$1500))</f>
        <v/>
      </c>
      <c r="I132" s="39">
        <f>IF($B132="","",IFERROR(E132/H132,""))</f>
        <v/>
      </c>
      <c r="J132" s="38">
        <f>IF($B132="","",SUMPRODUCT(('系统实绩导入'!$B$4:$B$1500=$B132)*('系统实绩导入'!$C$4:$C$1500=$C132)*('系统实绩导入'!$D$4:$D$1500=$D132)*('系统实绩导入'!$F$4:$F$1500="实绩销售额")*('系统实绩导入'!$G$3:$R$3&lt;=$F$1)*'系统实绩导入'!$G$4:$R$1500))</f>
        <v/>
      </c>
      <c r="K132" s="38">
        <f>IF($B132="","",SUMPRODUCT(('系统实绩导入'!$B$4:$B$1500=$B132)*('系统实绩导入'!$C$4:$C$1500=$C132)*('系统实绩导入'!$D$4:$D$1500=$D132)*('系统实绩导入'!$F$4:$F$1500="实绩毛利")*('系统实绩导入'!$G$3:$R$3&lt;=$F$1)*'系统实绩导入'!$G$4:$R$1500))</f>
        <v/>
      </c>
      <c r="L132" s="39">
        <f>IF($B132="","",IFERROR(K132/J132,""))</f>
        <v/>
      </c>
      <c r="M132" s="38">
        <f>IF($B132="","",SUMIFS('目标填报'!$S$4:$S$1500,'目标填报'!$B$4:$B$1500,$B132,'目标填报'!$C$4:$C$1500,$C132,'目标填报'!$D$4:$D$1500,$D132,'目标填报'!$F$4:$F$1500,"销售目标额"))</f>
        <v/>
      </c>
      <c r="N132" s="39">
        <f>IF($B132="","",IFERROR(J132/M132,""))</f>
        <v/>
      </c>
      <c r="O132" s="40">
        <f>IF($B132="","",J132-M132)</f>
        <v/>
      </c>
      <c r="P132" s="38">
        <f>IF($B132="","",SUMPRODUCT(('目标填报'!$B$4:$B$1500=$B132)*('目标填报'!$C$4:$C$1500=$C132)*('目标填报'!$D$4:$D$1500=$D132)*('目标填报'!$F$4:$F$1500="在手订单")*('目标填报'!$G$3:$R$3=$F$1)*'目标填报'!$G$4:$R$1500))</f>
        <v/>
      </c>
      <c r="Q132" s="38">
        <f>IF($B132="","",SUMPRODUCT(('目标填报'!$B$4:$B$1500=$B132)*('目标填报'!$C$4:$C$1500=$C132)*('目标填报'!$D$4:$D$1500=$D132)*('目标填报'!$F$4:$F$1500="在手订单目标")*('目标填报'!$G$3:$R$3=$F$1)*'目标填报'!$G$4:$R$1500))</f>
        <v/>
      </c>
      <c r="R132" s="39">
        <f>IF($B132="","",IFERROR(P132/Q132,""))</f>
        <v/>
      </c>
      <c r="S132" s="38">
        <f>IF($B132="","",SUMPRODUCT(('目标填报'!$B$4:$B$1500=$B132)*('目标填报'!$C$4:$C$1500=$C132)*('目标填报'!$D$4:$D$1500=$D132)*('目标填报'!$F$4:$F$1500="目标客户机会")*('目标填报'!$G$3:$R$3=$F$1)*'目标填报'!$G$4:$R$1500))</f>
        <v/>
      </c>
      <c r="T132" s="38">
        <f>IF($B132="","",SUMPRODUCT(('目标填报'!$B$4:$B$1500=$B132)*('目标填报'!$C$4:$C$1500=$C132)*('目标填报'!$D$4:$D$1500=$D132)*('目标填报'!$F$4:$F$1500="目标客户机会目标")*('目标填报'!$G$3:$R$3=$F$1)*'目标填报'!$G$4:$R$1500))</f>
        <v/>
      </c>
      <c r="U132" s="39">
        <f>IF($B132="","",IFERROR(S132/T132,""))</f>
        <v/>
      </c>
      <c r="V132" s="38">
        <f>IF($B132="","",P132+S132)</f>
        <v/>
      </c>
      <c r="W132" s="38">
        <f>IF($B132="","",M132-J132)</f>
        <v/>
      </c>
      <c r="X132" s="39">
        <f>IF($B132="","",IFERROR(V132/W132,""))</f>
        <v/>
      </c>
      <c r="Y132" s="40">
        <f>IF($B132="","",V132-W132)</f>
        <v/>
      </c>
    </row>
    <row r="133">
      <c r="A133" s="37">
        <f>IF($B133="","",ROW()-3)</f>
        <v/>
      </c>
      <c r="B133" s="13">
        <f>IF(129+1&gt;COUNTA('维度字典'!$C$2:$C$200)*COUNTA('维度字典'!$A$2:$A$200)*COUNTA('维度字典'!$E$2:$E$200),"",INDEX('维度字典'!$C$2:$C$200,MOD(INT(129/(COUNTA('维度字典'!$E$2:$E$200)*COUNTA('维度字典'!$A$2:$A$200))),COUNTA('维度字典'!$C$2:$C$200))+1))</f>
        <v/>
      </c>
      <c r="C133" s="13">
        <f>IF($B133="","",INDEX('维度字典'!$A$2:$A$200,MOD(INT(129/COUNTA('维度字典'!$E$2:$E$200)),COUNTA('维度字典'!$A$2:$A$200))+1))</f>
        <v/>
      </c>
      <c r="D133" s="13">
        <f>IF($B133="","",INDEX('维度字典'!$E$2:$E$200,MOD(129,COUNTA('维度字典'!$E$2:$E$200))+1))</f>
        <v/>
      </c>
      <c r="E133" s="38">
        <f>IF($B133="","",SUMPRODUCT(('系统实绩导入'!$B$4:$B$1500=$B133)*('系统实绩导入'!$C$4:$C$1500=$C133)*('系统实绩导入'!$D$4:$D$1500=$D133)*('系统实绩导入'!$F$4:$F$1500="实绩销售额")*('系统实绩导入'!$G$3:$R$3=$F$1)*'系统实绩导入'!$G$4:$R$1500))</f>
        <v/>
      </c>
      <c r="F133" s="38">
        <f>IF($B133="","",SUMPRODUCT(('系统实绩导入'!$B$4:$B$1500=$B133)*('系统实绩导入'!$C$4:$C$1500=$C133)*('系统实绩导入'!$D$4:$D$1500=$D133)*('系统实绩导入'!$F$4:$F$1500="实绩毛利")*('系统实绩导入'!$G$3:$R$3=$F$1)*'系统实绩导入'!$G$4:$R$1500))</f>
        <v/>
      </c>
      <c r="G133" s="39">
        <f>IF($B133="","",IFERROR(F133/E133,""))</f>
        <v/>
      </c>
      <c r="H133" s="38">
        <f>IF($B133="","",SUMPRODUCT(('目标填报'!$B$4:$B$1500=$B133)*('目标填报'!$C$4:$C$1500=$C133)*('目标填报'!$D$4:$D$1500=$D133)*('目标填报'!$F$4:$F$1500="销售目标额")*('目标填报'!$G$3:$R$3=$F$1)*'目标填报'!$G$4:$R$1500))</f>
        <v/>
      </c>
      <c r="I133" s="39">
        <f>IF($B133="","",IFERROR(E133/H133,""))</f>
        <v/>
      </c>
      <c r="J133" s="38">
        <f>IF($B133="","",SUMPRODUCT(('系统实绩导入'!$B$4:$B$1500=$B133)*('系统实绩导入'!$C$4:$C$1500=$C133)*('系统实绩导入'!$D$4:$D$1500=$D133)*('系统实绩导入'!$F$4:$F$1500="实绩销售额")*('系统实绩导入'!$G$3:$R$3&lt;=$F$1)*'系统实绩导入'!$G$4:$R$1500))</f>
        <v/>
      </c>
      <c r="K133" s="38">
        <f>IF($B133="","",SUMPRODUCT(('系统实绩导入'!$B$4:$B$1500=$B133)*('系统实绩导入'!$C$4:$C$1500=$C133)*('系统实绩导入'!$D$4:$D$1500=$D133)*('系统实绩导入'!$F$4:$F$1500="实绩毛利")*('系统实绩导入'!$G$3:$R$3&lt;=$F$1)*'系统实绩导入'!$G$4:$R$1500))</f>
        <v/>
      </c>
      <c r="L133" s="39">
        <f>IF($B133="","",IFERROR(K133/J133,""))</f>
        <v/>
      </c>
      <c r="M133" s="38">
        <f>IF($B133="","",SUMIFS('目标填报'!$S$4:$S$1500,'目标填报'!$B$4:$B$1500,$B133,'目标填报'!$C$4:$C$1500,$C133,'目标填报'!$D$4:$D$1500,$D133,'目标填报'!$F$4:$F$1500,"销售目标额"))</f>
        <v/>
      </c>
      <c r="N133" s="39">
        <f>IF($B133="","",IFERROR(J133/M133,""))</f>
        <v/>
      </c>
      <c r="O133" s="40">
        <f>IF($B133="","",J133-M133)</f>
        <v/>
      </c>
      <c r="P133" s="38">
        <f>IF($B133="","",SUMPRODUCT(('目标填报'!$B$4:$B$1500=$B133)*('目标填报'!$C$4:$C$1500=$C133)*('目标填报'!$D$4:$D$1500=$D133)*('目标填报'!$F$4:$F$1500="在手订单")*('目标填报'!$G$3:$R$3=$F$1)*'目标填报'!$G$4:$R$1500))</f>
        <v/>
      </c>
      <c r="Q133" s="38">
        <f>IF($B133="","",SUMPRODUCT(('目标填报'!$B$4:$B$1500=$B133)*('目标填报'!$C$4:$C$1500=$C133)*('目标填报'!$D$4:$D$1500=$D133)*('目标填报'!$F$4:$F$1500="在手订单目标")*('目标填报'!$G$3:$R$3=$F$1)*'目标填报'!$G$4:$R$1500))</f>
        <v/>
      </c>
      <c r="R133" s="39">
        <f>IF($B133="","",IFERROR(P133/Q133,""))</f>
        <v/>
      </c>
      <c r="S133" s="38">
        <f>IF($B133="","",SUMPRODUCT(('目标填报'!$B$4:$B$1500=$B133)*('目标填报'!$C$4:$C$1500=$C133)*('目标填报'!$D$4:$D$1500=$D133)*('目标填报'!$F$4:$F$1500="目标客户机会")*('目标填报'!$G$3:$R$3=$F$1)*'目标填报'!$G$4:$R$1500))</f>
        <v/>
      </c>
      <c r="T133" s="38">
        <f>IF($B133="","",SUMPRODUCT(('目标填报'!$B$4:$B$1500=$B133)*('目标填报'!$C$4:$C$1500=$C133)*('目标填报'!$D$4:$D$1500=$D133)*('目标填报'!$F$4:$F$1500="目标客户机会目标")*('目标填报'!$G$3:$R$3=$F$1)*'目标填报'!$G$4:$R$1500))</f>
        <v/>
      </c>
      <c r="U133" s="39">
        <f>IF($B133="","",IFERROR(S133/T133,""))</f>
        <v/>
      </c>
      <c r="V133" s="38">
        <f>IF($B133="","",P133+S133)</f>
        <v/>
      </c>
      <c r="W133" s="38">
        <f>IF($B133="","",M133-J133)</f>
        <v/>
      </c>
      <c r="X133" s="39">
        <f>IF($B133="","",IFERROR(V133/W133,""))</f>
        <v/>
      </c>
      <c r="Y133" s="40">
        <f>IF($B133="","",V133-W133)</f>
        <v/>
      </c>
    </row>
    <row r="134">
      <c r="A134" s="37">
        <f>IF($B134="","",ROW()-3)</f>
        <v/>
      </c>
      <c r="B134" s="13">
        <f>IF(130+1&gt;COUNTA('维度字典'!$C$2:$C$200)*COUNTA('维度字典'!$A$2:$A$200)*COUNTA('维度字典'!$E$2:$E$200),"",INDEX('维度字典'!$C$2:$C$200,MOD(INT(130/(COUNTA('维度字典'!$E$2:$E$200)*COUNTA('维度字典'!$A$2:$A$200))),COUNTA('维度字典'!$C$2:$C$200))+1))</f>
        <v/>
      </c>
      <c r="C134" s="13">
        <f>IF($B134="","",INDEX('维度字典'!$A$2:$A$200,MOD(INT(130/COUNTA('维度字典'!$E$2:$E$200)),COUNTA('维度字典'!$A$2:$A$200))+1))</f>
        <v/>
      </c>
      <c r="D134" s="13">
        <f>IF($B134="","",INDEX('维度字典'!$E$2:$E$200,MOD(130,COUNTA('维度字典'!$E$2:$E$200))+1))</f>
        <v/>
      </c>
      <c r="E134" s="38">
        <f>IF($B134="","",SUMPRODUCT(('系统实绩导入'!$B$4:$B$1500=$B134)*('系统实绩导入'!$C$4:$C$1500=$C134)*('系统实绩导入'!$D$4:$D$1500=$D134)*('系统实绩导入'!$F$4:$F$1500="实绩销售额")*('系统实绩导入'!$G$3:$R$3=$F$1)*'系统实绩导入'!$G$4:$R$1500))</f>
        <v/>
      </c>
      <c r="F134" s="38">
        <f>IF($B134="","",SUMPRODUCT(('系统实绩导入'!$B$4:$B$1500=$B134)*('系统实绩导入'!$C$4:$C$1500=$C134)*('系统实绩导入'!$D$4:$D$1500=$D134)*('系统实绩导入'!$F$4:$F$1500="实绩毛利")*('系统实绩导入'!$G$3:$R$3=$F$1)*'系统实绩导入'!$G$4:$R$1500))</f>
        <v/>
      </c>
      <c r="G134" s="39">
        <f>IF($B134="","",IFERROR(F134/E134,""))</f>
        <v/>
      </c>
      <c r="H134" s="38">
        <f>IF($B134="","",SUMPRODUCT(('目标填报'!$B$4:$B$1500=$B134)*('目标填报'!$C$4:$C$1500=$C134)*('目标填报'!$D$4:$D$1500=$D134)*('目标填报'!$F$4:$F$1500="销售目标额")*('目标填报'!$G$3:$R$3=$F$1)*'目标填报'!$G$4:$R$1500))</f>
        <v/>
      </c>
      <c r="I134" s="39">
        <f>IF($B134="","",IFERROR(E134/H134,""))</f>
        <v/>
      </c>
      <c r="J134" s="38">
        <f>IF($B134="","",SUMPRODUCT(('系统实绩导入'!$B$4:$B$1500=$B134)*('系统实绩导入'!$C$4:$C$1500=$C134)*('系统实绩导入'!$D$4:$D$1500=$D134)*('系统实绩导入'!$F$4:$F$1500="实绩销售额")*('系统实绩导入'!$G$3:$R$3&lt;=$F$1)*'系统实绩导入'!$G$4:$R$1500))</f>
        <v/>
      </c>
      <c r="K134" s="38">
        <f>IF($B134="","",SUMPRODUCT(('系统实绩导入'!$B$4:$B$1500=$B134)*('系统实绩导入'!$C$4:$C$1500=$C134)*('系统实绩导入'!$D$4:$D$1500=$D134)*('系统实绩导入'!$F$4:$F$1500="实绩毛利")*('系统实绩导入'!$G$3:$R$3&lt;=$F$1)*'系统实绩导入'!$G$4:$R$1500))</f>
        <v/>
      </c>
      <c r="L134" s="39">
        <f>IF($B134="","",IFERROR(K134/J134,""))</f>
        <v/>
      </c>
      <c r="M134" s="38">
        <f>IF($B134="","",SUMIFS('目标填报'!$S$4:$S$1500,'目标填报'!$B$4:$B$1500,$B134,'目标填报'!$C$4:$C$1500,$C134,'目标填报'!$D$4:$D$1500,$D134,'目标填报'!$F$4:$F$1500,"销售目标额"))</f>
        <v/>
      </c>
      <c r="N134" s="39">
        <f>IF($B134="","",IFERROR(J134/M134,""))</f>
        <v/>
      </c>
      <c r="O134" s="40">
        <f>IF($B134="","",J134-M134)</f>
        <v/>
      </c>
      <c r="P134" s="38">
        <f>IF($B134="","",SUMPRODUCT(('目标填报'!$B$4:$B$1500=$B134)*('目标填报'!$C$4:$C$1500=$C134)*('目标填报'!$D$4:$D$1500=$D134)*('目标填报'!$F$4:$F$1500="在手订单")*('目标填报'!$G$3:$R$3=$F$1)*'目标填报'!$G$4:$R$1500))</f>
        <v/>
      </c>
      <c r="Q134" s="38">
        <f>IF($B134="","",SUMPRODUCT(('目标填报'!$B$4:$B$1500=$B134)*('目标填报'!$C$4:$C$1500=$C134)*('目标填报'!$D$4:$D$1500=$D134)*('目标填报'!$F$4:$F$1500="在手订单目标")*('目标填报'!$G$3:$R$3=$F$1)*'目标填报'!$G$4:$R$1500))</f>
        <v/>
      </c>
      <c r="R134" s="39">
        <f>IF($B134="","",IFERROR(P134/Q134,""))</f>
        <v/>
      </c>
      <c r="S134" s="38">
        <f>IF($B134="","",SUMPRODUCT(('目标填报'!$B$4:$B$1500=$B134)*('目标填报'!$C$4:$C$1500=$C134)*('目标填报'!$D$4:$D$1500=$D134)*('目标填报'!$F$4:$F$1500="目标客户机会")*('目标填报'!$G$3:$R$3=$F$1)*'目标填报'!$G$4:$R$1500))</f>
        <v/>
      </c>
      <c r="T134" s="38">
        <f>IF($B134="","",SUMPRODUCT(('目标填报'!$B$4:$B$1500=$B134)*('目标填报'!$C$4:$C$1500=$C134)*('目标填报'!$D$4:$D$1500=$D134)*('目标填报'!$F$4:$F$1500="目标客户机会目标")*('目标填报'!$G$3:$R$3=$F$1)*'目标填报'!$G$4:$R$1500))</f>
        <v/>
      </c>
      <c r="U134" s="39">
        <f>IF($B134="","",IFERROR(S134/T134,""))</f>
        <v/>
      </c>
      <c r="V134" s="38">
        <f>IF($B134="","",P134+S134)</f>
        <v/>
      </c>
      <c r="W134" s="38">
        <f>IF($B134="","",M134-J134)</f>
        <v/>
      </c>
      <c r="X134" s="39">
        <f>IF($B134="","",IFERROR(V134/W134,""))</f>
        <v/>
      </c>
      <c r="Y134" s="40">
        <f>IF($B134="","",V134-W134)</f>
        <v/>
      </c>
    </row>
    <row r="135">
      <c r="A135" s="37">
        <f>IF($B135="","",ROW()-3)</f>
        <v/>
      </c>
      <c r="B135" s="13">
        <f>IF(131+1&gt;COUNTA('维度字典'!$C$2:$C$200)*COUNTA('维度字典'!$A$2:$A$200)*COUNTA('维度字典'!$E$2:$E$200),"",INDEX('维度字典'!$C$2:$C$200,MOD(INT(131/(COUNTA('维度字典'!$E$2:$E$200)*COUNTA('维度字典'!$A$2:$A$200))),COUNTA('维度字典'!$C$2:$C$200))+1))</f>
        <v/>
      </c>
      <c r="C135" s="13">
        <f>IF($B135="","",INDEX('维度字典'!$A$2:$A$200,MOD(INT(131/COUNTA('维度字典'!$E$2:$E$200)),COUNTA('维度字典'!$A$2:$A$200))+1))</f>
        <v/>
      </c>
      <c r="D135" s="13">
        <f>IF($B135="","",INDEX('维度字典'!$E$2:$E$200,MOD(131,COUNTA('维度字典'!$E$2:$E$200))+1))</f>
        <v/>
      </c>
      <c r="E135" s="38">
        <f>IF($B135="","",SUMPRODUCT(('系统实绩导入'!$B$4:$B$1500=$B135)*('系统实绩导入'!$C$4:$C$1500=$C135)*('系统实绩导入'!$D$4:$D$1500=$D135)*('系统实绩导入'!$F$4:$F$1500="实绩销售额")*('系统实绩导入'!$G$3:$R$3=$F$1)*'系统实绩导入'!$G$4:$R$1500))</f>
        <v/>
      </c>
      <c r="F135" s="38">
        <f>IF($B135="","",SUMPRODUCT(('系统实绩导入'!$B$4:$B$1500=$B135)*('系统实绩导入'!$C$4:$C$1500=$C135)*('系统实绩导入'!$D$4:$D$1500=$D135)*('系统实绩导入'!$F$4:$F$1500="实绩毛利")*('系统实绩导入'!$G$3:$R$3=$F$1)*'系统实绩导入'!$G$4:$R$1500))</f>
        <v/>
      </c>
      <c r="G135" s="39">
        <f>IF($B135="","",IFERROR(F135/E135,""))</f>
        <v/>
      </c>
      <c r="H135" s="38">
        <f>IF($B135="","",SUMPRODUCT(('目标填报'!$B$4:$B$1500=$B135)*('目标填报'!$C$4:$C$1500=$C135)*('目标填报'!$D$4:$D$1500=$D135)*('目标填报'!$F$4:$F$1500="销售目标额")*('目标填报'!$G$3:$R$3=$F$1)*'目标填报'!$G$4:$R$1500))</f>
        <v/>
      </c>
      <c r="I135" s="39">
        <f>IF($B135="","",IFERROR(E135/H135,""))</f>
        <v/>
      </c>
      <c r="J135" s="38">
        <f>IF($B135="","",SUMPRODUCT(('系统实绩导入'!$B$4:$B$1500=$B135)*('系统实绩导入'!$C$4:$C$1500=$C135)*('系统实绩导入'!$D$4:$D$1500=$D135)*('系统实绩导入'!$F$4:$F$1500="实绩销售额")*('系统实绩导入'!$G$3:$R$3&lt;=$F$1)*'系统实绩导入'!$G$4:$R$1500))</f>
        <v/>
      </c>
      <c r="K135" s="38">
        <f>IF($B135="","",SUMPRODUCT(('系统实绩导入'!$B$4:$B$1500=$B135)*('系统实绩导入'!$C$4:$C$1500=$C135)*('系统实绩导入'!$D$4:$D$1500=$D135)*('系统实绩导入'!$F$4:$F$1500="实绩毛利")*('系统实绩导入'!$G$3:$R$3&lt;=$F$1)*'系统实绩导入'!$G$4:$R$1500))</f>
        <v/>
      </c>
      <c r="L135" s="39">
        <f>IF($B135="","",IFERROR(K135/J135,""))</f>
        <v/>
      </c>
      <c r="M135" s="38">
        <f>IF($B135="","",SUMIFS('目标填报'!$S$4:$S$1500,'目标填报'!$B$4:$B$1500,$B135,'目标填报'!$C$4:$C$1500,$C135,'目标填报'!$D$4:$D$1500,$D135,'目标填报'!$F$4:$F$1500,"销售目标额"))</f>
        <v/>
      </c>
      <c r="N135" s="39">
        <f>IF($B135="","",IFERROR(J135/M135,""))</f>
        <v/>
      </c>
      <c r="O135" s="40">
        <f>IF($B135="","",J135-M135)</f>
        <v/>
      </c>
      <c r="P135" s="38">
        <f>IF($B135="","",SUMPRODUCT(('目标填报'!$B$4:$B$1500=$B135)*('目标填报'!$C$4:$C$1500=$C135)*('目标填报'!$D$4:$D$1500=$D135)*('目标填报'!$F$4:$F$1500="在手订单")*('目标填报'!$G$3:$R$3=$F$1)*'目标填报'!$G$4:$R$1500))</f>
        <v/>
      </c>
      <c r="Q135" s="38">
        <f>IF($B135="","",SUMPRODUCT(('目标填报'!$B$4:$B$1500=$B135)*('目标填报'!$C$4:$C$1500=$C135)*('目标填报'!$D$4:$D$1500=$D135)*('目标填报'!$F$4:$F$1500="在手订单目标")*('目标填报'!$G$3:$R$3=$F$1)*'目标填报'!$G$4:$R$1500))</f>
        <v/>
      </c>
      <c r="R135" s="39">
        <f>IF($B135="","",IFERROR(P135/Q135,""))</f>
        <v/>
      </c>
      <c r="S135" s="38">
        <f>IF($B135="","",SUMPRODUCT(('目标填报'!$B$4:$B$1500=$B135)*('目标填报'!$C$4:$C$1500=$C135)*('目标填报'!$D$4:$D$1500=$D135)*('目标填报'!$F$4:$F$1500="目标客户机会")*('目标填报'!$G$3:$R$3=$F$1)*'目标填报'!$G$4:$R$1500))</f>
        <v/>
      </c>
      <c r="T135" s="38">
        <f>IF($B135="","",SUMPRODUCT(('目标填报'!$B$4:$B$1500=$B135)*('目标填报'!$C$4:$C$1500=$C135)*('目标填报'!$D$4:$D$1500=$D135)*('目标填报'!$F$4:$F$1500="目标客户机会目标")*('目标填报'!$G$3:$R$3=$F$1)*'目标填报'!$G$4:$R$1500))</f>
        <v/>
      </c>
      <c r="U135" s="39">
        <f>IF($B135="","",IFERROR(S135/T135,""))</f>
        <v/>
      </c>
      <c r="V135" s="38">
        <f>IF($B135="","",P135+S135)</f>
        <v/>
      </c>
      <c r="W135" s="38">
        <f>IF($B135="","",M135-J135)</f>
        <v/>
      </c>
      <c r="X135" s="39">
        <f>IF($B135="","",IFERROR(V135/W135,""))</f>
        <v/>
      </c>
      <c r="Y135" s="40">
        <f>IF($B135="","",V135-W135)</f>
        <v/>
      </c>
    </row>
    <row r="136">
      <c r="A136" s="37">
        <f>IF($B136="","",ROW()-3)</f>
        <v/>
      </c>
      <c r="B136" s="13">
        <f>IF(132+1&gt;COUNTA('维度字典'!$C$2:$C$200)*COUNTA('维度字典'!$A$2:$A$200)*COUNTA('维度字典'!$E$2:$E$200),"",INDEX('维度字典'!$C$2:$C$200,MOD(INT(132/(COUNTA('维度字典'!$E$2:$E$200)*COUNTA('维度字典'!$A$2:$A$200))),COUNTA('维度字典'!$C$2:$C$200))+1))</f>
        <v/>
      </c>
      <c r="C136" s="13">
        <f>IF($B136="","",INDEX('维度字典'!$A$2:$A$200,MOD(INT(132/COUNTA('维度字典'!$E$2:$E$200)),COUNTA('维度字典'!$A$2:$A$200))+1))</f>
        <v/>
      </c>
      <c r="D136" s="13">
        <f>IF($B136="","",INDEX('维度字典'!$E$2:$E$200,MOD(132,COUNTA('维度字典'!$E$2:$E$200))+1))</f>
        <v/>
      </c>
      <c r="E136" s="38">
        <f>IF($B136="","",SUMPRODUCT(('系统实绩导入'!$B$4:$B$1500=$B136)*('系统实绩导入'!$C$4:$C$1500=$C136)*('系统实绩导入'!$D$4:$D$1500=$D136)*('系统实绩导入'!$F$4:$F$1500="实绩销售额")*('系统实绩导入'!$G$3:$R$3=$F$1)*'系统实绩导入'!$G$4:$R$1500))</f>
        <v/>
      </c>
      <c r="F136" s="38">
        <f>IF($B136="","",SUMPRODUCT(('系统实绩导入'!$B$4:$B$1500=$B136)*('系统实绩导入'!$C$4:$C$1500=$C136)*('系统实绩导入'!$D$4:$D$1500=$D136)*('系统实绩导入'!$F$4:$F$1500="实绩毛利")*('系统实绩导入'!$G$3:$R$3=$F$1)*'系统实绩导入'!$G$4:$R$1500))</f>
        <v/>
      </c>
      <c r="G136" s="39">
        <f>IF($B136="","",IFERROR(F136/E136,""))</f>
        <v/>
      </c>
      <c r="H136" s="38">
        <f>IF($B136="","",SUMPRODUCT(('目标填报'!$B$4:$B$1500=$B136)*('目标填报'!$C$4:$C$1500=$C136)*('目标填报'!$D$4:$D$1500=$D136)*('目标填报'!$F$4:$F$1500="销售目标额")*('目标填报'!$G$3:$R$3=$F$1)*'目标填报'!$G$4:$R$1500))</f>
        <v/>
      </c>
      <c r="I136" s="39">
        <f>IF($B136="","",IFERROR(E136/H136,""))</f>
        <v/>
      </c>
      <c r="J136" s="38">
        <f>IF($B136="","",SUMPRODUCT(('系统实绩导入'!$B$4:$B$1500=$B136)*('系统实绩导入'!$C$4:$C$1500=$C136)*('系统实绩导入'!$D$4:$D$1500=$D136)*('系统实绩导入'!$F$4:$F$1500="实绩销售额")*('系统实绩导入'!$G$3:$R$3&lt;=$F$1)*'系统实绩导入'!$G$4:$R$1500))</f>
        <v/>
      </c>
      <c r="K136" s="38">
        <f>IF($B136="","",SUMPRODUCT(('系统实绩导入'!$B$4:$B$1500=$B136)*('系统实绩导入'!$C$4:$C$1500=$C136)*('系统实绩导入'!$D$4:$D$1500=$D136)*('系统实绩导入'!$F$4:$F$1500="实绩毛利")*('系统实绩导入'!$G$3:$R$3&lt;=$F$1)*'系统实绩导入'!$G$4:$R$1500))</f>
        <v/>
      </c>
      <c r="L136" s="39">
        <f>IF($B136="","",IFERROR(K136/J136,""))</f>
        <v/>
      </c>
      <c r="M136" s="38">
        <f>IF($B136="","",SUMIFS('目标填报'!$S$4:$S$1500,'目标填报'!$B$4:$B$1500,$B136,'目标填报'!$C$4:$C$1500,$C136,'目标填报'!$D$4:$D$1500,$D136,'目标填报'!$F$4:$F$1500,"销售目标额"))</f>
        <v/>
      </c>
      <c r="N136" s="39">
        <f>IF($B136="","",IFERROR(J136/M136,""))</f>
        <v/>
      </c>
      <c r="O136" s="40">
        <f>IF($B136="","",J136-M136)</f>
        <v/>
      </c>
      <c r="P136" s="38">
        <f>IF($B136="","",SUMPRODUCT(('目标填报'!$B$4:$B$1500=$B136)*('目标填报'!$C$4:$C$1500=$C136)*('目标填报'!$D$4:$D$1500=$D136)*('目标填报'!$F$4:$F$1500="在手订单")*('目标填报'!$G$3:$R$3=$F$1)*'目标填报'!$G$4:$R$1500))</f>
        <v/>
      </c>
      <c r="Q136" s="38">
        <f>IF($B136="","",SUMPRODUCT(('目标填报'!$B$4:$B$1500=$B136)*('目标填报'!$C$4:$C$1500=$C136)*('目标填报'!$D$4:$D$1500=$D136)*('目标填报'!$F$4:$F$1500="在手订单目标")*('目标填报'!$G$3:$R$3=$F$1)*'目标填报'!$G$4:$R$1500))</f>
        <v/>
      </c>
      <c r="R136" s="39">
        <f>IF($B136="","",IFERROR(P136/Q136,""))</f>
        <v/>
      </c>
      <c r="S136" s="38">
        <f>IF($B136="","",SUMPRODUCT(('目标填报'!$B$4:$B$1500=$B136)*('目标填报'!$C$4:$C$1500=$C136)*('目标填报'!$D$4:$D$1500=$D136)*('目标填报'!$F$4:$F$1500="目标客户机会")*('目标填报'!$G$3:$R$3=$F$1)*'目标填报'!$G$4:$R$1500))</f>
        <v/>
      </c>
      <c r="T136" s="38">
        <f>IF($B136="","",SUMPRODUCT(('目标填报'!$B$4:$B$1500=$B136)*('目标填报'!$C$4:$C$1500=$C136)*('目标填报'!$D$4:$D$1500=$D136)*('目标填报'!$F$4:$F$1500="目标客户机会目标")*('目标填报'!$G$3:$R$3=$F$1)*'目标填报'!$G$4:$R$1500))</f>
        <v/>
      </c>
      <c r="U136" s="39">
        <f>IF($B136="","",IFERROR(S136/T136,""))</f>
        <v/>
      </c>
      <c r="V136" s="38">
        <f>IF($B136="","",P136+S136)</f>
        <v/>
      </c>
      <c r="W136" s="38">
        <f>IF($B136="","",M136-J136)</f>
        <v/>
      </c>
      <c r="X136" s="39">
        <f>IF($B136="","",IFERROR(V136/W136,""))</f>
        <v/>
      </c>
      <c r="Y136" s="40">
        <f>IF($B136="","",V136-W136)</f>
        <v/>
      </c>
    </row>
    <row r="137">
      <c r="A137" s="37">
        <f>IF($B137="","",ROW()-3)</f>
        <v/>
      </c>
      <c r="B137" s="13">
        <f>IF(133+1&gt;COUNTA('维度字典'!$C$2:$C$200)*COUNTA('维度字典'!$A$2:$A$200)*COUNTA('维度字典'!$E$2:$E$200),"",INDEX('维度字典'!$C$2:$C$200,MOD(INT(133/(COUNTA('维度字典'!$E$2:$E$200)*COUNTA('维度字典'!$A$2:$A$200))),COUNTA('维度字典'!$C$2:$C$200))+1))</f>
        <v/>
      </c>
      <c r="C137" s="13">
        <f>IF($B137="","",INDEX('维度字典'!$A$2:$A$200,MOD(INT(133/COUNTA('维度字典'!$E$2:$E$200)),COUNTA('维度字典'!$A$2:$A$200))+1))</f>
        <v/>
      </c>
      <c r="D137" s="13">
        <f>IF($B137="","",INDEX('维度字典'!$E$2:$E$200,MOD(133,COUNTA('维度字典'!$E$2:$E$200))+1))</f>
        <v/>
      </c>
      <c r="E137" s="38">
        <f>IF($B137="","",SUMPRODUCT(('系统实绩导入'!$B$4:$B$1500=$B137)*('系统实绩导入'!$C$4:$C$1500=$C137)*('系统实绩导入'!$D$4:$D$1500=$D137)*('系统实绩导入'!$F$4:$F$1500="实绩销售额")*('系统实绩导入'!$G$3:$R$3=$F$1)*'系统实绩导入'!$G$4:$R$1500))</f>
        <v/>
      </c>
      <c r="F137" s="38">
        <f>IF($B137="","",SUMPRODUCT(('系统实绩导入'!$B$4:$B$1500=$B137)*('系统实绩导入'!$C$4:$C$1500=$C137)*('系统实绩导入'!$D$4:$D$1500=$D137)*('系统实绩导入'!$F$4:$F$1500="实绩毛利")*('系统实绩导入'!$G$3:$R$3=$F$1)*'系统实绩导入'!$G$4:$R$1500))</f>
        <v/>
      </c>
      <c r="G137" s="39">
        <f>IF($B137="","",IFERROR(F137/E137,""))</f>
        <v/>
      </c>
      <c r="H137" s="38">
        <f>IF($B137="","",SUMPRODUCT(('目标填报'!$B$4:$B$1500=$B137)*('目标填报'!$C$4:$C$1500=$C137)*('目标填报'!$D$4:$D$1500=$D137)*('目标填报'!$F$4:$F$1500="销售目标额")*('目标填报'!$G$3:$R$3=$F$1)*'目标填报'!$G$4:$R$1500))</f>
        <v/>
      </c>
      <c r="I137" s="39">
        <f>IF($B137="","",IFERROR(E137/H137,""))</f>
        <v/>
      </c>
      <c r="J137" s="38">
        <f>IF($B137="","",SUMPRODUCT(('系统实绩导入'!$B$4:$B$1500=$B137)*('系统实绩导入'!$C$4:$C$1500=$C137)*('系统实绩导入'!$D$4:$D$1500=$D137)*('系统实绩导入'!$F$4:$F$1500="实绩销售额")*('系统实绩导入'!$G$3:$R$3&lt;=$F$1)*'系统实绩导入'!$G$4:$R$1500))</f>
        <v/>
      </c>
      <c r="K137" s="38">
        <f>IF($B137="","",SUMPRODUCT(('系统实绩导入'!$B$4:$B$1500=$B137)*('系统实绩导入'!$C$4:$C$1500=$C137)*('系统实绩导入'!$D$4:$D$1500=$D137)*('系统实绩导入'!$F$4:$F$1500="实绩毛利")*('系统实绩导入'!$G$3:$R$3&lt;=$F$1)*'系统实绩导入'!$G$4:$R$1500))</f>
        <v/>
      </c>
      <c r="L137" s="39">
        <f>IF($B137="","",IFERROR(K137/J137,""))</f>
        <v/>
      </c>
      <c r="M137" s="38">
        <f>IF($B137="","",SUMIFS('目标填报'!$S$4:$S$1500,'目标填报'!$B$4:$B$1500,$B137,'目标填报'!$C$4:$C$1500,$C137,'目标填报'!$D$4:$D$1500,$D137,'目标填报'!$F$4:$F$1500,"销售目标额"))</f>
        <v/>
      </c>
      <c r="N137" s="39">
        <f>IF($B137="","",IFERROR(J137/M137,""))</f>
        <v/>
      </c>
      <c r="O137" s="40">
        <f>IF($B137="","",J137-M137)</f>
        <v/>
      </c>
      <c r="P137" s="38">
        <f>IF($B137="","",SUMPRODUCT(('目标填报'!$B$4:$B$1500=$B137)*('目标填报'!$C$4:$C$1500=$C137)*('目标填报'!$D$4:$D$1500=$D137)*('目标填报'!$F$4:$F$1500="在手订单")*('目标填报'!$G$3:$R$3=$F$1)*'目标填报'!$G$4:$R$1500))</f>
        <v/>
      </c>
      <c r="Q137" s="38">
        <f>IF($B137="","",SUMPRODUCT(('目标填报'!$B$4:$B$1500=$B137)*('目标填报'!$C$4:$C$1500=$C137)*('目标填报'!$D$4:$D$1500=$D137)*('目标填报'!$F$4:$F$1500="在手订单目标")*('目标填报'!$G$3:$R$3=$F$1)*'目标填报'!$G$4:$R$1500))</f>
        <v/>
      </c>
      <c r="R137" s="39">
        <f>IF($B137="","",IFERROR(P137/Q137,""))</f>
        <v/>
      </c>
      <c r="S137" s="38">
        <f>IF($B137="","",SUMPRODUCT(('目标填报'!$B$4:$B$1500=$B137)*('目标填报'!$C$4:$C$1500=$C137)*('目标填报'!$D$4:$D$1500=$D137)*('目标填报'!$F$4:$F$1500="目标客户机会")*('目标填报'!$G$3:$R$3=$F$1)*'目标填报'!$G$4:$R$1500))</f>
        <v/>
      </c>
      <c r="T137" s="38">
        <f>IF($B137="","",SUMPRODUCT(('目标填报'!$B$4:$B$1500=$B137)*('目标填报'!$C$4:$C$1500=$C137)*('目标填报'!$D$4:$D$1500=$D137)*('目标填报'!$F$4:$F$1500="目标客户机会目标")*('目标填报'!$G$3:$R$3=$F$1)*'目标填报'!$G$4:$R$1500))</f>
        <v/>
      </c>
      <c r="U137" s="39">
        <f>IF($B137="","",IFERROR(S137/T137,""))</f>
        <v/>
      </c>
      <c r="V137" s="38">
        <f>IF($B137="","",P137+S137)</f>
        <v/>
      </c>
      <c r="W137" s="38">
        <f>IF($B137="","",M137-J137)</f>
        <v/>
      </c>
      <c r="X137" s="39">
        <f>IF($B137="","",IFERROR(V137/W137,""))</f>
        <v/>
      </c>
      <c r="Y137" s="40">
        <f>IF($B137="","",V137-W137)</f>
        <v/>
      </c>
    </row>
    <row r="138">
      <c r="A138" s="37">
        <f>IF($B138="","",ROW()-3)</f>
        <v/>
      </c>
      <c r="B138" s="13">
        <f>IF(134+1&gt;COUNTA('维度字典'!$C$2:$C$200)*COUNTA('维度字典'!$A$2:$A$200)*COUNTA('维度字典'!$E$2:$E$200),"",INDEX('维度字典'!$C$2:$C$200,MOD(INT(134/(COUNTA('维度字典'!$E$2:$E$200)*COUNTA('维度字典'!$A$2:$A$200))),COUNTA('维度字典'!$C$2:$C$200))+1))</f>
        <v/>
      </c>
      <c r="C138" s="13">
        <f>IF($B138="","",INDEX('维度字典'!$A$2:$A$200,MOD(INT(134/COUNTA('维度字典'!$E$2:$E$200)),COUNTA('维度字典'!$A$2:$A$200))+1))</f>
        <v/>
      </c>
      <c r="D138" s="13">
        <f>IF($B138="","",INDEX('维度字典'!$E$2:$E$200,MOD(134,COUNTA('维度字典'!$E$2:$E$200))+1))</f>
        <v/>
      </c>
      <c r="E138" s="38">
        <f>IF($B138="","",SUMPRODUCT(('系统实绩导入'!$B$4:$B$1500=$B138)*('系统实绩导入'!$C$4:$C$1500=$C138)*('系统实绩导入'!$D$4:$D$1500=$D138)*('系统实绩导入'!$F$4:$F$1500="实绩销售额")*('系统实绩导入'!$G$3:$R$3=$F$1)*'系统实绩导入'!$G$4:$R$1500))</f>
        <v/>
      </c>
      <c r="F138" s="38">
        <f>IF($B138="","",SUMPRODUCT(('系统实绩导入'!$B$4:$B$1500=$B138)*('系统实绩导入'!$C$4:$C$1500=$C138)*('系统实绩导入'!$D$4:$D$1500=$D138)*('系统实绩导入'!$F$4:$F$1500="实绩毛利")*('系统实绩导入'!$G$3:$R$3=$F$1)*'系统实绩导入'!$G$4:$R$1500))</f>
        <v/>
      </c>
      <c r="G138" s="39">
        <f>IF($B138="","",IFERROR(F138/E138,""))</f>
        <v/>
      </c>
      <c r="H138" s="38">
        <f>IF($B138="","",SUMPRODUCT(('目标填报'!$B$4:$B$1500=$B138)*('目标填报'!$C$4:$C$1500=$C138)*('目标填报'!$D$4:$D$1500=$D138)*('目标填报'!$F$4:$F$1500="销售目标额")*('目标填报'!$G$3:$R$3=$F$1)*'目标填报'!$G$4:$R$1500))</f>
        <v/>
      </c>
      <c r="I138" s="39">
        <f>IF($B138="","",IFERROR(E138/H138,""))</f>
        <v/>
      </c>
      <c r="J138" s="38">
        <f>IF($B138="","",SUMPRODUCT(('系统实绩导入'!$B$4:$B$1500=$B138)*('系统实绩导入'!$C$4:$C$1500=$C138)*('系统实绩导入'!$D$4:$D$1500=$D138)*('系统实绩导入'!$F$4:$F$1500="实绩销售额")*('系统实绩导入'!$G$3:$R$3&lt;=$F$1)*'系统实绩导入'!$G$4:$R$1500))</f>
        <v/>
      </c>
      <c r="K138" s="38">
        <f>IF($B138="","",SUMPRODUCT(('系统实绩导入'!$B$4:$B$1500=$B138)*('系统实绩导入'!$C$4:$C$1500=$C138)*('系统实绩导入'!$D$4:$D$1500=$D138)*('系统实绩导入'!$F$4:$F$1500="实绩毛利")*('系统实绩导入'!$G$3:$R$3&lt;=$F$1)*'系统实绩导入'!$G$4:$R$1500))</f>
        <v/>
      </c>
      <c r="L138" s="39">
        <f>IF($B138="","",IFERROR(K138/J138,""))</f>
        <v/>
      </c>
      <c r="M138" s="38">
        <f>IF($B138="","",SUMIFS('目标填报'!$S$4:$S$1500,'目标填报'!$B$4:$B$1500,$B138,'目标填报'!$C$4:$C$1500,$C138,'目标填报'!$D$4:$D$1500,$D138,'目标填报'!$F$4:$F$1500,"销售目标额"))</f>
        <v/>
      </c>
      <c r="N138" s="39">
        <f>IF($B138="","",IFERROR(J138/M138,""))</f>
        <v/>
      </c>
      <c r="O138" s="40">
        <f>IF($B138="","",J138-M138)</f>
        <v/>
      </c>
      <c r="P138" s="38">
        <f>IF($B138="","",SUMPRODUCT(('目标填报'!$B$4:$B$1500=$B138)*('目标填报'!$C$4:$C$1500=$C138)*('目标填报'!$D$4:$D$1500=$D138)*('目标填报'!$F$4:$F$1500="在手订单")*('目标填报'!$G$3:$R$3=$F$1)*'目标填报'!$G$4:$R$1500))</f>
        <v/>
      </c>
      <c r="Q138" s="38">
        <f>IF($B138="","",SUMPRODUCT(('目标填报'!$B$4:$B$1500=$B138)*('目标填报'!$C$4:$C$1500=$C138)*('目标填报'!$D$4:$D$1500=$D138)*('目标填报'!$F$4:$F$1500="在手订单目标")*('目标填报'!$G$3:$R$3=$F$1)*'目标填报'!$G$4:$R$1500))</f>
        <v/>
      </c>
      <c r="R138" s="39">
        <f>IF($B138="","",IFERROR(P138/Q138,""))</f>
        <v/>
      </c>
      <c r="S138" s="38">
        <f>IF($B138="","",SUMPRODUCT(('目标填报'!$B$4:$B$1500=$B138)*('目标填报'!$C$4:$C$1500=$C138)*('目标填报'!$D$4:$D$1500=$D138)*('目标填报'!$F$4:$F$1500="目标客户机会")*('目标填报'!$G$3:$R$3=$F$1)*'目标填报'!$G$4:$R$1500))</f>
        <v/>
      </c>
      <c r="T138" s="38">
        <f>IF($B138="","",SUMPRODUCT(('目标填报'!$B$4:$B$1500=$B138)*('目标填报'!$C$4:$C$1500=$C138)*('目标填报'!$D$4:$D$1500=$D138)*('目标填报'!$F$4:$F$1500="目标客户机会目标")*('目标填报'!$G$3:$R$3=$F$1)*'目标填报'!$G$4:$R$1500))</f>
        <v/>
      </c>
      <c r="U138" s="39">
        <f>IF($B138="","",IFERROR(S138/T138,""))</f>
        <v/>
      </c>
      <c r="V138" s="38">
        <f>IF($B138="","",P138+S138)</f>
        <v/>
      </c>
      <c r="W138" s="38">
        <f>IF($B138="","",M138-J138)</f>
        <v/>
      </c>
      <c r="X138" s="39">
        <f>IF($B138="","",IFERROR(V138/W138,""))</f>
        <v/>
      </c>
      <c r="Y138" s="40">
        <f>IF($B138="","",V138-W138)</f>
        <v/>
      </c>
    </row>
    <row r="139">
      <c r="A139" s="37">
        <f>IF($B139="","",ROW()-3)</f>
        <v/>
      </c>
      <c r="B139" s="13">
        <f>IF(135+1&gt;COUNTA('维度字典'!$C$2:$C$200)*COUNTA('维度字典'!$A$2:$A$200)*COUNTA('维度字典'!$E$2:$E$200),"",INDEX('维度字典'!$C$2:$C$200,MOD(INT(135/(COUNTA('维度字典'!$E$2:$E$200)*COUNTA('维度字典'!$A$2:$A$200))),COUNTA('维度字典'!$C$2:$C$200))+1))</f>
        <v/>
      </c>
      <c r="C139" s="13">
        <f>IF($B139="","",INDEX('维度字典'!$A$2:$A$200,MOD(INT(135/COUNTA('维度字典'!$E$2:$E$200)),COUNTA('维度字典'!$A$2:$A$200))+1))</f>
        <v/>
      </c>
      <c r="D139" s="13">
        <f>IF($B139="","",INDEX('维度字典'!$E$2:$E$200,MOD(135,COUNTA('维度字典'!$E$2:$E$200))+1))</f>
        <v/>
      </c>
      <c r="E139" s="38">
        <f>IF($B139="","",SUMPRODUCT(('系统实绩导入'!$B$4:$B$1500=$B139)*('系统实绩导入'!$C$4:$C$1500=$C139)*('系统实绩导入'!$D$4:$D$1500=$D139)*('系统实绩导入'!$F$4:$F$1500="实绩销售额")*('系统实绩导入'!$G$3:$R$3=$F$1)*'系统实绩导入'!$G$4:$R$1500))</f>
        <v/>
      </c>
      <c r="F139" s="38">
        <f>IF($B139="","",SUMPRODUCT(('系统实绩导入'!$B$4:$B$1500=$B139)*('系统实绩导入'!$C$4:$C$1500=$C139)*('系统实绩导入'!$D$4:$D$1500=$D139)*('系统实绩导入'!$F$4:$F$1500="实绩毛利")*('系统实绩导入'!$G$3:$R$3=$F$1)*'系统实绩导入'!$G$4:$R$1500))</f>
        <v/>
      </c>
      <c r="G139" s="39">
        <f>IF($B139="","",IFERROR(F139/E139,""))</f>
        <v/>
      </c>
      <c r="H139" s="38">
        <f>IF($B139="","",SUMPRODUCT(('目标填报'!$B$4:$B$1500=$B139)*('目标填报'!$C$4:$C$1500=$C139)*('目标填报'!$D$4:$D$1500=$D139)*('目标填报'!$F$4:$F$1500="销售目标额")*('目标填报'!$G$3:$R$3=$F$1)*'目标填报'!$G$4:$R$1500))</f>
        <v/>
      </c>
      <c r="I139" s="39">
        <f>IF($B139="","",IFERROR(E139/H139,""))</f>
        <v/>
      </c>
      <c r="J139" s="38">
        <f>IF($B139="","",SUMPRODUCT(('系统实绩导入'!$B$4:$B$1500=$B139)*('系统实绩导入'!$C$4:$C$1500=$C139)*('系统实绩导入'!$D$4:$D$1500=$D139)*('系统实绩导入'!$F$4:$F$1500="实绩销售额")*('系统实绩导入'!$G$3:$R$3&lt;=$F$1)*'系统实绩导入'!$G$4:$R$1500))</f>
        <v/>
      </c>
      <c r="K139" s="38">
        <f>IF($B139="","",SUMPRODUCT(('系统实绩导入'!$B$4:$B$1500=$B139)*('系统实绩导入'!$C$4:$C$1500=$C139)*('系统实绩导入'!$D$4:$D$1500=$D139)*('系统实绩导入'!$F$4:$F$1500="实绩毛利")*('系统实绩导入'!$G$3:$R$3&lt;=$F$1)*'系统实绩导入'!$G$4:$R$1500))</f>
        <v/>
      </c>
      <c r="L139" s="39">
        <f>IF($B139="","",IFERROR(K139/J139,""))</f>
        <v/>
      </c>
      <c r="M139" s="38">
        <f>IF($B139="","",SUMIFS('目标填报'!$S$4:$S$1500,'目标填报'!$B$4:$B$1500,$B139,'目标填报'!$C$4:$C$1500,$C139,'目标填报'!$D$4:$D$1500,$D139,'目标填报'!$F$4:$F$1500,"销售目标额"))</f>
        <v/>
      </c>
      <c r="N139" s="39">
        <f>IF($B139="","",IFERROR(J139/M139,""))</f>
        <v/>
      </c>
      <c r="O139" s="40">
        <f>IF($B139="","",J139-M139)</f>
        <v/>
      </c>
      <c r="P139" s="38">
        <f>IF($B139="","",SUMPRODUCT(('目标填报'!$B$4:$B$1500=$B139)*('目标填报'!$C$4:$C$1500=$C139)*('目标填报'!$D$4:$D$1500=$D139)*('目标填报'!$F$4:$F$1500="在手订单")*('目标填报'!$G$3:$R$3=$F$1)*'目标填报'!$G$4:$R$1500))</f>
        <v/>
      </c>
      <c r="Q139" s="38">
        <f>IF($B139="","",SUMPRODUCT(('目标填报'!$B$4:$B$1500=$B139)*('目标填报'!$C$4:$C$1500=$C139)*('目标填报'!$D$4:$D$1500=$D139)*('目标填报'!$F$4:$F$1500="在手订单目标")*('目标填报'!$G$3:$R$3=$F$1)*'目标填报'!$G$4:$R$1500))</f>
        <v/>
      </c>
      <c r="R139" s="39">
        <f>IF($B139="","",IFERROR(P139/Q139,""))</f>
        <v/>
      </c>
      <c r="S139" s="38">
        <f>IF($B139="","",SUMPRODUCT(('目标填报'!$B$4:$B$1500=$B139)*('目标填报'!$C$4:$C$1500=$C139)*('目标填报'!$D$4:$D$1500=$D139)*('目标填报'!$F$4:$F$1500="目标客户机会")*('目标填报'!$G$3:$R$3=$F$1)*'目标填报'!$G$4:$R$1500))</f>
        <v/>
      </c>
      <c r="T139" s="38">
        <f>IF($B139="","",SUMPRODUCT(('目标填报'!$B$4:$B$1500=$B139)*('目标填报'!$C$4:$C$1500=$C139)*('目标填报'!$D$4:$D$1500=$D139)*('目标填报'!$F$4:$F$1500="目标客户机会目标")*('目标填报'!$G$3:$R$3=$F$1)*'目标填报'!$G$4:$R$1500))</f>
        <v/>
      </c>
      <c r="U139" s="39">
        <f>IF($B139="","",IFERROR(S139/T139,""))</f>
        <v/>
      </c>
      <c r="V139" s="38">
        <f>IF($B139="","",P139+S139)</f>
        <v/>
      </c>
      <c r="W139" s="38">
        <f>IF($B139="","",M139-J139)</f>
        <v/>
      </c>
      <c r="X139" s="39">
        <f>IF($B139="","",IFERROR(V139/W139,""))</f>
        <v/>
      </c>
      <c r="Y139" s="40">
        <f>IF($B139="","",V139-W139)</f>
        <v/>
      </c>
    </row>
    <row r="140">
      <c r="A140" s="37">
        <f>IF($B140="","",ROW()-3)</f>
        <v/>
      </c>
      <c r="B140" s="13">
        <f>IF(136+1&gt;COUNTA('维度字典'!$C$2:$C$200)*COUNTA('维度字典'!$A$2:$A$200)*COUNTA('维度字典'!$E$2:$E$200),"",INDEX('维度字典'!$C$2:$C$200,MOD(INT(136/(COUNTA('维度字典'!$E$2:$E$200)*COUNTA('维度字典'!$A$2:$A$200))),COUNTA('维度字典'!$C$2:$C$200))+1))</f>
        <v/>
      </c>
      <c r="C140" s="13">
        <f>IF($B140="","",INDEX('维度字典'!$A$2:$A$200,MOD(INT(136/COUNTA('维度字典'!$E$2:$E$200)),COUNTA('维度字典'!$A$2:$A$200))+1))</f>
        <v/>
      </c>
      <c r="D140" s="13">
        <f>IF($B140="","",INDEX('维度字典'!$E$2:$E$200,MOD(136,COUNTA('维度字典'!$E$2:$E$200))+1))</f>
        <v/>
      </c>
      <c r="E140" s="38">
        <f>IF($B140="","",SUMPRODUCT(('系统实绩导入'!$B$4:$B$1500=$B140)*('系统实绩导入'!$C$4:$C$1500=$C140)*('系统实绩导入'!$D$4:$D$1500=$D140)*('系统实绩导入'!$F$4:$F$1500="实绩销售额")*('系统实绩导入'!$G$3:$R$3=$F$1)*'系统实绩导入'!$G$4:$R$1500))</f>
        <v/>
      </c>
      <c r="F140" s="38">
        <f>IF($B140="","",SUMPRODUCT(('系统实绩导入'!$B$4:$B$1500=$B140)*('系统实绩导入'!$C$4:$C$1500=$C140)*('系统实绩导入'!$D$4:$D$1500=$D140)*('系统实绩导入'!$F$4:$F$1500="实绩毛利")*('系统实绩导入'!$G$3:$R$3=$F$1)*'系统实绩导入'!$G$4:$R$1500))</f>
        <v/>
      </c>
      <c r="G140" s="39">
        <f>IF($B140="","",IFERROR(F140/E140,""))</f>
        <v/>
      </c>
      <c r="H140" s="38">
        <f>IF($B140="","",SUMPRODUCT(('目标填报'!$B$4:$B$1500=$B140)*('目标填报'!$C$4:$C$1500=$C140)*('目标填报'!$D$4:$D$1500=$D140)*('目标填报'!$F$4:$F$1500="销售目标额")*('目标填报'!$G$3:$R$3=$F$1)*'目标填报'!$G$4:$R$1500))</f>
        <v/>
      </c>
      <c r="I140" s="39">
        <f>IF($B140="","",IFERROR(E140/H140,""))</f>
        <v/>
      </c>
      <c r="J140" s="38">
        <f>IF($B140="","",SUMPRODUCT(('系统实绩导入'!$B$4:$B$1500=$B140)*('系统实绩导入'!$C$4:$C$1500=$C140)*('系统实绩导入'!$D$4:$D$1500=$D140)*('系统实绩导入'!$F$4:$F$1500="实绩销售额")*('系统实绩导入'!$G$3:$R$3&lt;=$F$1)*'系统实绩导入'!$G$4:$R$1500))</f>
        <v/>
      </c>
      <c r="K140" s="38">
        <f>IF($B140="","",SUMPRODUCT(('系统实绩导入'!$B$4:$B$1500=$B140)*('系统实绩导入'!$C$4:$C$1500=$C140)*('系统实绩导入'!$D$4:$D$1500=$D140)*('系统实绩导入'!$F$4:$F$1500="实绩毛利")*('系统实绩导入'!$G$3:$R$3&lt;=$F$1)*'系统实绩导入'!$G$4:$R$1500))</f>
        <v/>
      </c>
      <c r="L140" s="39">
        <f>IF($B140="","",IFERROR(K140/J140,""))</f>
        <v/>
      </c>
      <c r="M140" s="38">
        <f>IF($B140="","",SUMIFS('目标填报'!$S$4:$S$1500,'目标填报'!$B$4:$B$1500,$B140,'目标填报'!$C$4:$C$1500,$C140,'目标填报'!$D$4:$D$1500,$D140,'目标填报'!$F$4:$F$1500,"销售目标额"))</f>
        <v/>
      </c>
      <c r="N140" s="39">
        <f>IF($B140="","",IFERROR(J140/M140,""))</f>
        <v/>
      </c>
      <c r="O140" s="40">
        <f>IF($B140="","",J140-M140)</f>
        <v/>
      </c>
      <c r="P140" s="38">
        <f>IF($B140="","",SUMPRODUCT(('目标填报'!$B$4:$B$1500=$B140)*('目标填报'!$C$4:$C$1500=$C140)*('目标填报'!$D$4:$D$1500=$D140)*('目标填报'!$F$4:$F$1500="在手订单")*('目标填报'!$G$3:$R$3=$F$1)*'目标填报'!$G$4:$R$1500))</f>
        <v/>
      </c>
      <c r="Q140" s="38">
        <f>IF($B140="","",SUMPRODUCT(('目标填报'!$B$4:$B$1500=$B140)*('目标填报'!$C$4:$C$1500=$C140)*('目标填报'!$D$4:$D$1500=$D140)*('目标填报'!$F$4:$F$1500="在手订单目标")*('目标填报'!$G$3:$R$3=$F$1)*'目标填报'!$G$4:$R$1500))</f>
        <v/>
      </c>
      <c r="R140" s="39">
        <f>IF($B140="","",IFERROR(P140/Q140,""))</f>
        <v/>
      </c>
      <c r="S140" s="38">
        <f>IF($B140="","",SUMPRODUCT(('目标填报'!$B$4:$B$1500=$B140)*('目标填报'!$C$4:$C$1500=$C140)*('目标填报'!$D$4:$D$1500=$D140)*('目标填报'!$F$4:$F$1500="目标客户机会")*('目标填报'!$G$3:$R$3=$F$1)*'目标填报'!$G$4:$R$1500))</f>
        <v/>
      </c>
      <c r="T140" s="38">
        <f>IF($B140="","",SUMPRODUCT(('目标填报'!$B$4:$B$1500=$B140)*('目标填报'!$C$4:$C$1500=$C140)*('目标填报'!$D$4:$D$1500=$D140)*('目标填报'!$F$4:$F$1500="目标客户机会目标")*('目标填报'!$G$3:$R$3=$F$1)*'目标填报'!$G$4:$R$1500))</f>
        <v/>
      </c>
      <c r="U140" s="39">
        <f>IF($B140="","",IFERROR(S140/T140,""))</f>
        <v/>
      </c>
      <c r="V140" s="38">
        <f>IF($B140="","",P140+S140)</f>
        <v/>
      </c>
      <c r="W140" s="38">
        <f>IF($B140="","",M140-J140)</f>
        <v/>
      </c>
      <c r="X140" s="39">
        <f>IF($B140="","",IFERROR(V140/W140,""))</f>
        <v/>
      </c>
      <c r="Y140" s="40">
        <f>IF($B140="","",V140-W140)</f>
        <v/>
      </c>
    </row>
    <row r="141">
      <c r="A141" s="37">
        <f>IF($B141="","",ROW()-3)</f>
        <v/>
      </c>
      <c r="B141" s="13">
        <f>IF(137+1&gt;COUNTA('维度字典'!$C$2:$C$200)*COUNTA('维度字典'!$A$2:$A$200)*COUNTA('维度字典'!$E$2:$E$200),"",INDEX('维度字典'!$C$2:$C$200,MOD(INT(137/(COUNTA('维度字典'!$E$2:$E$200)*COUNTA('维度字典'!$A$2:$A$200))),COUNTA('维度字典'!$C$2:$C$200))+1))</f>
        <v/>
      </c>
      <c r="C141" s="13">
        <f>IF($B141="","",INDEX('维度字典'!$A$2:$A$200,MOD(INT(137/COUNTA('维度字典'!$E$2:$E$200)),COUNTA('维度字典'!$A$2:$A$200))+1))</f>
        <v/>
      </c>
      <c r="D141" s="13">
        <f>IF($B141="","",INDEX('维度字典'!$E$2:$E$200,MOD(137,COUNTA('维度字典'!$E$2:$E$200))+1))</f>
        <v/>
      </c>
      <c r="E141" s="38">
        <f>IF($B141="","",SUMPRODUCT(('系统实绩导入'!$B$4:$B$1500=$B141)*('系统实绩导入'!$C$4:$C$1500=$C141)*('系统实绩导入'!$D$4:$D$1500=$D141)*('系统实绩导入'!$F$4:$F$1500="实绩销售额")*('系统实绩导入'!$G$3:$R$3=$F$1)*'系统实绩导入'!$G$4:$R$1500))</f>
        <v/>
      </c>
      <c r="F141" s="38">
        <f>IF($B141="","",SUMPRODUCT(('系统实绩导入'!$B$4:$B$1500=$B141)*('系统实绩导入'!$C$4:$C$1500=$C141)*('系统实绩导入'!$D$4:$D$1500=$D141)*('系统实绩导入'!$F$4:$F$1500="实绩毛利")*('系统实绩导入'!$G$3:$R$3=$F$1)*'系统实绩导入'!$G$4:$R$1500))</f>
        <v/>
      </c>
      <c r="G141" s="39">
        <f>IF($B141="","",IFERROR(F141/E141,""))</f>
        <v/>
      </c>
      <c r="H141" s="38">
        <f>IF($B141="","",SUMPRODUCT(('目标填报'!$B$4:$B$1500=$B141)*('目标填报'!$C$4:$C$1500=$C141)*('目标填报'!$D$4:$D$1500=$D141)*('目标填报'!$F$4:$F$1500="销售目标额")*('目标填报'!$G$3:$R$3=$F$1)*'目标填报'!$G$4:$R$1500))</f>
        <v/>
      </c>
      <c r="I141" s="39">
        <f>IF($B141="","",IFERROR(E141/H141,""))</f>
        <v/>
      </c>
      <c r="J141" s="38">
        <f>IF($B141="","",SUMPRODUCT(('系统实绩导入'!$B$4:$B$1500=$B141)*('系统实绩导入'!$C$4:$C$1500=$C141)*('系统实绩导入'!$D$4:$D$1500=$D141)*('系统实绩导入'!$F$4:$F$1500="实绩销售额")*('系统实绩导入'!$G$3:$R$3&lt;=$F$1)*'系统实绩导入'!$G$4:$R$1500))</f>
        <v/>
      </c>
      <c r="K141" s="38">
        <f>IF($B141="","",SUMPRODUCT(('系统实绩导入'!$B$4:$B$1500=$B141)*('系统实绩导入'!$C$4:$C$1500=$C141)*('系统实绩导入'!$D$4:$D$1500=$D141)*('系统实绩导入'!$F$4:$F$1500="实绩毛利")*('系统实绩导入'!$G$3:$R$3&lt;=$F$1)*'系统实绩导入'!$G$4:$R$1500))</f>
        <v/>
      </c>
      <c r="L141" s="39">
        <f>IF($B141="","",IFERROR(K141/J141,""))</f>
        <v/>
      </c>
      <c r="M141" s="38">
        <f>IF($B141="","",SUMIFS('目标填报'!$S$4:$S$1500,'目标填报'!$B$4:$B$1500,$B141,'目标填报'!$C$4:$C$1500,$C141,'目标填报'!$D$4:$D$1500,$D141,'目标填报'!$F$4:$F$1500,"销售目标额"))</f>
        <v/>
      </c>
      <c r="N141" s="39">
        <f>IF($B141="","",IFERROR(J141/M141,""))</f>
        <v/>
      </c>
      <c r="O141" s="40">
        <f>IF($B141="","",J141-M141)</f>
        <v/>
      </c>
      <c r="P141" s="38">
        <f>IF($B141="","",SUMPRODUCT(('目标填报'!$B$4:$B$1500=$B141)*('目标填报'!$C$4:$C$1500=$C141)*('目标填报'!$D$4:$D$1500=$D141)*('目标填报'!$F$4:$F$1500="在手订单")*('目标填报'!$G$3:$R$3=$F$1)*'目标填报'!$G$4:$R$1500))</f>
        <v/>
      </c>
      <c r="Q141" s="38">
        <f>IF($B141="","",SUMPRODUCT(('目标填报'!$B$4:$B$1500=$B141)*('目标填报'!$C$4:$C$1500=$C141)*('目标填报'!$D$4:$D$1500=$D141)*('目标填报'!$F$4:$F$1500="在手订单目标")*('目标填报'!$G$3:$R$3=$F$1)*'目标填报'!$G$4:$R$1500))</f>
        <v/>
      </c>
      <c r="R141" s="39">
        <f>IF($B141="","",IFERROR(P141/Q141,""))</f>
        <v/>
      </c>
      <c r="S141" s="38">
        <f>IF($B141="","",SUMPRODUCT(('目标填报'!$B$4:$B$1500=$B141)*('目标填报'!$C$4:$C$1500=$C141)*('目标填报'!$D$4:$D$1500=$D141)*('目标填报'!$F$4:$F$1500="目标客户机会")*('目标填报'!$G$3:$R$3=$F$1)*'目标填报'!$G$4:$R$1500))</f>
        <v/>
      </c>
      <c r="T141" s="38">
        <f>IF($B141="","",SUMPRODUCT(('目标填报'!$B$4:$B$1500=$B141)*('目标填报'!$C$4:$C$1500=$C141)*('目标填报'!$D$4:$D$1500=$D141)*('目标填报'!$F$4:$F$1500="目标客户机会目标")*('目标填报'!$G$3:$R$3=$F$1)*'目标填报'!$G$4:$R$1500))</f>
        <v/>
      </c>
      <c r="U141" s="39">
        <f>IF($B141="","",IFERROR(S141/T141,""))</f>
        <v/>
      </c>
      <c r="V141" s="38">
        <f>IF($B141="","",P141+S141)</f>
        <v/>
      </c>
      <c r="W141" s="38">
        <f>IF($B141="","",M141-J141)</f>
        <v/>
      </c>
      <c r="X141" s="39">
        <f>IF($B141="","",IFERROR(V141/W141,""))</f>
        <v/>
      </c>
      <c r="Y141" s="40">
        <f>IF($B141="","",V141-W141)</f>
        <v/>
      </c>
    </row>
    <row r="142">
      <c r="A142" s="37">
        <f>IF($B142="","",ROW()-3)</f>
        <v/>
      </c>
      <c r="B142" s="13">
        <f>IF(138+1&gt;COUNTA('维度字典'!$C$2:$C$200)*COUNTA('维度字典'!$A$2:$A$200)*COUNTA('维度字典'!$E$2:$E$200),"",INDEX('维度字典'!$C$2:$C$200,MOD(INT(138/(COUNTA('维度字典'!$E$2:$E$200)*COUNTA('维度字典'!$A$2:$A$200))),COUNTA('维度字典'!$C$2:$C$200))+1))</f>
        <v/>
      </c>
      <c r="C142" s="13">
        <f>IF($B142="","",INDEX('维度字典'!$A$2:$A$200,MOD(INT(138/COUNTA('维度字典'!$E$2:$E$200)),COUNTA('维度字典'!$A$2:$A$200))+1))</f>
        <v/>
      </c>
      <c r="D142" s="13">
        <f>IF($B142="","",INDEX('维度字典'!$E$2:$E$200,MOD(138,COUNTA('维度字典'!$E$2:$E$200))+1))</f>
        <v/>
      </c>
      <c r="E142" s="38">
        <f>IF($B142="","",SUMPRODUCT(('系统实绩导入'!$B$4:$B$1500=$B142)*('系统实绩导入'!$C$4:$C$1500=$C142)*('系统实绩导入'!$D$4:$D$1500=$D142)*('系统实绩导入'!$F$4:$F$1500="实绩销售额")*('系统实绩导入'!$G$3:$R$3=$F$1)*'系统实绩导入'!$G$4:$R$1500))</f>
        <v/>
      </c>
      <c r="F142" s="38">
        <f>IF($B142="","",SUMPRODUCT(('系统实绩导入'!$B$4:$B$1500=$B142)*('系统实绩导入'!$C$4:$C$1500=$C142)*('系统实绩导入'!$D$4:$D$1500=$D142)*('系统实绩导入'!$F$4:$F$1500="实绩毛利")*('系统实绩导入'!$G$3:$R$3=$F$1)*'系统实绩导入'!$G$4:$R$1500))</f>
        <v/>
      </c>
      <c r="G142" s="39">
        <f>IF($B142="","",IFERROR(F142/E142,""))</f>
        <v/>
      </c>
      <c r="H142" s="38">
        <f>IF($B142="","",SUMPRODUCT(('目标填报'!$B$4:$B$1500=$B142)*('目标填报'!$C$4:$C$1500=$C142)*('目标填报'!$D$4:$D$1500=$D142)*('目标填报'!$F$4:$F$1500="销售目标额")*('目标填报'!$G$3:$R$3=$F$1)*'目标填报'!$G$4:$R$1500))</f>
        <v/>
      </c>
      <c r="I142" s="39">
        <f>IF($B142="","",IFERROR(E142/H142,""))</f>
        <v/>
      </c>
      <c r="J142" s="38">
        <f>IF($B142="","",SUMPRODUCT(('系统实绩导入'!$B$4:$B$1500=$B142)*('系统实绩导入'!$C$4:$C$1500=$C142)*('系统实绩导入'!$D$4:$D$1500=$D142)*('系统实绩导入'!$F$4:$F$1500="实绩销售额")*('系统实绩导入'!$G$3:$R$3&lt;=$F$1)*'系统实绩导入'!$G$4:$R$1500))</f>
        <v/>
      </c>
      <c r="K142" s="38">
        <f>IF($B142="","",SUMPRODUCT(('系统实绩导入'!$B$4:$B$1500=$B142)*('系统实绩导入'!$C$4:$C$1500=$C142)*('系统实绩导入'!$D$4:$D$1500=$D142)*('系统实绩导入'!$F$4:$F$1500="实绩毛利")*('系统实绩导入'!$G$3:$R$3&lt;=$F$1)*'系统实绩导入'!$G$4:$R$1500))</f>
        <v/>
      </c>
      <c r="L142" s="39">
        <f>IF($B142="","",IFERROR(K142/J142,""))</f>
        <v/>
      </c>
      <c r="M142" s="38">
        <f>IF($B142="","",SUMIFS('目标填报'!$S$4:$S$1500,'目标填报'!$B$4:$B$1500,$B142,'目标填报'!$C$4:$C$1500,$C142,'目标填报'!$D$4:$D$1500,$D142,'目标填报'!$F$4:$F$1500,"销售目标额"))</f>
        <v/>
      </c>
      <c r="N142" s="39">
        <f>IF($B142="","",IFERROR(J142/M142,""))</f>
        <v/>
      </c>
      <c r="O142" s="40">
        <f>IF($B142="","",J142-M142)</f>
        <v/>
      </c>
      <c r="P142" s="38">
        <f>IF($B142="","",SUMPRODUCT(('目标填报'!$B$4:$B$1500=$B142)*('目标填报'!$C$4:$C$1500=$C142)*('目标填报'!$D$4:$D$1500=$D142)*('目标填报'!$F$4:$F$1500="在手订单")*('目标填报'!$G$3:$R$3=$F$1)*'目标填报'!$G$4:$R$1500))</f>
        <v/>
      </c>
      <c r="Q142" s="38">
        <f>IF($B142="","",SUMPRODUCT(('目标填报'!$B$4:$B$1500=$B142)*('目标填报'!$C$4:$C$1500=$C142)*('目标填报'!$D$4:$D$1500=$D142)*('目标填报'!$F$4:$F$1500="在手订单目标")*('目标填报'!$G$3:$R$3=$F$1)*'目标填报'!$G$4:$R$1500))</f>
        <v/>
      </c>
      <c r="R142" s="39">
        <f>IF($B142="","",IFERROR(P142/Q142,""))</f>
        <v/>
      </c>
      <c r="S142" s="38">
        <f>IF($B142="","",SUMPRODUCT(('目标填报'!$B$4:$B$1500=$B142)*('目标填报'!$C$4:$C$1500=$C142)*('目标填报'!$D$4:$D$1500=$D142)*('目标填报'!$F$4:$F$1500="目标客户机会")*('目标填报'!$G$3:$R$3=$F$1)*'目标填报'!$G$4:$R$1500))</f>
        <v/>
      </c>
      <c r="T142" s="38">
        <f>IF($B142="","",SUMPRODUCT(('目标填报'!$B$4:$B$1500=$B142)*('目标填报'!$C$4:$C$1500=$C142)*('目标填报'!$D$4:$D$1500=$D142)*('目标填报'!$F$4:$F$1500="目标客户机会目标")*('目标填报'!$G$3:$R$3=$F$1)*'目标填报'!$G$4:$R$1500))</f>
        <v/>
      </c>
      <c r="U142" s="39">
        <f>IF($B142="","",IFERROR(S142/T142,""))</f>
        <v/>
      </c>
      <c r="V142" s="38">
        <f>IF($B142="","",P142+S142)</f>
        <v/>
      </c>
      <c r="W142" s="38">
        <f>IF($B142="","",M142-J142)</f>
        <v/>
      </c>
      <c r="X142" s="39">
        <f>IF($B142="","",IFERROR(V142/W142,""))</f>
        <v/>
      </c>
      <c r="Y142" s="40">
        <f>IF($B142="","",V142-W142)</f>
        <v/>
      </c>
    </row>
    <row r="143">
      <c r="A143" s="37">
        <f>IF($B143="","",ROW()-3)</f>
        <v/>
      </c>
      <c r="B143" s="13">
        <f>IF(139+1&gt;COUNTA('维度字典'!$C$2:$C$200)*COUNTA('维度字典'!$A$2:$A$200)*COUNTA('维度字典'!$E$2:$E$200),"",INDEX('维度字典'!$C$2:$C$200,MOD(INT(139/(COUNTA('维度字典'!$E$2:$E$200)*COUNTA('维度字典'!$A$2:$A$200))),COUNTA('维度字典'!$C$2:$C$200))+1))</f>
        <v/>
      </c>
      <c r="C143" s="13">
        <f>IF($B143="","",INDEX('维度字典'!$A$2:$A$200,MOD(INT(139/COUNTA('维度字典'!$E$2:$E$200)),COUNTA('维度字典'!$A$2:$A$200))+1))</f>
        <v/>
      </c>
      <c r="D143" s="13">
        <f>IF($B143="","",INDEX('维度字典'!$E$2:$E$200,MOD(139,COUNTA('维度字典'!$E$2:$E$200))+1))</f>
        <v/>
      </c>
      <c r="E143" s="38">
        <f>IF($B143="","",SUMPRODUCT(('系统实绩导入'!$B$4:$B$1500=$B143)*('系统实绩导入'!$C$4:$C$1500=$C143)*('系统实绩导入'!$D$4:$D$1500=$D143)*('系统实绩导入'!$F$4:$F$1500="实绩销售额")*('系统实绩导入'!$G$3:$R$3=$F$1)*'系统实绩导入'!$G$4:$R$1500))</f>
        <v/>
      </c>
      <c r="F143" s="38">
        <f>IF($B143="","",SUMPRODUCT(('系统实绩导入'!$B$4:$B$1500=$B143)*('系统实绩导入'!$C$4:$C$1500=$C143)*('系统实绩导入'!$D$4:$D$1500=$D143)*('系统实绩导入'!$F$4:$F$1500="实绩毛利")*('系统实绩导入'!$G$3:$R$3=$F$1)*'系统实绩导入'!$G$4:$R$1500))</f>
        <v/>
      </c>
      <c r="G143" s="39">
        <f>IF($B143="","",IFERROR(F143/E143,""))</f>
        <v/>
      </c>
      <c r="H143" s="38">
        <f>IF($B143="","",SUMPRODUCT(('目标填报'!$B$4:$B$1500=$B143)*('目标填报'!$C$4:$C$1500=$C143)*('目标填报'!$D$4:$D$1500=$D143)*('目标填报'!$F$4:$F$1500="销售目标额")*('目标填报'!$G$3:$R$3=$F$1)*'目标填报'!$G$4:$R$1500))</f>
        <v/>
      </c>
      <c r="I143" s="39">
        <f>IF($B143="","",IFERROR(E143/H143,""))</f>
        <v/>
      </c>
      <c r="J143" s="38">
        <f>IF($B143="","",SUMPRODUCT(('系统实绩导入'!$B$4:$B$1500=$B143)*('系统实绩导入'!$C$4:$C$1500=$C143)*('系统实绩导入'!$D$4:$D$1500=$D143)*('系统实绩导入'!$F$4:$F$1500="实绩销售额")*('系统实绩导入'!$G$3:$R$3&lt;=$F$1)*'系统实绩导入'!$G$4:$R$1500))</f>
        <v/>
      </c>
      <c r="K143" s="38">
        <f>IF($B143="","",SUMPRODUCT(('系统实绩导入'!$B$4:$B$1500=$B143)*('系统实绩导入'!$C$4:$C$1500=$C143)*('系统实绩导入'!$D$4:$D$1500=$D143)*('系统实绩导入'!$F$4:$F$1500="实绩毛利")*('系统实绩导入'!$G$3:$R$3&lt;=$F$1)*'系统实绩导入'!$G$4:$R$1500))</f>
        <v/>
      </c>
      <c r="L143" s="39">
        <f>IF($B143="","",IFERROR(K143/J143,""))</f>
        <v/>
      </c>
      <c r="M143" s="38">
        <f>IF($B143="","",SUMIFS('目标填报'!$S$4:$S$1500,'目标填报'!$B$4:$B$1500,$B143,'目标填报'!$C$4:$C$1500,$C143,'目标填报'!$D$4:$D$1500,$D143,'目标填报'!$F$4:$F$1500,"销售目标额"))</f>
        <v/>
      </c>
      <c r="N143" s="39">
        <f>IF($B143="","",IFERROR(J143/M143,""))</f>
        <v/>
      </c>
      <c r="O143" s="40">
        <f>IF($B143="","",J143-M143)</f>
        <v/>
      </c>
      <c r="P143" s="38">
        <f>IF($B143="","",SUMPRODUCT(('目标填报'!$B$4:$B$1500=$B143)*('目标填报'!$C$4:$C$1500=$C143)*('目标填报'!$D$4:$D$1500=$D143)*('目标填报'!$F$4:$F$1500="在手订单")*('目标填报'!$G$3:$R$3=$F$1)*'目标填报'!$G$4:$R$1500))</f>
        <v/>
      </c>
      <c r="Q143" s="38">
        <f>IF($B143="","",SUMPRODUCT(('目标填报'!$B$4:$B$1500=$B143)*('目标填报'!$C$4:$C$1500=$C143)*('目标填报'!$D$4:$D$1500=$D143)*('目标填报'!$F$4:$F$1500="在手订单目标")*('目标填报'!$G$3:$R$3=$F$1)*'目标填报'!$G$4:$R$1500))</f>
        <v/>
      </c>
      <c r="R143" s="39">
        <f>IF($B143="","",IFERROR(P143/Q143,""))</f>
        <v/>
      </c>
      <c r="S143" s="38">
        <f>IF($B143="","",SUMPRODUCT(('目标填报'!$B$4:$B$1500=$B143)*('目标填报'!$C$4:$C$1500=$C143)*('目标填报'!$D$4:$D$1500=$D143)*('目标填报'!$F$4:$F$1500="目标客户机会")*('目标填报'!$G$3:$R$3=$F$1)*'目标填报'!$G$4:$R$1500))</f>
        <v/>
      </c>
      <c r="T143" s="38">
        <f>IF($B143="","",SUMPRODUCT(('目标填报'!$B$4:$B$1500=$B143)*('目标填报'!$C$4:$C$1500=$C143)*('目标填报'!$D$4:$D$1500=$D143)*('目标填报'!$F$4:$F$1500="目标客户机会目标")*('目标填报'!$G$3:$R$3=$F$1)*'目标填报'!$G$4:$R$1500))</f>
        <v/>
      </c>
      <c r="U143" s="39">
        <f>IF($B143="","",IFERROR(S143/T143,""))</f>
        <v/>
      </c>
      <c r="V143" s="38">
        <f>IF($B143="","",P143+S143)</f>
        <v/>
      </c>
      <c r="W143" s="38">
        <f>IF($B143="","",M143-J143)</f>
        <v/>
      </c>
      <c r="X143" s="39">
        <f>IF($B143="","",IFERROR(V143/W143,""))</f>
        <v/>
      </c>
      <c r="Y143" s="40">
        <f>IF($B143="","",V143-W143)</f>
        <v/>
      </c>
    </row>
    <row r="144">
      <c r="A144" s="37">
        <f>IF($B144="","",ROW()-3)</f>
        <v/>
      </c>
      <c r="B144" s="13">
        <f>IF(140+1&gt;COUNTA('维度字典'!$C$2:$C$200)*COUNTA('维度字典'!$A$2:$A$200)*COUNTA('维度字典'!$E$2:$E$200),"",INDEX('维度字典'!$C$2:$C$200,MOD(INT(140/(COUNTA('维度字典'!$E$2:$E$200)*COUNTA('维度字典'!$A$2:$A$200))),COUNTA('维度字典'!$C$2:$C$200))+1))</f>
        <v/>
      </c>
      <c r="C144" s="13">
        <f>IF($B144="","",INDEX('维度字典'!$A$2:$A$200,MOD(INT(140/COUNTA('维度字典'!$E$2:$E$200)),COUNTA('维度字典'!$A$2:$A$200))+1))</f>
        <v/>
      </c>
      <c r="D144" s="13">
        <f>IF($B144="","",INDEX('维度字典'!$E$2:$E$200,MOD(140,COUNTA('维度字典'!$E$2:$E$200))+1))</f>
        <v/>
      </c>
      <c r="E144" s="38">
        <f>IF($B144="","",SUMPRODUCT(('系统实绩导入'!$B$4:$B$1500=$B144)*('系统实绩导入'!$C$4:$C$1500=$C144)*('系统实绩导入'!$D$4:$D$1500=$D144)*('系统实绩导入'!$F$4:$F$1500="实绩销售额")*('系统实绩导入'!$G$3:$R$3=$F$1)*'系统实绩导入'!$G$4:$R$1500))</f>
        <v/>
      </c>
      <c r="F144" s="38">
        <f>IF($B144="","",SUMPRODUCT(('系统实绩导入'!$B$4:$B$1500=$B144)*('系统实绩导入'!$C$4:$C$1500=$C144)*('系统实绩导入'!$D$4:$D$1500=$D144)*('系统实绩导入'!$F$4:$F$1500="实绩毛利")*('系统实绩导入'!$G$3:$R$3=$F$1)*'系统实绩导入'!$G$4:$R$1500))</f>
        <v/>
      </c>
      <c r="G144" s="39">
        <f>IF($B144="","",IFERROR(F144/E144,""))</f>
        <v/>
      </c>
      <c r="H144" s="38">
        <f>IF($B144="","",SUMPRODUCT(('目标填报'!$B$4:$B$1500=$B144)*('目标填报'!$C$4:$C$1500=$C144)*('目标填报'!$D$4:$D$1500=$D144)*('目标填报'!$F$4:$F$1500="销售目标额")*('目标填报'!$G$3:$R$3=$F$1)*'目标填报'!$G$4:$R$1500))</f>
        <v/>
      </c>
      <c r="I144" s="39">
        <f>IF($B144="","",IFERROR(E144/H144,""))</f>
        <v/>
      </c>
      <c r="J144" s="38">
        <f>IF($B144="","",SUMPRODUCT(('系统实绩导入'!$B$4:$B$1500=$B144)*('系统实绩导入'!$C$4:$C$1500=$C144)*('系统实绩导入'!$D$4:$D$1500=$D144)*('系统实绩导入'!$F$4:$F$1500="实绩销售额")*('系统实绩导入'!$G$3:$R$3&lt;=$F$1)*'系统实绩导入'!$G$4:$R$1500))</f>
        <v/>
      </c>
      <c r="K144" s="38">
        <f>IF($B144="","",SUMPRODUCT(('系统实绩导入'!$B$4:$B$1500=$B144)*('系统实绩导入'!$C$4:$C$1500=$C144)*('系统实绩导入'!$D$4:$D$1500=$D144)*('系统实绩导入'!$F$4:$F$1500="实绩毛利")*('系统实绩导入'!$G$3:$R$3&lt;=$F$1)*'系统实绩导入'!$G$4:$R$1500))</f>
        <v/>
      </c>
      <c r="L144" s="39">
        <f>IF($B144="","",IFERROR(K144/J144,""))</f>
        <v/>
      </c>
      <c r="M144" s="38">
        <f>IF($B144="","",SUMIFS('目标填报'!$S$4:$S$1500,'目标填报'!$B$4:$B$1500,$B144,'目标填报'!$C$4:$C$1500,$C144,'目标填报'!$D$4:$D$1500,$D144,'目标填报'!$F$4:$F$1500,"销售目标额"))</f>
        <v/>
      </c>
      <c r="N144" s="39">
        <f>IF($B144="","",IFERROR(J144/M144,""))</f>
        <v/>
      </c>
      <c r="O144" s="40">
        <f>IF($B144="","",J144-M144)</f>
        <v/>
      </c>
      <c r="P144" s="38">
        <f>IF($B144="","",SUMPRODUCT(('目标填报'!$B$4:$B$1500=$B144)*('目标填报'!$C$4:$C$1500=$C144)*('目标填报'!$D$4:$D$1500=$D144)*('目标填报'!$F$4:$F$1500="在手订单")*('目标填报'!$G$3:$R$3=$F$1)*'目标填报'!$G$4:$R$1500))</f>
        <v/>
      </c>
      <c r="Q144" s="38">
        <f>IF($B144="","",SUMPRODUCT(('目标填报'!$B$4:$B$1500=$B144)*('目标填报'!$C$4:$C$1500=$C144)*('目标填报'!$D$4:$D$1500=$D144)*('目标填报'!$F$4:$F$1500="在手订单目标")*('目标填报'!$G$3:$R$3=$F$1)*'目标填报'!$G$4:$R$1500))</f>
        <v/>
      </c>
      <c r="R144" s="39">
        <f>IF($B144="","",IFERROR(P144/Q144,""))</f>
        <v/>
      </c>
      <c r="S144" s="38">
        <f>IF($B144="","",SUMPRODUCT(('目标填报'!$B$4:$B$1500=$B144)*('目标填报'!$C$4:$C$1500=$C144)*('目标填报'!$D$4:$D$1500=$D144)*('目标填报'!$F$4:$F$1500="目标客户机会")*('目标填报'!$G$3:$R$3=$F$1)*'目标填报'!$G$4:$R$1500))</f>
        <v/>
      </c>
      <c r="T144" s="38">
        <f>IF($B144="","",SUMPRODUCT(('目标填报'!$B$4:$B$1500=$B144)*('目标填报'!$C$4:$C$1500=$C144)*('目标填报'!$D$4:$D$1500=$D144)*('目标填报'!$F$4:$F$1500="目标客户机会目标")*('目标填报'!$G$3:$R$3=$F$1)*'目标填报'!$G$4:$R$1500))</f>
        <v/>
      </c>
      <c r="U144" s="39">
        <f>IF($B144="","",IFERROR(S144/T144,""))</f>
        <v/>
      </c>
      <c r="V144" s="38">
        <f>IF($B144="","",P144+S144)</f>
        <v/>
      </c>
      <c r="W144" s="38">
        <f>IF($B144="","",M144-J144)</f>
        <v/>
      </c>
      <c r="X144" s="39">
        <f>IF($B144="","",IFERROR(V144/W144,""))</f>
        <v/>
      </c>
      <c r="Y144" s="40">
        <f>IF($B144="","",V144-W144)</f>
        <v/>
      </c>
    </row>
    <row r="145">
      <c r="A145" s="37">
        <f>IF($B145="","",ROW()-3)</f>
        <v/>
      </c>
      <c r="B145" s="13">
        <f>IF(141+1&gt;COUNTA('维度字典'!$C$2:$C$200)*COUNTA('维度字典'!$A$2:$A$200)*COUNTA('维度字典'!$E$2:$E$200),"",INDEX('维度字典'!$C$2:$C$200,MOD(INT(141/(COUNTA('维度字典'!$E$2:$E$200)*COUNTA('维度字典'!$A$2:$A$200))),COUNTA('维度字典'!$C$2:$C$200))+1))</f>
        <v/>
      </c>
      <c r="C145" s="13">
        <f>IF($B145="","",INDEX('维度字典'!$A$2:$A$200,MOD(INT(141/COUNTA('维度字典'!$E$2:$E$200)),COUNTA('维度字典'!$A$2:$A$200))+1))</f>
        <v/>
      </c>
      <c r="D145" s="13">
        <f>IF($B145="","",INDEX('维度字典'!$E$2:$E$200,MOD(141,COUNTA('维度字典'!$E$2:$E$200))+1))</f>
        <v/>
      </c>
      <c r="E145" s="38">
        <f>IF($B145="","",SUMPRODUCT(('系统实绩导入'!$B$4:$B$1500=$B145)*('系统实绩导入'!$C$4:$C$1500=$C145)*('系统实绩导入'!$D$4:$D$1500=$D145)*('系统实绩导入'!$F$4:$F$1500="实绩销售额")*('系统实绩导入'!$G$3:$R$3=$F$1)*'系统实绩导入'!$G$4:$R$1500))</f>
        <v/>
      </c>
      <c r="F145" s="38">
        <f>IF($B145="","",SUMPRODUCT(('系统实绩导入'!$B$4:$B$1500=$B145)*('系统实绩导入'!$C$4:$C$1500=$C145)*('系统实绩导入'!$D$4:$D$1500=$D145)*('系统实绩导入'!$F$4:$F$1500="实绩毛利")*('系统实绩导入'!$G$3:$R$3=$F$1)*'系统实绩导入'!$G$4:$R$1500))</f>
        <v/>
      </c>
      <c r="G145" s="39">
        <f>IF($B145="","",IFERROR(F145/E145,""))</f>
        <v/>
      </c>
      <c r="H145" s="38">
        <f>IF($B145="","",SUMPRODUCT(('目标填报'!$B$4:$B$1500=$B145)*('目标填报'!$C$4:$C$1500=$C145)*('目标填报'!$D$4:$D$1500=$D145)*('目标填报'!$F$4:$F$1500="销售目标额")*('目标填报'!$G$3:$R$3=$F$1)*'目标填报'!$G$4:$R$1500))</f>
        <v/>
      </c>
      <c r="I145" s="39">
        <f>IF($B145="","",IFERROR(E145/H145,""))</f>
        <v/>
      </c>
      <c r="J145" s="38">
        <f>IF($B145="","",SUMPRODUCT(('系统实绩导入'!$B$4:$B$1500=$B145)*('系统实绩导入'!$C$4:$C$1500=$C145)*('系统实绩导入'!$D$4:$D$1500=$D145)*('系统实绩导入'!$F$4:$F$1500="实绩销售额")*('系统实绩导入'!$G$3:$R$3&lt;=$F$1)*'系统实绩导入'!$G$4:$R$1500))</f>
        <v/>
      </c>
      <c r="K145" s="38">
        <f>IF($B145="","",SUMPRODUCT(('系统实绩导入'!$B$4:$B$1500=$B145)*('系统实绩导入'!$C$4:$C$1500=$C145)*('系统实绩导入'!$D$4:$D$1500=$D145)*('系统实绩导入'!$F$4:$F$1500="实绩毛利")*('系统实绩导入'!$G$3:$R$3&lt;=$F$1)*'系统实绩导入'!$G$4:$R$1500))</f>
        <v/>
      </c>
      <c r="L145" s="39">
        <f>IF($B145="","",IFERROR(K145/J145,""))</f>
        <v/>
      </c>
      <c r="M145" s="38">
        <f>IF($B145="","",SUMIFS('目标填报'!$S$4:$S$1500,'目标填报'!$B$4:$B$1500,$B145,'目标填报'!$C$4:$C$1500,$C145,'目标填报'!$D$4:$D$1500,$D145,'目标填报'!$F$4:$F$1500,"销售目标额"))</f>
        <v/>
      </c>
      <c r="N145" s="39">
        <f>IF($B145="","",IFERROR(J145/M145,""))</f>
        <v/>
      </c>
      <c r="O145" s="40">
        <f>IF($B145="","",J145-M145)</f>
        <v/>
      </c>
      <c r="P145" s="38">
        <f>IF($B145="","",SUMPRODUCT(('目标填报'!$B$4:$B$1500=$B145)*('目标填报'!$C$4:$C$1500=$C145)*('目标填报'!$D$4:$D$1500=$D145)*('目标填报'!$F$4:$F$1500="在手订单")*('目标填报'!$G$3:$R$3=$F$1)*'目标填报'!$G$4:$R$1500))</f>
        <v/>
      </c>
      <c r="Q145" s="38">
        <f>IF($B145="","",SUMPRODUCT(('目标填报'!$B$4:$B$1500=$B145)*('目标填报'!$C$4:$C$1500=$C145)*('目标填报'!$D$4:$D$1500=$D145)*('目标填报'!$F$4:$F$1500="在手订单目标")*('目标填报'!$G$3:$R$3=$F$1)*'目标填报'!$G$4:$R$1500))</f>
        <v/>
      </c>
      <c r="R145" s="39">
        <f>IF($B145="","",IFERROR(P145/Q145,""))</f>
        <v/>
      </c>
      <c r="S145" s="38">
        <f>IF($B145="","",SUMPRODUCT(('目标填报'!$B$4:$B$1500=$B145)*('目标填报'!$C$4:$C$1500=$C145)*('目标填报'!$D$4:$D$1500=$D145)*('目标填报'!$F$4:$F$1500="目标客户机会")*('目标填报'!$G$3:$R$3=$F$1)*'目标填报'!$G$4:$R$1500))</f>
        <v/>
      </c>
      <c r="T145" s="38">
        <f>IF($B145="","",SUMPRODUCT(('目标填报'!$B$4:$B$1500=$B145)*('目标填报'!$C$4:$C$1500=$C145)*('目标填报'!$D$4:$D$1500=$D145)*('目标填报'!$F$4:$F$1500="目标客户机会目标")*('目标填报'!$G$3:$R$3=$F$1)*'目标填报'!$G$4:$R$1500))</f>
        <v/>
      </c>
      <c r="U145" s="39">
        <f>IF($B145="","",IFERROR(S145/T145,""))</f>
        <v/>
      </c>
      <c r="V145" s="38">
        <f>IF($B145="","",P145+S145)</f>
        <v/>
      </c>
      <c r="W145" s="38">
        <f>IF($B145="","",M145-J145)</f>
        <v/>
      </c>
      <c r="X145" s="39">
        <f>IF($B145="","",IFERROR(V145/W145,""))</f>
        <v/>
      </c>
      <c r="Y145" s="40">
        <f>IF($B145="","",V145-W145)</f>
        <v/>
      </c>
    </row>
    <row r="146">
      <c r="A146" s="37">
        <f>IF($B146="","",ROW()-3)</f>
        <v/>
      </c>
      <c r="B146" s="13">
        <f>IF(142+1&gt;COUNTA('维度字典'!$C$2:$C$200)*COUNTA('维度字典'!$A$2:$A$200)*COUNTA('维度字典'!$E$2:$E$200),"",INDEX('维度字典'!$C$2:$C$200,MOD(INT(142/(COUNTA('维度字典'!$E$2:$E$200)*COUNTA('维度字典'!$A$2:$A$200))),COUNTA('维度字典'!$C$2:$C$200))+1))</f>
        <v/>
      </c>
      <c r="C146" s="13">
        <f>IF($B146="","",INDEX('维度字典'!$A$2:$A$200,MOD(INT(142/COUNTA('维度字典'!$E$2:$E$200)),COUNTA('维度字典'!$A$2:$A$200))+1))</f>
        <v/>
      </c>
      <c r="D146" s="13">
        <f>IF($B146="","",INDEX('维度字典'!$E$2:$E$200,MOD(142,COUNTA('维度字典'!$E$2:$E$200))+1))</f>
        <v/>
      </c>
      <c r="E146" s="38">
        <f>IF($B146="","",SUMPRODUCT(('系统实绩导入'!$B$4:$B$1500=$B146)*('系统实绩导入'!$C$4:$C$1500=$C146)*('系统实绩导入'!$D$4:$D$1500=$D146)*('系统实绩导入'!$F$4:$F$1500="实绩销售额")*('系统实绩导入'!$G$3:$R$3=$F$1)*'系统实绩导入'!$G$4:$R$1500))</f>
        <v/>
      </c>
      <c r="F146" s="38">
        <f>IF($B146="","",SUMPRODUCT(('系统实绩导入'!$B$4:$B$1500=$B146)*('系统实绩导入'!$C$4:$C$1500=$C146)*('系统实绩导入'!$D$4:$D$1500=$D146)*('系统实绩导入'!$F$4:$F$1500="实绩毛利")*('系统实绩导入'!$G$3:$R$3=$F$1)*'系统实绩导入'!$G$4:$R$1500))</f>
        <v/>
      </c>
      <c r="G146" s="39">
        <f>IF($B146="","",IFERROR(F146/E146,""))</f>
        <v/>
      </c>
      <c r="H146" s="38">
        <f>IF($B146="","",SUMPRODUCT(('目标填报'!$B$4:$B$1500=$B146)*('目标填报'!$C$4:$C$1500=$C146)*('目标填报'!$D$4:$D$1500=$D146)*('目标填报'!$F$4:$F$1500="销售目标额")*('目标填报'!$G$3:$R$3=$F$1)*'目标填报'!$G$4:$R$1500))</f>
        <v/>
      </c>
      <c r="I146" s="39">
        <f>IF($B146="","",IFERROR(E146/H146,""))</f>
        <v/>
      </c>
      <c r="J146" s="38">
        <f>IF($B146="","",SUMPRODUCT(('系统实绩导入'!$B$4:$B$1500=$B146)*('系统实绩导入'!$C$4:$C$1500=$C146)*('系统实绩导入'!$D$4:$D$1500=$D146)*('系统实绩导入'!$F$4:$F$1500="实绩销售额")*('系统实绩导入'!$G$3:$R$3&lt;=$F$1)*'系统实绩导入'!$G$4:$R$1500))</f>
        <v/>
      </c>
      <c r="K146" s="38">
        <f>IF($B146="","",SUMPRODUCT(('系统实绩导入'!$B$4:$B$1500=$B146)*('系统实绩导入'!$C$4:$C$1500=$C146)*('系统实绩导入'!$D$4:$D$1500=$D146)*('系统实绩导入'!$F$4:$F$1500="实绩毛利")*('系统实绩导入'!$G$3:$R$3&lt;=$F$1)*'系统实绩导入'!$G$4:$R$1500))</f>
        <v/>
      </c>
      <c r="L146" s="39">
        <f>IF($B146="","",IFERROR(K146/J146,""))</f>
        <v/>
      </c>
      <c r="M146" s="38">
        <f>IF($B146="","",SUMIFS('目标填报'!$S$4:$S$1500,'目标填报'!$B$4:$B$1500,$B146,'目标填报'!$C$4:$C$1500,$C146,'目标填报'!$D$4:$D$1500,$D146,'目标填报'!$F$4:$F$1500,"销售目标额"))</f>
        <v/>
      </c>
      <c r="N146" s="39">
        <f>IF($B146="","",IFERROR(J146/M146,""))</f>
        <v/>
      </c>
      <c r="O146" s="40">
        <f>IF($B146="","",J146-M146)</f>
        <v/>
      </c>
      <c r="P146" s="38">
        <f>IF($B146="","",SUMPRODUCT(('目标填报'!$B$4:$B$1500=$B146)*('目标填报'!$C$4:$C$1500=$C146)*('目标填报'!$D$4:$D$1500=$D146)*('目标填报'!$F$4:$F$1500="在手订单")*('目标填报'!$G$3:$R$3=$F$1)*'目标填报'!$G$4:$R$1500))</f>
        <v/>
      </c>
      <c r="Q146" s="38">
        <f>IF($B146="","",SUMPRODUCT(('目标填报'!$B$4:$B$1500=$B146)*('目标填报'!$C$4:$C$1500=$C146)*('目标填报'!$D$4:$D$1500=$D146)*('目标填报'!$F$4:$F$1500="在手订单目标")*('目标填报'!$G$3:$R$3=$F$1)*'目标填报'!$G$4:$R$1500))</f>
        <v/>
      </c>
      <c r="R146" s="39">
        <f>IF($B146="","",IFERROR(P146/Q146,""))</f>
        <v/>
      </c>
      <c r="S146" s="38">
        <f>IF($B146="","",SUMPRODUCT(('目标填报'!$B$4:$B$1500=$B146)*('目标填报'!$C$4:$C$1500=$C146)*('目标填报'!$D$4:$D$1500=$D146)*('目标填报'!$F$4:$F$1500="目标客户机会")*('目标填报'!$G$3:$R$3=$F$1)*'目标填报'!$G$4:$R$1500))</f>
        <v/>
      </c>
      <c r="T146" s="38">
        <f>IF($B146="","",SUMPRODUCT(('目标填报'!$B$4:$B$1500=$B146)*('目标填报'!$C$4:$C$1500=$C146)*('目标填报'!$D$4:$D$1500=$D146)*('目标填报'!$F$4:$F$1500="目标客户机会目标")*('目标填报'!$G$3:$R$3=$F$1)*'目标填报'!$G$4:$R$1500))</f>
        <v/>
      </c>
      <c r="U146" s="39">
        <f>IF($B146="","",IFERROR(S146/T146,""))</f>
        <v/>
      </c>
      <c r="V146" s="38">
        <f>IF($B146="","",P146+S146)</f>
        <v/>
      </c>
      <c r="W146" s="38">
        <f>IF($B146="","",M146-J146)</f>
        <v/>
      </c>
      <c r="X146" s="39">
        <f>IF($B146="","",IFERROR(V146/W146,""))</f>
        <v/>
      </c>
      <c r="Y146" s="40">
        <f>IF($B146="","",V146-W146)</f>
        <v/>
      </c>
    </row>
    <row r="147">
      <c r="A147" s="37">
        <f>IF($B147="","",ROW()-3)</f>
        <v/>
      </c>
      <c r="B147" s="13">
        <f>IF(143+1&gt;COUNTA('维度字典'!$C$2:$C$200)*COUNTA('维度字典'!$A$2:$A$200)*COUNTA('维度字典'!$E$2:$E$200),"",INDEX('维度字典'!$C$2:$C$200,MOD(INT(143/(COUNTA('维度字典'!$E$2:$E$200)*COUNTA('维度字典'!$A$2:$A$200))),COUNTA('维度字典'!$C$2:$C$200))+1))</f>
        <v/>
      </c>
      <c r="C147" s="13">
        <f>IF($B147="","",INDEX('维度字典'!$A$2:$A$200,MOD(INT(143/COUNTA('维度字典'!$E$2:$E$200)),COUNTA('维度字典'!$A$2:$A$200))+1))</f>
        <v/>
      </c>
      <c r="D147" s="13">
        <f>IF($B147="","",INDEX('维度字典'!$E$2:$E$200,MOD(143,COUNTA('维度字典'!$E$2:$E$200))+1))</f>
        <v/>
      </c>
      <c r="E147" s="38">
        <f>IF($B147="","",SUMPRODUCT(('系统实绩导入'!$B$4:$B$1500=$B147)*('系统实绩导入'!$C$4:$C$1500=$C147)*('系统实绩导入'!$D$4:$D$1500=$D147)*('系统实绩导入'!$F$4:$F$1500="实绩销售额")*('系统实绩导入'!$G$3:$R$3=$F$1)*'系统实绩导入'!$G$4:$R$1500))</f>
        <v/>
      </c>
      <c r="F147" s="38">
        <f>IF($B147="","",SUMPRODUCT(('系统实绩导入'!$B$4:$B$1500=$B147)*('系统实绩导入'!$C$4:$C$1500=$C147)*('系统实绩导入'!$D$4:$D$1500=$D147)*('系统实绩导入'!$F$4:$F$1500="实绩毛利")*('系统实绩导入'!$G$3:$R$3=$F$1)*'系统实绩导入'!$G$4:$R$1500))</f>
        <v/>
      </c>
      <c r="G147" s="39">
        <f>IF($B147="","",IFERROR(F147/E147,""))</f>
        <v/>
      </c>
      <c r="H147" s="38">
        <f>IF($B147="","",SUMPRODUCT(('目标填报'!$B$4:$B$1500=$B147)*('目标填报'!$C$4:$C$1500=$C147)*('目标填报'!$D$4:$D$1500=$D147)*('目标填报'!$F$4:$F$1500="销售目标额")*('目标填报'!$G$3:$R$3=$F$1)*'目标填报'!$G$4:$R$1500))</f>
        <v/>
      </c>
      <c r="I147" s="39">
        <f>IF($B147="","",IFERROR(E147/H147,""))</f>
        <v/>
      </c>
      <c r="J147" s="38">
        <f>IF($B147="","",SUMPRODUCT(('系统实绩导入'!$B$4:$B$1500=$B147)*('系统实绩导入'!$C$4:$C$1500=$C147)*('系统实绩导入'!$D$4:$D$1500=$D147)*('系统实绩导入'!$F$4:$F$1500="实绩销售额")*('系统实绩导入'!$G$3:$R$3&lt;=$F$1)*'系统实绩导入'!$G$4:$R$1500))</f>
        <v/>
      </c>
      <c r="K147" s="38">
        <f>IF($B147="","",SUMPRODUCT(('系统实绩导入'!$B$4:$B$1500=$B147)*('系统实绩导入'!$C$4:$C$1500=$C147)*('系统实绩导入'!$D$4:$D$1500=$D147)*('系统实绩导入'!$F$4:$F$1500="实绩毛利")*('系统实绩导入'!$G$3:$R$3&lt;=$F$1)*'系统实绩导入'!$G$4:$R$1500))</f>
        <v/>
      </c>
      <c r="L147" s="39">
        <f>IF($B147="","",IFERROR(K147/J147,""))</f>
        <v/>
      </c>
      <c r="M147" s="38">
        <f>IF($B147="","",SUMIFS('目标填报'!$S$4:$S$1500,'目标填报'!$B$4:$B$1500,$B147,'目标填报'!$C$4:$C$1500,$C147,'目标填报'!$D$4:$D$1500,$D147,'目标填报'!$F$4:$F$1500,"销售目标额"))</f>
        <v/>
      </c>
      <c r="N147" s="39">
        <f>IF($B147="","",IFERROR(J147/M147,""))</f>
        <v/>
      </c>
      <c r="O147" s="40">
        <f>IF($B147="","",J147-M147)</f>
        <v/>
      </c>
      <c r="P147" s="38">
        <f>IF($B147="","",SUMPRODUCT(('目标填报'!$B$4:$B$1500=$B147)*('目标填报'!$C$4:$C$1500=$C147)*('目标填报'!$D$4:$D$1500=$D147)*('目标填报'!$F$4:$F$1500="在手订单")*('目标填报'!$G$3:$R$3=$F$1)*'目标填报'!$G$4:$R$1500))</f>
        <v/>
      </c>
      <c r="Q147" s="38">
        <f>IF($B147="","",SUMPRODUCT(('目标填报'!$B$4:$B$1500=$B147)*('目标填报'!$C$4:$C$1500=$C147)*('目标填报'!$D$4:$D$1500=$D147)*('目标填报'!$F$4:$F$1500="在手订单目标")*('目标填报'!$G$3:$R$3=$F$1)*'目标填报'!$G$4:$R$1500))</f>
        <v/>
      </c>
      <c r="R147" s="39">
        <f>IF($B147="","",IFERROR(P147/Q147,""))</f>
        <v/>
      </c>
      <c r="S147" s="38">
        <f>IF($B147="","",SUMPRODUCT(('目标填报'!$B$4:$B$1500=$B147)*('目标填报'!$C$4:$C$1500=$C147)*('目标填报'!$D$4:$D$1500=$D147)*('目标填报'!$F$4:$F$1500="目标客户机会")*('目标填报'!$G$3:$R$3=$F$1)*'目标填报'!$G$4:$R$1500))</f>
        <v/>
      </c>
      <c r="T147" s="38">
        <f>IF($B147="","",SUMPRODUCT(('目标填报'!$B$4:$B$1500=$B147)*('目标填报'!$C$4:$C$1500=$C147)*('目标填报'!$D$4:$D$1500=$D147)*('目标填报'!$F$4:$F$1500="目标客户机会目标")*('目标填报'!$G$3:$R$3=$F$1)*'目标填报'!$G$4:$R$1500))</f>
        <v/>
      </c>
      <c r="U147" s="39">
        <f>IF($B147="","",IFERROR(S147/T147,""))</f>
        <v/>
      </c>
      <c r="V147" s="38">
        <f>IF($B147="","",P147+S147)</f>
        <v/>
      </c>
      <c r="W147" s="38">
        <f>IF($B147="","",M147-J147)</f>
        <v/>
      </c>
      <c r="X147" s="39">
        <f>IF($B147="","",IFERROR(V147/W147,""))</f>
        <v/>
      </c>
      <c r="Y147" s="40">
        <f>IF($B147="","",V147-W147)</f>
        <v/>
      </c>
    </row>
    <row r="148">
      <c r="A148" s="37">
        <f>IF($B148="","",ROW()-3)</f>
        <v/>
      </c>
      <c r="B148" s="13">
        <f>IF(144+1&gt;COUNTA('维度字典'!$C$2:$C$200)*COUNTA('维度字典'!$A$2:$A$200)*COUNTA('维度字典'!$E$2:$E$200),"",INDEX('维度字典'!$C$2:$C$200,MOD(INT(144/(COUNTA('维度字典'!$E$2:$E$200)*COUNTA('维度字典'!$A$2:$A$200))),COUNTA('维度字典'!$C$2:$C$200))+1))</f>
        <v/>
      </c>
      <c r="C148" s="13">
        <f>IF($B148="","",INDEX('维度字典'!$A$2:$A$200,MOD(INT(144/COUNTA('维度字典'!$E$2:$E$200)),COUNTA('维度字典'!$A$2:$A$200))+1))</f>
        <v/>
      </c>
      <c r="D148" s="13">
        <f>IF($B148="","",INDEX('维度字典'!$E$2:$E$200,MOD(144,COUNTA('维度字典'!$E$2:$E$200))+1))</f>
        <v/>
      </c>
      <c r="E148" s="38">
        <f>IF($B148="","",SUMPRODUCT(('系统实绩导入'!$B$4:$B$1500=$B148)*('系统实绩导入'!$C$4:$C$1500=$C148)*('系统实绩导入'!$D$4:$D$1500=$D148)*('系统实绩导入'!$F$4:$F$1500="实绩销售额")*('系统实绩导入'!$G$3:$R$3=$F$1)*'系统实绩导入'!$G$4:$R$1500))</f>
        <v/>
      </c>
      <c r="F148" s="38">
        <f>IF($B148="","",SUMPRODUCT(('系统实绩导入'!$B$4:$B$1500=$B148)*('系统实绩导入'!$C$4:$C$1500=$C148)*('系统实绩导入'!$D$4:$D$1500=$D148)*('系统实绩导入'!$F$4:$F$1500="实绩毛利")*('系统实绩导入'!$G$3:$R$3=$F$1)*'系统实绩导入'!$G$4:$R$1500))</f>
        <v/>
      </c>
      <c r="G148" s="39">
        <f>IF($B148="","",IFERROR(F148/E148,""))</f>
        <v/>
      </c>
      <c r="H148" s="38">
        <f>IF($B148="","",SUMPRODUCT(('目标填报'!$B$4:$B$1500=$B148)*('目标填报'!$C$4:$C$1500=$C148)*('目标填报'!$D$4:$D$1500=$D148)*('目标填报'!$F$4:$F$1500="销售目标额")*('目标填报'!$G$3:$R$3=$F$1)*'目标填报'!$G$4:$R$1500))</f>
        <v/>
      </c>
      <c r="I148" s="39">
        <f>IF($B148="","",IFERROR(E148/H148,""))</f>
        <v/>
      </c>
      <c r="J148" s="38">
        <f>IF($B148="","",SUMPRODUCT(('系统实绩导入'!$B$4:$B$1500=$B148)*('系统实绩导入'!$C$4:$C$1500=$C148)*('系统实绩导入'!$D$4:$D$1500=$D148)*('系统实绩导入'!$F$4:$F$1500="实绩销售额")*('系统实绩导入'!$G$3:$R$3&lt;=$F$1)*'系统实绩导入'!$G$4:$R$1500))</f>
        <v/>
      </c>
      <c r="K148" s="38">
        <f>IF($B148="","",SUMPRODUCT(('系统实绩导入'!$B$4:$B$1500=$B148)*('系统实绩导入'!$C$4:$C$1500=$C148)*('系统实绩导入'!$D$4:$D$1500=$D148)*('系统实绩导入'!$F$4:$F$1500="实绩毛利")*('系统实绩导入'!$G$3:$R$3&lt;=$F$1)*'系统实绩导入'!$G$4:$R$1500))</f>
        <v/>
      </c>
      <c r="L148" s="39">
        <f>IF($B148="","",IFERROR(K148/J148,""))</f>
        <v/>
      </c>
      <c r="M148" s="38">
        <f>IF($B148="","",SUMIFS('目标填报'!$S$4:$S$1500,'目标填报'!$B$4:$B$1500,$B148,'目标填报'!$C$4:$C$1500,$C148,'目标填报'!$D$4:$D$1500,$D148,'目标填报'!$F$4:$F$1500,"销售目标额"))</f>
        <v/>
      </c>
      <c r="N148" s="39">
        <f>IF($B148="","",IFERROR(J148/M148,""))</f>
        <v/>
      </c>
      <c r="O148" s="40">
        <f>IF($B148="","",J148-M148)</f>
        <v/>
      </c>
      <c r="P148" s="38">
        <f>IF($B148="","",SUMPRODUCT(('目标填报'!$B$4:$B$1500=$B148)*('目标填报'!$C$4:$C$1500=$C148)*('目标填报'!$D$4:$D$1500=$D148)*('目标填报'!$F$4:$F$1500="在手订单")*('目标填报'!$G$3:$R$3=$F$1)*'目标填报'!$G$4:$R$1500))</f>
        <v/>
      </c>
      <c r="Q148" s="38">
        <f>IF($B148="","",SUMPRODUCT(('目标填报'!$B$4:$B$1500=$B148)*('目标填报'!$C$4:$C$1500=$C148)*('目标填报'!$D$4:$D$1500=$D148)*('目标填报'!$F$4:$F$1500="在手订单目标")*('目标填报'!$G$3:$R$3=$F$1)*'目标填报'!$G$4:$R$1500))</f>
        <v/>
      </c>
      <c r="R148" s="39">
        <f>IF($B148="","",IFERROR(P148/Q148,""))</f>
        <v/>
      </c>
      <c r="S148" s="38">
        <f>IF($B148="","",SUMPRODUCT(('目标填报'!$B$4:$B$1500=$B148)*('目标填报'!$C$4:$C$1500=$C148)*('目标填报'!$D$4:$D$1500=$D148)*('目标填报'!$F$4:$F$1500="目标客户机会")*('目标填报'!$G$3:$R$3=$F$1)*'目标填报'!$G$4:$R$1500))</f>
        <v/>
      </c>
      <c r="T148" s="38">
        <f>IF($B148="","",SUMPRODUCT(('目标填报'!$B$4:$B$1500=$B148)*('目标填报'!$C$4:$C$1500=$C148)*('目标填报'!$D$4:$D$1500=$D148)*('目标填报'!$F$4:$F$1500="目标客户机会目标")*('目标填报'!$G$3:$R$3=$F$1)*'目标填报'!$G$4:$R$1500))</f>
        <v/>
      </c>
      <c r="U148" s="39">
        <f>IF($B148="","",IFERROR(S148/T148,""))</f>
        <v/>
      </c>
      <c r="V148" s="38">
        <f>IF($B148="","",P148+S148)</f>
        <v/>
      </c>
      <c r="W148" s="38">
        <f>IF($B148="","",M148-J148)</f>
        <v/>
      </c>
      <c r="X148" s="39">
        <f>IF($B148="","",IFERROR(V148/W148,""))</f>
        <v/>
      </c>
      <c r="Y148" s="40">
        <f>IF($B148="","",V148-W148)</f>
        <v/>
      </c>
    </row>
    <row r="149">
      <c r="A149" s="37">
        <f>IF($B149="","",ROW()-3)</f>
        <v/>
      </c>
      <c r="B149" s="13">
        <f>IF(145+1&gt;COUNTA('维度字典'!$C$2:$C$200)*COUNTA('维度字典'!$A$2:$A$200)*COUNTA('维度字典'!$E$2:$E$200),"",INDEX('维度字典'!$C$2:$C$200,MOD(INT(145/(COUNTA('维度字典'!$E$2:$E$200)*COUNTA('维度字典'!$A$2:$A$200))),COUNTA('维度字典'!$C$2:$C$200))+1))</f>
        <v/>
      </c>
      <c r="C149" s="13">
        <f>IF($B149="","",INDEX('维度字典'!$A$2:$A$200,MOD(INT(145/COUNTA('维度字典'!$E$2:$E$200)),COUNTA('维度字典'!$A$2:$A$200))+1))</f>
        <v/>
      </c>
      <c r="D149" s="13">
        <f>IF($B149="","",INDEX('维度字典'!$E$2:$E$200,MOD(145,COUNTA('维度字典'!$E$2:$E$200))+1))</f>
        <v/>
      </c>
      <c r="E149" s="38">
        <f>IF($B149="","",SUMPRODUCT(('系统实绩导入'!$B$4:$B$1500=$B149)*('系统实绩导入'!$C$4:$C$1500=$C149)*('系统实绩导入'!$D$4:$D$1500=$D149)*('系统实绩导入'!$F$4:$F$1500="实绩销售额")*('系统实绩导入'!$G$3:$R$3=$F$1)*'系统实绩导入'!$G$4:$R$1500))</f>
        <v/>
      </c>
      <c r="F149" s="38">
        <f>IF($B149="","",SUMPRODUCT(('系统实绩导入'!$B$4:$B$1500=$B149)*('系统实绩导入'!$C$4:$C$1500=$C149)*('系统实绩导入'!$D$4:$D$1500=$D149)*('系统实绩导入'!$F$4:$F$1500="实绩毛利")*('系统实绩导入'!$G$3:$R$3=$F$1)*'系统实绩导入'!$G$4:$R$1500))</f>
        <v/>
      </c>
      <c r="G149" s="39">
        <f>IF($B149="","",IFERROR(F149/E149,""))</f>
        <v/>
      </c>
      <c r="H149" s="38">
        <f>IF($B149="","",SUMPRODUCT(('目标填报'!$B$4:$B$1500=$B149)*('目标填报'!$C$4:$C$1500=$C149)*('目标填报'!$D$4:$D$1500=$D149)*('目标填报'!$F$4:$F$1500="销售目标额")*('目标填报'!$G$3:$R$3=$F$1)*'目标填报'!$G$4:$R$1500))</f>
        <v/>
      </c>
      <c r="I149" s="39">
        <f>IF($B149="","",IFERROR(E149/H149,""))</f>
        <v/>
      </c>
      <c r="J149" s="38">
        <f>IF($B149="","",SUMPRODUCT(('系统实绩导入'!$B$4:$B$1500=$B149)*('系统实绩导入'!$C$4:$C$1500=$C149)*('系统实绩导入'!$D$4:$D$1500=$D149)*('系统实绩导入'!$F$4:$F$1500="实绩销售额")*('系统实绩导入'!$G$3:$R$3&lt;=$F$1)*'系统实绩导入'!$G$4:$R$1500))</f>
        <v/>
      </c>
      <c r="K149" s="38">
        <f>IF($B149="","",SUMPRODUCT(('系统实绩导入'!$B$4:$B$1500=$B149)*('系统实绩导入'!$C$4:$C$1500=$C149)*('系统实绩导入'!$D$4:$D$1500=$D149)*('系统实绩导入'!$F$4:$F$1500="实绩毛利")*('系统实绩导入'!$G$3:$R$3&lt;=$F$1)*'系统实绩导入'!$G$4:$R$1500))</f>
        <v/>
      </c>
      <c r="L149" s="39">
        <f>IF($B149="","",IFERROR(K149/J149,""))</f>
        <v/>
      </c>
      <c r="M149" s="38">
        <f>IF($B149="","",SUMIFS('目标填报'!$S$4:$S$1500,'目标填报'!$B$4:$B$1500,$B149,'目标填报'!$C$4:$C$1500,$C149,'目标填报'!$D$4:$D$1500,$D149,'目标填报'!$F$4:$F$1500,"销售目标额"))</f>
        <v/>
      </c>
      <c r="N149" s="39">
        <f>IF($B149="","",IFERROR(J149/M149,""))</f>
        <v/>
      </c>
      <c r="O149" s="40">
        <f>IF($B149="","",J149-M149)</f>
        <v/>
      </c>
      <c r="P149" s="38">
        <f>IF($B149="","",SUMPRODUCT(('目标填报'!$B$4:$B$1500=$B149)*('目标填报'!$C$4:$C$1500=$C149)*('目标填报'!$D$4:$D$1500=$D149)*('目标填报'!$F$4:$F$1500="在手订单")*('目标填报'!$G$3:$R$3=$F$1)*'目标填报'!$G$4:$R$1500))</f>
        <v/>
      </c>
      <c r="Q149" s="38">
        <f>IF($B149="","",SUMPRODUCT(('目标填报'!$B$4:$B$1500=$B149)*('目标填报'!$C$4:$C$1500=$C149)*('目标填报'!$D$4:$D$1500=$D149)*('目标填报'!$F$4:$F$1500="在手订单目标")*('目标填报'!$G$3:$R$3=$F$1)*'目标填报'!$G$4:$R$1500))</f>
        <v/>
      </c>
      <c r="R149" s="39">
        <f>IF($B149="","",IFERROR(P149/Q149,""))</f>
        <v/>
      </c>
      <c r="S149" s="38">
        <f>IF($B149="","",SUMPRODUCT(('目标填报'!$B$4:$B$1500=$B149)*('目标填报'!$C$4:$C$1500=$C149)*('目标填报'!$D$4:$D$1500=$D149)*('目标填报'!$F$4:$F$1500="目标客户机会")*('目标填报'!$G$3:$R$3=$F$1)*'目标填报'!$G$4:$R$1500))</f>
        <v/>
      </c>
      <c r="T149" s="38">
        <f>IF($B149="","",SUMPRODUCT(('目标填报'!$B$4:$B$1500=$B149)*('目标填报'!$C$4:$C$1500=$C149)*('目标填报'!$D$4:$D$1500=$D149)*('目标填报'!$F$4:$F$1500="目标客户机会目标")*('目标填报'!$G$3:$R$3=$F$1)*'目标填报'!$G$4:$R$1500))</f>
        <v/>
      </c>
      <c r="U149" s="39">
        <f>IF($B149="","",IFERROR(S149/T149,""))</f>
        <v/>
      </c>
      <c r="V149" s="38">
        <f>IF($B149="","",P149+S149)</f>
        <v/>
      </c>
      <c r="W149" s="38">
        <f>IF($B149="","",M149-J149)</f>
        <v/>
      </c>
      <c r="X149" s="39">
        <f>IF($B149="","",IFERROR(V149/W149,""))</f>
        <v/>
      </c>
      <c r="Y149" s="40">
        <f>IF($B149="","",V149-W149)</f>
        <v/>
      </c>
    </row>
    <row r="150">
      <c r="A150" s="37">
        <f>IF($B150="","",ROW()-3)</f>
        <v/>
      </c>
      <c r="B150" s="13">
        <f>IF(146+1&gt;COUNTA('维度字典'!$C$2:$C$200)*COUNTA('维度字典'!$A$2:$A$200)*COUNTA('维度字典'!$E$2:$E$200),"",INDEX('维度字典'!$C$2:$C$200,MOD(INT(146/(COUNTA('维度字典'!$E$2:$E$200)*COUNTA('维度字典'!$A$2:$A$200))),COUNTA('维度字典'!$C$2:$C$200))+1))</f>
        <v/>
      </c>
      <c r="C150" s="13">
        <f>IF($B150="","",INDEX('维度字典'!$A$2:$A$200,MOD(INT(146/COUNTA('维度字典'!$E$2:$E$200)),COUNTA('维度字典'!$A$2:$A$200))+1))</f>
        <v/>
      </c>
      <c r="D150" s="13">
        <f>IF($B150="","",INDEX('维度字典'!$E$2:$E$200,MOD(146,COUNTA('维度字典'!$E$2:$E$200))+1))</f>
        <v/>
      </c>
      <c r="E150" s="38">
        <f>IF($B150="","",SUMPRODUCT(('系统实绩导入'!$B$4:$B$1500=$B150)*('系统实绩导入'!$C$4:$C$1500=$C150)*('系统实绩导入'!$D$4:$D$1500=$D150)*('系统实绩导入'!$F$4:$F$1500="实绩销售额")*('系统实绩导入'!$G$3:$R$3=$F$1)*'系统实绩导入'!$G$4:$R$1500))</f>
        <v/>
      </c>
      <c r="F150" s="38">
        <f>IF($B150="","",SUMPRODUCT(('系统实绩导入'!$B$4:$B$1500=$B150)*('系统实绩导入'!$C$4:$C$1500=$C150)*('系统实绩导入'!$D$4:$D$1500=$D150)*('系统实绩导入'!$F$4:$F$1500="实绩毛利")*('系统实绩导入'!$G$3:$R$3=$F$1)*'系统实绩导入'!$G$4:$R$1500))</f>
        <v/>
      </c>
      <c r="G150" s="39">
        <f>IF($B150="","",IFERROR(F150/E150,""))</f>
        <v/>
      </c>
      <c r="H150" s="38">
        <f>IF($B150="","",SUMPRODUCT(('目标填报'!$B$4:$B$1500=$B150)*('目标填报'!$C$4:$C$1500=$C150)*('目标填报'!$D$4:$D$1500=$D150)*('目标填报'!$F$4:$F$1500="销售目标额")*('目标填报'!$G$3:$R$3=$F$1)*'目标填报'!$G$4:$R$1500))</f>
        <v/>
      </c>
      <c r="I150" s="39">
        <f>IF($B150="","",IFERROR(E150/H150,""))</f>
        <v/>
      </c>
      <c r="J150" s="38">
        <f>IF($B150="","",SUMPRODUCT(('系统实绩导入'!$B$4:$B$1500=$B150)*('系统实绩导入'!$C$4:$C$1500=$C150)*('系统实绩导入'!$D$4:$D$1500=$D150)*('系统实绩导入'!$F$4:$F$1500="实绩销售额")*('系统实绩导入'!$G$3:$R$3&lt;=$F$1)*'系统实绩导入'!$G$4:$R$1500))</f>
        <v/>
      </c>
      <c r="K150" s="38">
        <f>IF($B150="","",SUMPRODUCT(('系统实绩导入'!$B$4:$B$1500=$B150)*('系统实绩导入'!$C$4:$C$1500=$C150)*('系统实绩导入'!$D$4:$D$1500=$D150)*('系统实绩导入'!$F$4:$F$1500="实绩毛利")*('系统实绩导入'!$G$3:$R$3&lt;=$F$1)*'系统实绩导入'!$G$4:$R$1500))</f>
        <v/>
      </c>
      <c r="L150" s="39">
        <f>IF($B150="","",IFERROR(K150/J150,""))</f>
        <v/>
      </c>
      <c r="M150" s="38">
        <f>IF($B150="","",SUMIFS('目标填报'!$S$4:$S$1500,'目标填报'!$B$4:$B$1500,$B150,'目标填报'!$C$4:$C$1500,$C150,'目标填报'!$D$4:$D$1500,$D150,'目标填报'!$F$4:$F$1500,"销售目标额"))</f>
        <v/>
      </c>
      <c r="N150" s="39">
        <f>IF($B150="","",IFERROR(J150/M150,""))</f>
        <v/>
      </c>
      <c r="O150" s="40">
        <f>IF($B150="","",J150-M150)</f>
        <v/>
      </c>
      <c r="P150" s="38">
        <f>IF($B150="","",SUMPRODUCT(('目标填报'!$B$4:$B$1500=$B150)*('目标填报'!$C$4:$C$1500=$C150)*('目标填报'!$D$4:$D$1500=$D150)*('目标填报'!$F$4:$F$1500="在手订单")*('目标填报'!$G$3:$R$3=$F$1)*'目标填报'!$G$4:$R$1500))</f>
        <v/>
      </c>
      <c r="Q150" s="38">
        <f>IF($B150="","",SUMPRODUCT(('目标填报'!$B$4:$B$1500=$B150)*('目标填报'!$C$4:$C$1500=$C150)*('目标填报'!$D$4:$D$1500=$D150)*('目标填报'!$F$4:$F$1500="在手订单目标")*('目标填报'!$G$3:$R$3=$F$1)*'目标填报'!$G$4:$R$1500))</f>
        <v/>
      </c>
      <c r="R150" s="39">
        <f>IF($B150="","",IFERROR(P150/Q150,""))</f>
        <v/>
      </c>
      <c r="S150" s="38">
        <f>IF($B150="","",SUMPRODUCT(('目标填报'!$B$4:$B$1500=$B150)*('目标填报'!$C$4:$C$1500=$C150)*('目标填报'!$D$4:$D$1500=$D150)*('目标填报'!$F$4:$F$1500="目标客户机会")*('目标填报'!$G$3:$R$3=$F$1)*'目标填报'!$G$4:$R$1500))</f>
        <v/>
      </c>
      <c r="T150" s="38">
        <f>IF($B150="","",SUMPRODUCT(('目标填报'!$B$4:$B$1500=$B150)*('目标填报'!$C$4:$C$1500=$C150)*('目标填报'!$D$4:$D$1500=$D150)*('目标填报'!$F$4:$F$1500="目标客户机会目标")*('目标填报'!$G$3:$R$3=$F$1)*'目标填报'!$G$4:$R$1500))</f>
        <v/>
      </c>
      <c r="U150" s="39">
        <f>IF($B150="","",IFERROR(S150/T150,""))</f>
        <v/>
      </c>
      <c r="V150" s="38">
        <f>IF($B150="","",P150+S150)</f>
        <v/>
      </c>
      <c r="W150" s="38">
        <f>IF($B150="","",M150-J150)</f>
        <v/>
      </c>
      <c r="X150" s="39">
        <f>IF($B150="","",IFERROR(V150/W150,""))</f>
        <v/>
      </c>
      <c r="Y150" s="40">
        <f>IF($B150="","",V150-W150)</f>
        <v/>
      </c>
    </row>
    <row r="151">
      <c r="A151" s="37">
        <f>IF($B151="","",ROW()-3)</f>
        <v/>
      </c>
      <c r="B151" s="13">
        <f>IF(147+1&gt;COUNTA('维度字典'!$C$2:$C$200)*COUNTA('维度字典'!$A$2:$A$200)*COUNTA('维度字典'!$E$2:$E$200),"",INDEX('维度字典'!$C$2:$C$200,MOD(INT(147/(COUNTA('维度字典'!$E$2:$E$200)*COUNTA('维度字典'!$A$2:$A$200))),COUNTA('维度字典'!$C$2:$C$200))+1))</f>
        <v/>
      </c>
      <c r="C151" s="13">
        <f>IF($B151="","",INDEX('维度字典'!$A$2:$A$200,MOD(INT(147/COUNTA('维度字典'!$E$2:$E$200)),COUNTA('维度字典'!$A$2:$A$200))+1))</f>
        <v/>
      </c>
      <c r="D151" s="13">
        <f>IF($B151="","",INDEX('维度字典'!$E$2:$E$200,MOD(147,COUNTA('维度字典'!$E$2:$E$200))+1))</f>
        <v/>
      </c>
      <c r="E151" s="38">
        <f>IF($B151="","",SUMPRODUCT(('系统实绩导入'!$B$4:$B$1500=$B151)*('系统实绩导入'!$C$4:$C$1500=$C151)*('系统实绩导入'!$D$4:$D$1500=$D151)*('系统实绩导入'!$F$4:$F$1500="实绩销售额")*('系统实绩导入'!$G$3:$R$3=$F$1)*'系统实绩导入'!$G$4:$R$1500))</f>
        <v/>
      </c>
      <c r="F151" s="38">
        <f>IF($B151="","",SUMPRODUCT(('系统实绩导入'!$B$4:$B$1500=$B151)*('系统实绩导入'!$C$4:$C$1500=$C151)*('系统实绩导入'!$D$4:$D$1500=$D151)*('系统实绩导入'!$F$4:$F$1500="实绩毛利")*('系统实绩导入'!$G$3:$R$3=$F$1)*'系统实绩导入'!$G$4:$R$1500))</f>
        <v/>
      </c>
      <c r="G151" s="39">
        <f>IF($B151="","",IFERROR(F151/E151,""))</f>
        <v/>
      </c>
      <c r="H151" s="38">
        <f>IF($B151="","",SUMPRODUCT(('目标填报'!$B$4:$B$1500=$B151)*('目标填报'!$C$4:$C$1500=$C151)*('目标填报'!$D$4:$D$1500=$D151)*('目标填报'!$F$4:$F$1500="销售目标额")*('目标填报'!$G$3:$R$3=$F$1)*'目标填报'!$G$4:$R$1500))</f>
        <v/>
      </c>
      <c r="I151" s="39">
        <f>IF($B151="","",IFERROR(E151/H151,""))</f>
        <v/>
      </c>
      <c r="J151" s="38">
        <f>IF($B151="","",SUMPRODUCT(('系统实绩导入'!$B$4:$B$1500=$B151)*('系统实绩导入'!$C$4:$C$1500=$C151)*('系统实绩导入'!$D$4:$D$1500=$D151)*('系统实绩导入'!$F$4:$F$1500="实绩销售额")*('系统实绩导入'!$G$3:$R$3&lt;=$F$1)*'系统实绩导入'!$G$4:$R$1500))</f>
        <v/>
      </c>
      <c r="K151" s="38">
        <f>IF($B151="","",SUMPRODUCT(('系统实绩导入'!$B$4:$B$1500=$B151)*('系统实绩导入'!$C$4:$C$1500=$C151)*('系统实绩导入'!$D$4:$D$1500=$D151)*('系统实绩导入'!$F$4:$F$1500="实绩毛利")*('系统实绩导入'!$G$3:$R$3&lt;=$F$1)*'系统实绩导入'!$G$4:$R$1500))</f>
        <v/>
      </c>
      <c r="L151" s="39">
        <f>IF($B151="","",IFERROR(K151/J151,""))</f>
        <v/>
      </c>
      <c r="M151" s="38">
        <f>IF($B151="","",SUMIFS('目标填报'!$S$4:$S$1500,'目标填报'!$B$4:$B$1500,$B151,'目标填报'!$C$4:$C$1500,$C151,'目标填报'!$D$4:$D$1500,$D151,'目标填报'!$F$4:$F$1500,"销售目标额"))</f>
        <v/>
      </c>
      <c r="N151" s="39">
        <f>IF($B151="","",IFERROR(J151/M151,""))</f>
        <v/>
      </c>
      <c r="O151" s="40">
        <f>IF($B151="","",J151-M151)</f>
        <v/>
      </c>
      <c r="P151" s="38">
        <f>IF($B151="","",SUMPRODUCT(('目标填报'!$B$4:$B$1500=$B151)*('目标填报'!$C$4:$C$1500=$C151)*('目标填报'!$D$4:$D$1500=$D151)*('目标填报'!$F$4:$F$1500="在手订单")*('目标填报'!$G$3:$R$3=$F$1)*'目标填报'!$G$4:$R$1500))</f>
        <v/>
      </c>
      <c r="Q151" s="38">
        <f>IF($B151="","",SUMPRODUCT(('目标填报'!$B$4:$B$1500=$B151)*('目标填报'!$C$4:$C$1500=$C151)*('目标填报'!$D$4:$D$1500=$D151)*('目标填报'!$F$4:$F$1500="在手订单目标")*('目标填报'!$G$3:$R$3=$F$1)*'目标填报'!$G$4:$R$1500))</f>
        <v/>
      </c>
      <c r="R151" s="39">
        <f>IF($B151="","",IFERROR(P151/Q151,""))</f>
        <v/>
      </c>
      <c r="S151" s="38">
        <f>IF($B151="","",SUMPRODUCT(('目标填报'!$B$4:$B$1500=$B151)*('目标填报'!$C$4:$C$1500=$C151)*('目标填报'!$D$4:$D$1500=$D151)*('目标填报'!$F$4:$F$1500="目标客户机会")*('目标填报'!$G$3:$R$3=$F$1)*'目标填报'!$G$4:$R$1500))</f>
        <v/>
      </c>
      <c r="T151" s="38">
        <f>IF($B151="","",SUMPRODUCT(('目标填报'!$B$4:$B$1500=$B151)*('目标填报'!$C$4:$C$1500=$C151)*('目标填报'!$D$4:$D$1500=$D151)*('目标填报'!$F$4:$F$1500="目标客户机会目标")*('目标填报'!$G$3:$R$3=$F$1)*'目标填报'!$G$4:$R$1500))</f>
        <v/>
      </c>
      <c r="U151" s="39">
        <f>IF($B151="","",IFERROR(S151/T151,""))</f>
        <v/>
      </c>
      <c r="V151" s="38">
        <f>IF($B151="","",P151+S151)</f>
        <v/>
      </c>
      <c r="W151" s="38">
        <f>IF($B151="","",M151-J151)</f>
        <v/>
      </c>
      <c r="X151" s="39">
        <f>IF($B151="","",IFERROR(V151/W151,""))</f>
        <v/>
      </c>
      <c r="Y151" s="40">
        <f>IF($B151="","",V151-W151)</f>
        <v/>
      </c>
    </row>
    <row r="152">
      <c r="A152" s="37">
        <f>IF($B152="","",ROW()-3)</f>
        <v/>
      </c>
      <c r="B152" s="13">
        <f>IF(148+1&gt;COUNTA('维度字典'!$C$2:$C$200)*COUNTA('维度字典'!$A$2:$A$200)*COUNTA('维度字典'!$E$2:$E$200),"",INDEX('维度字典'!$C$2:$C$200,MOD(INT(148/(COUNTA('维度字典'!$E$2:$E$200)*COUNTA('维度字典'!$A$2:$A$200))),COUNTA('维度字典'!$C$2:$C$200))+1))</f>
        <v/>
      </c>
      <c r="C152" s="13">
        <f>IF($B152="","",INDEX('维度字典'!$A$2:$A$200,MOD(INT(148/COUNTA('维度字典'!$E$2:$E$200)),COUNTA('维度字典'!$A$2:$A$200))+1))</f>
        <v/>
      </c>
      <c r="D152" s="13">
        <f>IF($B152="","",INDEX('维度字典'!$E$2:$E$200,MOD(148,COUNTA('维度字典'!$E$2:$E$200))+1))</f>
        <v/>
      </c>
      <c r="E152" s="38">
        <f>IF($B152="","",SUMPRODUCT(('系统实绩导入'!$B$4:$B$1500=$B152)*('系统实绩导入'!$C$4:$C$1500=$C152)*('系统实绩导入'!$D$4:$D$1500=$D152)*('系统实绩导入'!$F$4:$F$1500="实绩销售额")*('系统实绩导入'!$G$3:$R$3=$F$1)*'系统实绩导入'!$G$4:$R$1500))</f>
        <v/>
      </c>
      <c r="F152" s="38">
        <f>IF($B152="","",SUMPRODUCT(('系统实绩导入'!$B$4:$B$1500=$B152)*('系统实绩导入'!$C$4:$C$1500=$C152)*('系统实绩导入'!$D$4:$D$1500=$D152)*('系统实绩导入'!$F$4:$F$1500="实绩毛利")*('系统实绩导入'!$G$3:$R$3=$F$1)*'系统实绩导入'!$G$4:$R$1500))</f>
        <v/>
      </c>
      <c r="G152" s="39">
        <f>IF($B152="","",IFERROR(F152/E152,""))</f>
        <v/>
      </c>
      <c r="H152" s="38">
        <f>IF($B152="","",SUMPRODUCT(('目标填报'!$B$4:$B$1500=$B152)*('目标填报'!$C$4:$C$1500=$C152)*('目标填报'!$D$4:$D$1500=$D152)*('目标填报'!$F$4:$F$1500="销售目标额")*('目标填报'!$G$3:$R$3=$F$1)*'目标填报'!$G$4:$R$1500))</f>
        <v/>
      </c>
      <c r="I152" s="39">
        <f>IF($B152="","",IFERROR(E152/H152,""))</f>
        <v/>
      </c>
      <c r="J152" s="38">
        <f>IF($B152="","",SUMPRODUCT(('系统实绩导入'!$B$4:$B$1500=$B152)*('系统实绩导入'!$C$4:$C$1500=$C152)*('系统实绩导入'!$D$4:$D$1500=$D152)*('系统实绩导入'!$F$4:$F$1500="实绩销售额")*('系统实绩导入'!$G$3:$R$3&lt;=$F$1)*'系统实绩导入'!$G$4:$R$1500))</f>
        <v/>
      </c>
      <c r="K152" s="38">
        <f>IF($B152="","",SUMPRODUCT(('系统实绩导入'!$B$4:$B$1500=$B152)*('系统实绩导入'!$C$4:$C$1500=$C152)*('系统实绩导入'!$D$4:$D$1500=$D152)*('系统实绩导入'!$F$4:$F$1500="实绩毛利")*('系统实绩导入'!$G$3:$R$3&lt;=$F$1)*'系统实绩导入'!$G$4:$R$1500))</f>
        <v/>
      </c>
      <c r="L152" s="39">
        <f>IF($B152="","",IFERROR(K152/J152,""))</f>
        <v/>
      </c>
      <c r="M152" s="38">
        <f>IF($B152="","",SUMIFS('目标填报'!$S$4:$S$1500,'目标填报'!$B$4:$B$1500,$B152,'目标填报'!$C$4:$C$1500,$C152,'目标填报'!$D$4:$D$1500,$D152,'目标填报'!$F$4:$F$1500,"销售目标额"))</f>
        <v/>
      </c>
      <c r="N152" s="39">
        <f>IF($B152="","",IFERROR(J152/M152,""))</f>
        <v/>
      </c>
      <c r="O152" s="40">
        <f>IF($B152="","",J152-M152)</f>
        <v/>
      </c>
      <c r="P152" s="38">
        <f>IF($B152="","",SUMPRODUCT(('目标填报'!$B$4:$B$1500=$B152)*('目标填报'!$C$4:$C$1500=$C152)*('目标填报'!$D$4:$D$1500=$D152)*('目标填报'!$F$4:$F$1500="在手订单")*('目标填报'!$G$3:$R$3=$F$1)*'目标填报'!$G$4:$R$1500))</f>
        <v/>
      </c>
      <c r="Q152" s="38">
        <f>IF($B152="","",SUMPRODUCT(('目标填报'!$B$4:$B$1500=$B152)*('目标填报'!$C$4:$C$1500=$C152)*('目标填报'!$D$4:$D$1500=$D152)*('目标填报'!$F$4:$F$1500="在手订单目标")*('目标填报'!$G$3:$R$3=$F$1)*'目标填报'!$G$4:$R$1500))</f>
        <v/>
      </c>
      <c r="R152" s="39">
        <f>IF($B152="","",IFERROR(P152/Q152,""))</f>
        <v/>
      </c>
      <c r="S152" s="38">
        <f>IF($B152="","",SUMPRODUCT(('目标填报'!$B$4:$B$1500=$B152)*('目标填报'!$C$4:$C$1500=$C152)*('目标填报'!$D$4:$D$1500=$D152)*('目标填报'!$F$4:$F$1500="目标客户机会")*('目标填报'!$G$3:$R$3=$F$1)*'目标填报'!$G$4:$R$1500))</f>
        <v/>
      </c>
      <c r="T152" s="38">
        <f>IF($B152="","",SUMPRODUCT(('目标填报'!$B$4:$B$1500=$B152)*('目标填报'!$C$4:$C$1500=$C152)*('目标填报'!$D$4:$D$1500=$D152)*('目标填报'!$F$4:$F$1500="目标客户机会目标")*('目标填报'!$G$3:$R$3=$F$1)*'目标填报'!$G$4:$R$1500))</f>
        <v/>
      </c>
      <c r="U152" s="39">
        <f>IF($B152="","",IFERROR(S152/T152,""))</f>
        <v/>
      </c>
      <c r="V152" s="38">
        <f>IF($B152="","",P152+S152)</f>
        <v/>
      </c>
      <c r="W152" s="38">
        <f>IF($B152="","",M152-J152)</f>
        <v/>
      </c>
      <c r="X152" s="39">
        <f>IF($B152="","",IFERROR(V152/W152,""))</f>
        <v/>
      </c>
      <c r="Y152" s="40">
        <f>IF($B152="","",V152-W152)</f>
        <v/>
      </c>
    </row>
    <row r="153">
      <c r="A153" s="37">
        <f>IF($B153="","",ROW()-3)</f>
        <v/>
      </c>
      <c r="B153" s="13">
        <f>IF(149+1&gt;COUNTA('维度字典'!$C$2:$C$200)*COUNTA('维度字典'!$A$2:$A$200)*COUNTA('维度字典'!$E$2:$E$200),"",INDEX('维度字典'!$C$2:$C$200,MOD(INT(149/(COUNTA('维度字典'!$E$2:$E$200)*COUNTA('维度字典'!$A$2:$A$200))),COUNTA('维度字典'!$C$2:$C$200))+1))</f>
        <v/>
      </c>
      <c r="C153" s="13">
        <f>IF($B153="","",INDEX('维度字典'!$A$2:$A$200,MOD(INT(149/COUNTA('维度字典'!$E$2:$E$200)),COUNTA('维度字典'!$A$2:$A$200))+1))</f>
        <v/>
      </c>
      <c r="D153" s="13">
        <f>IF($B153="","",INDEX('维度字典'!$E$2:$E$200,MOD(149,COUNTA('维度字典'!$E$2:$E$200))+1))</f>
        <v/>
      </c>
      <c r="E153" s="38">
        <f>IF($B153="","",SUMPRODUCT(('系统实绩导入'!$B$4:$B$1500=$B153)*('系统实绩导入'!$C$4:$C$1500=$C153)*('系统实绩导入'!$D$4:$D$1500=$D153)*('系统实绩导入'!$F$4:$F$1500="实绩销售额")*('系统实绩导入'!$G$3:$R$3=$F$1)*'系统实绩导入'!$G$4:$R$1500))</f>
        <v/>
      </c>
      <c r="F153" s="38">
        <f>IF($B153="","",SUMPRODUCT(('系统实绩导入'!$B$4:$B$1500=$B153)*('系统实绩导入'!$C$4:$C$1500=$C153)*('系统实绩导入'!$D$4:$D$1500=$D153)*('系统实绩导入'!$F$4:$F$1500="实绩毛利")*('系统实绩导入'!$G$3:$R$3=$F$1)*'系统实绩导入'!$G$4:$R$1500))</f>
        <v/>
      </c>
      <c r="G153" s="39">
        <f>IF($B153="","",IFERROR(F153/E153,""))</f>
        <v/>
      </c>
      <c r="H153" s="38">
        <f>IF($B153="","",SUMPRODUCT(('目标填报'!$B$4:$B$1500=$B153)*('目标填报'!$C$4:$C$1500=$C153)*('目标填报'!$D$4:$D$1500=$D153)*('目标填报'!$F$4:$F$1500="销售目标额")*('目标填报'!$G$3:$R$3=$F$1)*'目标填报'!$G$4:$R$1500))</f>
        <v/>
      </c>
      <c r="I153" s="39">
        <f>IF($B153="","",IFERROR(E153/H153,""))</f>
        <v/>
      </c>
      <c r="J153" s="38">
        <f>IF($B153="","",SUMPRODUCT(('系统实绩导入'!$B$4:$B$1500=$B153)*('系统实绩导入'!$C$4:$C$1500=$C153)*('系统实绩导入'!$D$4:$D$1500=$D153)*('系统实绩导入'!$F$4:$F$1500="实绩销售额")*('系统实绩导入'!$G$3:$R$3&lt;=$F$1)*'系统实绩导入'!$G$4:$R$1500))</f>
        <v/>
      </c>
      <c r="K153" s="38">
        <f>IF($B153="","",SUMPRODUCT(('系统实绩导入'!$B$4:$B$1500=$B153)*('系统实绩导入'!$C$4:$C$1500=$C153)*('系统实绩导入'!$D$4:$D$1500=$D153)*('系统实绩导入'!$F$4:$F$1500="实绩毛利")*('系统实绩导入'!$G$3:$R$3&lt;=$F$1)*'系统实绩导入'!$G$4:$R$1500))</f>
        <v/>
      </c>
      <c r="L153" s="39">
        <f>IF($B153="","",IFERROR(K153/J153,""))</f>
        <v/>
      </c>
      <c r="M153" s="38">
        <f>IF($B153="","",SUMIFS('目标填报'!$S$4:$S$1500,'目标填报'!$B$4:$B$1500,$B153,'目标填报'!$C$4:$C$1500,$C153,'目标填报'!$D$4:$D$1500,$D153,'目标填报'!$F$4:$F$1500,"销售目标额"))</f>
        <v/>
      </c>
      <c r="N153" s="39">
        <f>IF($B153="","",IFERROR(J153/M153,""))</f>
        <v/>
      </c>
      <c r="O153" s="40">
        <f>IF($B153="","",J153-M153)</f>
        <v/>
      </c>
      <c r="P153" s="38">
        <f>IF($B153="","",SUMPRODUCT(('目标填报'!$B$4:$B$1500=$B153)*('目标填报'!$C$4:$C$1500=$C153)*('目标填报'!$D$4:$D$1500=$D153)*('目标填报'!$F$4:$F$1500="在手订单")*('目标填报'!$G$3:$R$3=$F$1)*'目标填报'!$G$4:$R$1500))</f>
        <v/>
      </c>
      <c r="Q153" s="38">
        <f>IF($B153="","",SUMPRODUCT(('目标填报'!$B$4:$B$1500=$B153)*('目标填报'!$C$4:$C$1500=$C153)*('目标填报'!$D$4:$D$1500=$D153)*('目标填报'!$F$4:$F$1500="在手订单目标")*('目标填报'!$G$3:$R$3=$F$1)*'目标填报'!$G$4:$R$1500))</f>
        <v/>
      </c>
      <c r="R153" s="39">
        <f>IF($B153="","",IFERROR(P153/Q153,""))</f>
        <v/>
      </c>
      <c r="S153" s="38">
        <f>IF($B153="","",SUMPRODUCT(('目标填报'!$B$4:$B$1500=$B153)*('目标填报'!$C$4:$C$1500=$C153)*('目标填报'!$D$4:$D$1500=$D153)*('目标填报'!$F$4:$F$1500="目标客户机会")*('目标填报'!$G$3:$R$3=$F$1)*'目标填报'!$G$4:$R$1500))</f>
        <v/>
      </c>
      <c r="T153" s="38">
        <f>IF($B153="","",SUMPRODUCT(('目标填报'!$B$4:$B$1500=$B153)*('目标填报'!$C$4:$C$1500=$C153)*('目标填报'!$D$4:$D$1500=$D153)*('目标填报'!$F$4:$F$1500="目标客户机会目标")*('目标填报'!$G$3:$R$3=$F$1)*'目标填报'!$G$4:$R$1500))</f>
        <v/>
      </c>
      <c r="U153" s="39">
        <f>IF($B153="","",IFERROR(S153/T153,""))</f>
        <v/>
      </c>
      <c r="V153" s="38">
        <f>IF($B153="","",P153+S153)</f>
        <v/>
      </c>
      <c r="W153" s="38">
        <f>IF($B153="","",M153-J153)</f>
        <v/>
      </c>
      <c r="X153" s="39">
        <f>IF($B153="","",IFERROR(V153/W153,""))</f>
        <v/>
      </c>
      <c r="Y153" s="40">
        <f>IF($B153="","",V153-W153)</f>
        <v/>
      </c>
    </row>
    <row r="154">
      <c r="A154" s="37">
        <f>IF($B154="","",ROW()-3)</f>
        <v/>
      </c>
      <c r="B154" s="13">
        <f>IF(150+1&gt;COUNTA('维度字典'!$C$2:$C$200)*COUNTA('维度字典'!$A$2:$A$200)*COUNTA('维度字典'!$E$2:$E$200),"",INDEX('维度字典'!$C$2:$C$200,MOD(INT(150/(COUNTA('维度字典'!$E$2:$E$200)*COUNTA('维度字典'!$A$2:$A$200))),COUNTA('维度字典'!$C$2:$C$200))+1))</f>
        <v/>
      </c>
      <c r="C154" s="13">
        <f>IF($B154="","",INDEX('维度字典'!$A$2:$A$200,MOD(INT(150/COUNTA('维度字典'!$E$2:$E$200)),COUNTA('维度字典'!$A$2:$A$200))+1))</f>
        <v/>
      </c>
      <c r="D154" s="13">
        <f>IF($B154="","",INDEX('维度字典'!$E$2:$E$200,MOD(150,COUNTA('维度字典'!$E$2:$E$200))+1))</f>
        <v/>
      </c>
      <c r="E154" s="38">
        <f>IF($B154="","",SUMPRODUCT(('系统实绩导入'!$B$4:$B$1500=$B154)*('系统实绩导入'!$C$4:$C$1500=$C154)*('系统实绩导入'!$D$4:$D$1500=$D154)*('系统实绩导入'!$F$4:$F$1500="实绩销售额")*('系统实绩导入'!$G$3:$R$3=$F$1)*'系统实绩导入'!$G$4:$R$1500))</f>
        <v/>
      </c>
      <c r="F154" s="38">
        <f>IF($B154="","",SUMPRODUCT(('系统实绩导入'!$B$4:$B$1500=$B154)*('系统实绩导入'!$C$4:$C$1500=$C154)*('系统实绩导入'!$D$4:$D$1500=$D154)*('系统实绩导入'!$F$4:$F$1500="实绩毛利")*('系统实绩导入'!$G$3:$R$3=$F$1)*'系统实绩导入'!$G$4:$R$1500))</f>
        <v/>
      </c>
      <c r="G154" s="39">
        <f>IF($B154="","",IFERROR(F154/E154,""))</f>
        <v/>
      </c>
      <c r="H154" s="38">
        <f>IF($B154="","",SUMPRODUCT(('目标填报'!$B$4:$B$1500=$B154)*('目标填报'!$C$4:$C$1500=$C154)*('目标填报'!$D$4:$D$1500=$D154)*('目标填报'!$F$4:$F$1500="销售目标额")*('目标填报'!$G$3:$R$3=$F$1)*'目标填报'!$G$4:$R$1500))</f>
        <v/>
      </c>
      <c r="I154" s="39">
        <f>IF($B154="","",IFERROR(E154/H154,""))</f>
        <v/>
      </c>
      <c r="J154" s="38">
        <f>IF($B154="","",SUMPRODUCT(('系统实绩导入'!$B$4:$B$1500=$B154)*('系统实绩导入'!$C$4:$C$1500=$C154)*('系统实绩导入'!$D$4:$D$1500=$D154)*('系统实绩导入'!$F$4:$F$1500="实绩销售额")*('系统实绩导入'!$G$3:$R$3&lt;=$F$1)*'系统实绩导入'!$G$4:$R$1500))</f>
        <v/>
      </c>
      <c r="K154" s="38">
        <f>IF($B154="","",SUMPRODUCT(('系统实绩导入'!$B$4:$B$1500=$B154)*('系统实绩导入'!$C$4:$C$1500=$C154)*('系统实绩导入'!$D$4:$D$1500=$D154)*('系统实绩导入'!$F$4:$F$1500="实绩毛利")*('系统实绩导入'!$G$3:$R$3&lt;=$F$1)*'系统实绩导入'!$G$4:$R$1500))</f>
        <v/>
      </c>
      <c r="L154" s="39">
        <f>IF($B154="","",IFERROR(K154/J154,""))</f>
        <v/>
      </c>
      <c r="M154" s="38">
        <f>IF($B154="","",SUMIFS('目标填报'!$S$4:$S$1500,'目标填报'!$B$4:$B$1500,$B154,'目标填报'!$C$4:$C$1500,$C154,'目标填报'!$D$4:$D$1500,$D154,'目标填报'!$F$4:$F$1500,"销售目标额"))</f>
        <v/>
      </c>
      <c r="N154" s="39">
        <f>IF($B154="","",IFERROR(J154/M154,""))</f>
        <v/>
      </c>
      <c r="O154" s="40">
        <f>IF($B154="","",J154-M154)</f>
        <v/>
      </c>
      <c r="P154" s="38">
        <f>IF($B154="","",SUMPRODUCT(('目标填报'!$B$4:$B$1500=$B154)*('目标填报'!$C$4:$C$1500=$C154)*('目标填报'!$D$4:$D$1500=$D154)*('目标填报'!$F$4:$F$1500="在手订单")*('目标填报'!$G$3:$R$3=$F$1)*'目标填报'!$G$4:$R$1500))</f>
        <v/>
      </c>
      <c r="Q154" s="38">
        <f>IF($B154="","",SUMPRODUCT(('目标填报'!$B$4:$B$1500=$B154)*('目标填报'!$C$4:$C$1500=$C154)*('目标填报'!$D$4:$D$1500=$D154)*('目标填报'!$F$4:$F$1500="在手订单目标")*('目标填报'!$G$3:$R$3=$F$1)*'目标填报'!$G$4:$R$1500))</f>
        <v/>
      </c>
      <c r="R154" s="39">
        <f>IF($B154="","",IFERROR(P154/Q154,""))</f>
        <v/>
      </c>
      <c r="S154" s="38">
        <f>IF($B154="","",SUMPRODUCT(('目标填报'!$B$4:$B$1500=$B154)*('目标填报'!$C$4:$C$1500=$C154)*('目标填报'!$D$4:$D$1500=$D154)*('目标填报'!$F$4:$F$1500="目标客户机会")*('目标填报'!$G$3:$R$3=$F$1)*'目标填报'!$G$4:$R$1500))</f>
        <v/>
      </c>
      <c r="T154" s="38">
        <f>IF($B154="","",SUMPRODUCT(('目标填报'!$B$4:$B$1500=$B154)*('目标填报'!$C$4:$C$1500=$C154)*('目标填报'!$D$4:$D$1500=$D154)*('目标填报'!$F$4:$F$1500="目标客户机会目标")*('目标填报'!$G$3:$R$3=$F$1)*'目标填报'!$G$4:$R$1500))</f>
        <v/>
      </c>
      <c r="U154" s="39">
        <f>IF($B154="","",IFERROR(S154/T154,""))</f>
        <v/>
      </c>
      <c r="V154" s="38">
        <f>IF($B154="","",P154+S154)</f>
        <v/>
      </c>
      <c r="W154" s="38">
        <f>IF($B154="","",M154-J154)</f>
        <v/>
      </c>
      <c r="X154" s="39">
        <f>IF($B154="","",IFERROR(V154/W154,""))</f>
        <v/>
      </c>
      <c r="Y154" s="40">
        <f>IF($B154="","",V154-W154)</f>
        <v/>
      </c>
    </row>
    <row r="155">
      <c r="A155" s="37">
        <f>IF($B155="","",ROW()-3)</f>
        <v/>
      </c>
      <c r="B155" s="13">
        <f>IF(151+1&gt;COUNTA('维度字典'!$C$2:$C$200)*COUNTA('维度字典'!$A$2:$A$200)*COUNTA('维度字典'!$E$2:$E$200),"",INDEX('维度字典'!$C$2:$C$200,MOD(INT(151/(COUNTA('维度字典'!$E$2:$E$200)*COUNTA('维度字典'!$A$2:$A$200))),COUNTA('维度字典'!$C$2:$C$200))+1))</f>
        <v/>
      </c>
      <c r="C155" s="13">
        <f>IF($B155="","",INDEX('维度字典'!$A$2:$A$200,MOD(INT(151/COUNTA('维度字典'!$E$2:$E$200)),COUNTA('维度字典'!$A$2:$A$200))+1))</f>
        <v/>
      </c>
      <c r="D155" s="13">
        <f>IF($B155="","",INDEX('维度字典'!$E$2:$E$200,MOD(151,COUNTA('维度字典'!$E$2:$E$200))+1))</f>
        <v/>
      </c>
      <c r="E155" s="38">
        <f>IF($B155="","",SUMPRODUCT(('系统实绩导入'!$B$4:$B$1500=$B155)*('系统实绩导入'!$C$4:$C$1500=$C155)*('系统实绩导入'!$D$4:$D$1500=$D155)*('系统实绩导入'!$F$4:$F$1500="实绩销售额")*('系统实绩导入'!$G$3:$R$3=$F$1)*'系统实绩导入'!$G$4:$R$1500))</f>
        <v/>
      </c>
      <c r="F155" s="38">
        <f>IF($B155="","",SUMPRODUCT(('系统实绩导入'!$B$4:$B$1500=$B155)*('系统实绩导入'!$C$4:$C$1500=$C155)*('系统实绩导入'!$D$4:$D$1500=$D155)*('系统实绩导入'!$F$4:$F$1500="实绩毛利")*('系统实绩导入'!$G$3:$R$3=$F$1)*'系统实绩导入'!$G$4:$R$1500))</f>
        <v/>
      </c>
      <c r="G155" s="39">
        <f>IF($B155="","",IFERROR(F155/E155,""))</f>
        <v/>
      </c>
      <c r="H155" s="38">
        <f>IF($B155="","",SUMPRODUCT(('目标填报'!$B$4:$B$1500=$B155)*('目标填报'!$C$4:$C$1500=$C155)*('目标填报'!$D$4:$D$1500=$D155)*('目标填报'!$F$4:$F$1500="销售目标额")*('目标填报'!$G$3:$R$3=$F$1)*'目标填报'!$G$4:$R$1500))</f>
        <v/>
      </c>
      <c r="I155" s="39">
        <f>IF($B155="","",IFERROR(E155/H155,""))</f>
        <v/>
      </c>
      <c r="J155" s="38">
        <f>IF($B155="","",SUMPRODUCT(('系统实绩导入'!$B$4:$B$1500=$B155)*('系统实绩导入'!$C$4:$C$1500=$C155)*('系统实绩导入'!$D$4:$D$1500=$D155)*('系统实绩导入'!$F$4:$F$1500="实绩销售额")*('系统实绩导入'!$G$3:$R$3&lt;=$F$1)*'系统实绩导入'!$G$4:$R$1500))</f>
        <v/>
      </c>
      <c r="K155" s="38">
        <f>IF($B155="","",SUMPRODUCT(('系统实绩导入'!$B$4:$B$1500=$B155)*('系统实绩导入'!$C$4:$C$1500=$C155)*('系统实绩导入'!$D$4:$D$1500=$D155)*('系统实绩导入'!$F$4:$F$1500="实绩毛利")*('系统实绩导入'!$G$3:$R$3&lt;=$F$1)*'系统实绩导入'!$G$4:$R$1500))</f>
        <v/>
      </c>
      <c r="L155" s="39">
        <f>IF($B155="","",IFERROR(K155/J155,""))</f>
        <v/>
      </c>
      <c r="M155" s="38">
        <f>IF($B155="","",SUMIFS('目标填报'!$S$4:$S$1500,'目标填报'!$B$4:$B$1500,$B155,'目标填报'!$C$4:$C$1500,$C155,'目标填报'!$D$4:$D$1500,$D155,'目标填报'!$F$4:$F$1500,"销售目标额"))</f>
        <v/>
      </c>
      <c r="N155" s="39">
        <f>IF($B155="","",IFERROR(J155/M155,""))</f>
        <v/>
      </c>
      <c r="O155" s="40">
        <f>IF($B155="","",J155-M155)</f>
        <v/>
      </c>
      <c r="P155" s="38">
        <f>IF($B155="","",SUMPRODUCT(('目标填报'!$B$4:$B$1500=$B155)*('目标填报'!$C$4:$C$1500=$C155)*('目标填报'!$D$4:$D$1500=$D155)*('目标填报'!$F$4:$F$1500="在手订单")*('目标填报'!$G$3:$R$3=$F$1)*'目标填报'!$G$4:$R$1500))</f>
        <v/>
      </c>
      <c r="Q155" s="38">
        <f>IF($B155="","",SUMPRODUCT(('目标填报'!$B$4:$B$1500=$B155)*('目标填报'!$C$4:$C$1500=$C155)*('目标填报'!$D$4:$D$1500=$D155)*('目标填报'!$F$4:$F$1500="在手订单目标")*('目标填报'!$G$3:$R$3=$F$1)*'目标填报'!$G$4:$R$1500))</f>
        <v/>
      </c>
      <c r="R155" s="39">
        <f>IF($B155="","",IFERROR(P155/Q155,""))</f>
        <v/>
      </c>
      <c r="S155" s="38">
        <f>IF($B155="","",SUMPRODUCT(('目标填报'!$B$4:$B$1500=$B155)*('目标填报'!$C$4:$C$1500=$C155)*('目标填报'!$D$4:$D$1500=$D155)*('目标填报'!$F$4:$F$1500="目标客户机会")*('目标填报'!$G$3:$R$3=$F$1)*'目标填报'!$G$4:$R$1500))</f>
        <v/>
      </c>
      <c r="T155" s="38">
        <f>IF($B155="","",SUMPRODUCT(('目标填报'!$B$4:$B$1500=$B155)*('目标填报'!$C$4:$C$1500=$C155)*('目标填报'!$D$4:$D$1500=$D155)*('目标填报'!$F$4:$F$1500="目标客户机会目标")*('目标填报'!$G$3:$R$3=$F$1)*'目标填报'!$G$4:$R$1500))</f>
        <v/>
      </c>
      <c r="U155" s="39">
        <f>IF($B155="","",IFERROR(S155/T155,""))</f>
        <v/>
      </c>
      <c r="V155" s="38">
        <f>IF($B155="","",P155+S155)</f>
        <v/>
      </c>
      <c r="W155" s="38">
        <f>IF($B155="","",M155-J155)</f>
        <v/>
      </c>
      <c r="X155" s="39">
        <f>IF($B155="","",IFERROR(V155/W155,""))</f>
        <v/>
      </c>
      <c r="Y155" s="40">
        <f>IF($B155="","",V155-W155)</f>
        <v/>
      </c>
    </row>
    <row r="156">
      <c r="A156" s="37">
        <f>IF($B156="","",ROW()-3)</f>
        <v/>
      </c>
      <c r="B156" s="13">
        <f>IF(152+1&gt;COUNTA('维度字典'!$C$2:$C$200)*COUNTA('维度字典'!$A$2:$A$200)*COUNTA('维度字典'!$E$2:$E$200),"",INDEX('维度字典'!$C$2:$C$200,MOD(INT(152/(COUNTA('维度字典'!$E$2:$E$200)*COUNTA('维度字典'!$A$2:$A$200))),COUNTA('维度字典'!$C$2:$C$200))+1))</f>
        <v/>
      </c>
      <c r="C156" s="13">
        <f>IF($B156="","",INDEX('维度字典'!$A$2:$A$200,MOD(INT(152/COUNTA('维度字典'!$E$2:$E$200)),COUNTA('维度字典'!$A$2:$A$200))+1))</f>
        <v/>
      </c>
      <c r="D156" s="13">
        <f>IF($B156="","",INDEX('维度字典'!$E$2:$E$200,MOD(152,COUNTA('维度字典'!$E$2:$E$200))+1))</f>
        <v/>
      </c>
      <c r="E156" s="38">
        <f>IF($B156="","",SUMPRODUCT(('系统实绩导入'!$B$4:$B$1500=$B156)*('系统实绩导入'!$C$4:$C$1500=$C156)*('系统实绩导入'!$D$4:$D$1500=$D156)*('系统实绩导入'!$F$4:$F$1500="实绩销售额")*('系统实绩导入'!$G$3:$R$3=$F$1)*'系统实绩导入'!$G$4:$R$1500))</f>
        <v/>
      </c>
      <c r="F156" s="38">
        <f>IF($B156="","",SUMPRODUCT(('系统实绩导入'!$B$4:$B$1500=$B156)*('系统实绩导入'!$C$4:$C$1500=$C156)*('系统实绩导入'!$D$4:$D$1500=$D156)*('系统实绩导入'!$F$4:$F$1500="实绩毛利")*('系统实绩导入'!$G$3:$R$3=$F$1)*'系统实绩导入'!$G$4:$R$1500))</f>
        <v/>
      </c>
      <c r="G156" s="39">
        <f>IF($B156="","",IFERROR(F156/E156,""))</f>
        <v/>
      </c>
      <c r="H156" s="38">
        <f>IF($B156="","",SUMPRODUCT(('目标填报'!$B$4:$B$1500=$B156)*('目标填报'!$C$4:$C$1500=$C156)*('目标填报'!$D$4:$D$1500=$D156)*('目标填报'!$F$4:$F$1500="销售目标额")*('目标填报'!$G$3:$R$3=$F$1)*'目标填报'!$G$4:$R$1500))</f>
        <v/>
      </c>
      <c r="I156" s="39">
        <f>IF($B156="","",IFERROR(E156/H156,""))</f>
        <v/>
      </c>
      <c r="J156" s="38">
        <f>IF($B156="","",SUMPRODUCT(('系统实绩导入'!$B$4:$B$1500=$B156)*('系统实绩导入'!$C$4:$C$1500=$C156)*('系统实绩导入'!$D$4:$D$1500=$D156)*('系统实绩导入'!$F$4:$F$1500="实绩销售额")*('系统实绩导入'!$G$3:$R$3&lt;=$F$1)*'系统实绩导入'!$G$4:$R$1500))</f>
        <v/>
      </c>
      <c r="K156" s="38">
        <f>IF($B156="","",SUMPRODUCT(('系统实绩导入'!$B$4:$B$1500=$B156)*('系统实绩导入'!$C$4:$C$1500=$C156)*('系统实绩导入'!$D$4:$D$1500=$D156)*('系统实绩导入'!$F$4:$F$1500="实绩毛利")*('系统实绩导入'!$G$3:$R$3&lt;=$F$1)*'系统实绩导入'!$G$4:$R$1500))</f>
        <v/>
      </c>
      <c r="L156" s="39">
        <f>IF($B156="","",IFERROR(K156/J156,""))</f>
        <v/>
      </c>
      <c r="M156" s="38">
        <f>IF($B156="","",SUMIFS('目标填报'!$S$4:$S$1500,'目标填报'!$B$4:$B$1500,$B156,'目标填报'!$C$4:$C$1500,$C156,'目标填报'!$D$4:$D$1500,$D156,'目标填报'!$F$4:$F$1500,"销售目标额"))</f>
        <v/>
      </c>
      <c r="N156" s="39">
        <f>IF($B156="","",IFERROR(J156/M156,""))</f>
        <v/>
      </c>
      <c r="O156" s="40">
        <f>IF($B156="","",J156-M156)</f>
        <v/>
      </c>
      <c r="P156" s="38">
        <f>IF($B156="","",SUMPRODUCT(('目标填报'!$B$4:$B$1500=$B156)*('目标填报'!$C$4:$C$1500=$C156)*('目标填报'!$D$4:$D$1500=$D156)*('目标填报'!$F$4:$F$1500="在手订单")*('目标填报'!$G$3:$R$3=$F$1)*'目标填报'!$G$4:$R$1500))</f>
        <v/>
      </c>
      <c r="Q156" s="38">
        <f>IF($B156="","",SUMPRODUCT(('目标填报'!$B$4:$B$1500=$B156)*('目标填报'!$C$4:$C$1500=$C156)*('目标填报'!$D$4:$D$1500=$D156)*('目标填报'!$F$4:$F$1500="在手订单目标")*('目标填报'!$G$3:$R$3=$F$1)*'目标填报'!$G$4:$R$1500))</f>
        <v/>
      </c>
      <c r="R156" s="39">
        <f>IF($B156="","",IFERROR(P156/Q156,""))</f>
        <v/>
      </c>
      <c r="S156" s="38">
        <f>IF($B156="","",SUMPRODUCT(('目标填报'!$B$4:$B$1500=$B156)*('目标填报'!$C$4:$C$1500=$C156)*('目标填报'!$D$4:$D$1500=$D156)*('目标填报'!$F$4:$F$1500="目标客户机会")*('目标填报'!$G$3:$R$3=$F$1)*'目标填报'!$G$4:$R$1500))</f>
        <v/>
      </c>
      <c r="T156" s="38">
        <f>IF($B156="","",SUMPRODUCT(('目标填报'!$B$4:$B$1500=$B156)*('目标填报'!$C$4:$C$1500=$C156)*('目标填报'!$D$4:$D$1500=$D156)*('目标填报'!$F$4:$F$1500="目标客户机会目标")*('目标填报'!$G$3:$R$3=$F$1)*'目标填报'!$G$4:$R$1500))</f>
        <v/>
      </c>
      <c r="U156" s="39">
        <f>IF($B156="","",IFERROR(S156/T156,""))</f>
        <v/>
      </c>
      <c r="V156" s="38">
        <f>IF($B156="","",P156+S156)</f>
        <v/>
      </c>
      <c r="W156" s="38">
        <f>IF($B156="","",M156-J156)</f>
        <v/>
      </c>
      <c r="X156" s="39">
        <f>IF($B156="","",IFERROR(V156/W156,""))</f>
        <v/>
      </c>
      <c r="Y156" s="40">
        <f>IF($B156="","",V156-W156)</f>
        <v/>
      </c>
    </row>
    <row r="157">
      <c r="A157" s="37">
        <f>IF($B157="","",ROW()-3)</f>
        <v/>
      </c>
      <c r="B157" s="13">
        <f>IF(153+1&gt;COUNTA('维度字典'!$C$2:$C$200)*COUNTA('维度字典'!$A$2:$A$200)*COUNTA('维度字典'!$E$2:$E$200),"",INDEX('维度字典'!$C$2:$C$200,MOD(INT(153/(COUNTA('维度字典'!$E$2:$E$200)*COUNTA('维度字典'!$A$2:$A$200))),COUNTA('维度字典'!$C$2:$C$200))+1))</f>
        <v/>
      </c>
      <c r="C157" s="13">
        <f>IF($B157="","",INDEX('维度字典'!$A$2:$A$200,MOD(INT(153/COUNTA('维度字典'!$E$2:$E$200)),COUNTA('维度字典'!$A$2:$A$200))+1))</f>
        <v/>
      </c>
      <c r="D157" s="13">
        <f>IF($B157="","",INDEX('维度字典'!$E$2:$E$200,MOD(153,COUNTA('维度字典'!$E$2:$E$200))+1))</f>
        <v/>
      </c>
      <c r="E157" s="38">
        <f>IF($B157="","",SUMPRODUCT(('系统实绩导入'!$B$4:$B$1500=$B157)*('系统实绩导入'!$C$4:$C$1500=$C157)*('系统实绩导入'!$D$4:$D$1500=$D157)*('系统实绩导入'!$F$4:$F$1500="实绩销售额")*('系统实绩导入'!$G$3:$R$3=$F$1)*'系统实绩导入'!$G$4:$R$1500))</f>
        <v/>
      </c>
      <c r="F157" s="38">
        <f>IF($B157="","",SUMPRODUCT(('系统实绩导入'!$B$4:$B$1500=$B157)*('系统实绩导入'!$C$4:$C$1500=$C157)*('系统实绩导入'!$D$4:$D$1500=$D157)*('系统实绩导入'!$F$4:$F$1500="实绩毛利")*('系统实绩导入'!$G$3:$R$3=$F$1)*'系统实绩导入'!$G$4:$R$1500))</f>
        <v/>
      </c>
      <c r="G157" s="39">
        <f>IF($B157="","",IFERROR(F157/E157,""))</f>
        <v/>
      </c>
      <c r="H157" s="38">
        <f>IF($B157="","",SUMPRODUCT(('目标填报'!$B$4:$B$1500=$B157)*('目标填报'!$C$4:$C$1500=$C157)*('目标填报'!$D$4:$D$1500=$D157)*('目标填报'!$F$4:$F$1500="销售目标额")*('目标填报'!$G$3:$R$3=$F$1)*'目标填报'!$G$4:$R$1500))</f>
        <v/>
      </c>
      <c r="I157" s="39">
        <f>IF($B157="","",IFERROR(E157/H157,""))</f>
        <v/>
      </c>
      <c r="J157" s="38">
        <f>IF($B157="","",SUMPRODUCT(('系统实绩导入'!$B$4:$B$1500=$B157)*('系统实绩导入'!$C$4:$C$1500=$C157)*('系统实绩导入'!$D$4:$D$1500=$D157)*('系统实绩导入'!$F$4:$F$1500="实绩销售额")*('系统实绩导入'!$G$3:$R$3&lt;=$F$1)*'系统实绩导入'!$G$4:$R$1500))</f>
        <v/>
      </c>
      <c r="K157" s="38">
        <f>IF($B157="","",SUMPRODUCT(('系统实绩导入'!$B$4:$B$1500=$B157)*('系统实绩导入'!$C$4:$C$1500=$C157)*('系统实绩导入'!$D$4:$D$1500=$D157)*('系统实绩导入'!$F$4:$F$1500="实绩毛利")*('系统实绩导入'!$G$3:$R$3&lt;=$F$1)*'系统实绩导入'!$G$4:$R$1500))</f>
        <v/>
      </c>
      <c r="L157" s="39">
        <f>IF($B157="","",IFERROR(K157/J157,""))</f>
        <v/>
      </c>
      <c r="M157" s="38">
        <f>IF($B157="","",SUMIFS('目标填报'!$S$4:$S$1500,'目标填报'!$B$4:$B$1500,$B157,'目标填报'!$C$4:$C$1500,$C157,'目标填报'!$D$4:$D$1500,$D157,'目标填报'!$F$4:$F$1500,"销售目标额"))</f>
        <v/>
      </c>
      <c r="N157" s="39">
        <f>IF($B157="","",IFERROR(J157/M157,""))</f>
        <v/>
      </c>
      <c r="O157" s="40">
        <f>IF($B157="","",J157-M157)</f>
        <v/>
      </c>
      <c r="P157" s="38">
        <f>IF($B157="","",SUMPRODUCT(('目标填报'!$B$4:$B$1500=$B157)*('目标填报'!$C$4:$C$1500=$C157)*('目标填报'!$D$4:$D$1500=$D157)*('目标填报'!$F$4:$F$1500="在手订单")*('目标填报'!$G$3:$R$3=$F$1)*'目标填报'!$G$4:$R$1500))</f>
        <v/>
      </c>
      <c r="Q157" s="38">
        <f>IF($B157="","",SUMPRODUCT(('目标填报'!$B$4:$B$1500=$B157)*('目标填报'!$C$4:$C$1500=$C157)*('目标填报'!$D$4:$D$1500=$D157)*('目标填报'!$F$4:$F$1500="在手订单目标")*('目标填报'!$G$3:$R$3=$F$1)*'目标填报'!$G$4:$R$1500))</f>
        <v/>
      </c>
      <c r="R157" s="39">
        <f>IF($B157="","",IFERROR(P157/Q157,""))</f>
        <v/>
      </c>
      <c r="S157" s="38">
        <f>IF($B157="","",SUMPRODUCT(('目标填报'!$B$4:$B$1500=$B157)*('目标填报'!$C$4:$C$1500=$C157)*('目标填报'!$D$4:$D$1500=$D157)*('目标填报'!$F$4:$F$1500="目标客户机会")*('目标填报'!$G$3:$R$3=$F$1)*'目标填报'!$G$4:$R$1500))</f>
        <v/>
      </c>
      <c r="T157" s="38">
        <f>IF($B157="","",SUMPRODUCT(('目标填报'!$B$4:$B$1500=$B157)*('目标填报'!$C$4:$C$1500=$C157)*('目标填报'!$D$4:$D$1500=$D157)*('目标填报'!$F$4:$F$1500="目标客户机会目标")*('目标填报'!$G$3:$R$3=$F$1)*'目标填报'!$G$4:$R$1500))</f>
        <v/>
      </c>
      <c r="U157" s="39">
        <f>IF($B157="","",IFERROR(S157/T157,""))</f>
        <v/>
      </c>
      <c r="V157" s="38">
        <f>IF($B157="","",P157+S157)</f>
        <v/>
      </c>
      <c r="W157" s="38">
        <f>IF($B157="","",M157-J157)</f>
        <v/>
      </c>
      <c r="X157" s="39">
        <f>IF($B157="","",IFERROR(V157/W157,""))</f>
        <v/>
      </c>
      <c r="Y157" s="40">
        <f>IF($B157="","",V157-W157)</f>
        <v/>
      </c>
    </row>
    <row r="158">
      <c r="A158" s="37">
        <f>IF($B158="","",ROW()-3)</f>
        <v/>
      </c>
      <c r="B158" s="13">
        <f>IF(154+1&gt;COUNTA('维度字典'!$C$2:$C$200)*COUNTA('维度字典'!$A$2:$A$200)*COUNTA('维度字典'!$E$2:$E$200),"",INDEX('维度字典'!$C$2:$C$200,MOD(INT(154/(COUNTA('维度字典'!$E$2:$E$200)*COUNTA('维度字典'!$A$2:$A$200))),COUNTA('维度字典'!$C$2:$C$200))+1))</f>
        <v/>
      </c>
      <c r="C158" s="13">
        <f>IF($B158="","",INDEX('维度字典'!$A$2:$A$200,MOD(INT(154/COUNTA('维度字典'!$E$2:$E$200)),COUNTA('维度字典'!$A$2:$A$200))+1))</f>
        <v/>
      </c>
      <c r="D158" s="13">
        <f>IF($B158="","",INDEX('维度字典'!$E$2:$E$200,MOD(154,COUNTA('维度字典'!$E$2:$E$200))+1))</f>
        <v/>
      </c>
      <c r="E158" s="38">
        <f>IF($B158="","",SUMPRODUCT(('系统实绩导入'!$B$4:$B$1500=$B158)*('系统实绩导入'!$C$4:$C$1500=$C158)*('系统实绩导入'!$D$4:$D$1500=$D158)*('系统实绩导入'!$F$4:$F$1500="实绩销售额")*('系统实绩导入'!$G$3:$R$3=$F$1)*'系统实绩导入'!$G$4:$R$1500))</f>
        <v/>
      </c>
      <c r="F158" s="38">
        <f>IF($B158="","",SUMPRODUCT(('系统实绩导入'!$B$4:$B$1500=$B158)*('系统实绩导入'!$C$4:$C$1500=$C158)*('系统实绩导入'!$D$4:$D$1500=$D158)*('系统实绩导入'!$F$4:$F$1500="实绩毛利")*('系统实绩导入'!$G$3:$R$3=$F$1)*'系统实绩导入'!$G$4:$R$1500))</f>
        <v/>
      </c>
      <c r="G158" s="39">
        <f>IF($B158="","",IFERROR(F158/E158,""))</f>
        <v/>
      </c>
      <c r="H158" s="38">
        <f>IF($B158="","",SUMPRODUCT(('目标填报'!$B$4:$B$1500=$B158)*('目标填报'!$C$4:$C$1500=$C158)*('目标填报'!$D$4:$D$1500=$D158)*('目标填报'!$F$4:$F$1500="销售目标额")*('目标填报'!$G$3:$R$3=$F$1)*'目标填报'!$G$4:$R$1500))</f>
        <v/>
      </c>
      <c r="I158" s="39">
        <f>IF($B158="","",IFERROR(E158/H158,""))</f>
        <v/>
      </c>
      <c r="J158" s="38">
        <f>IF($B158="","",SUMPRODUCT(('系统实绩导入'!$B$4:$B$1500=$B158)*('系统实绩导入'!$C$4:$C$1500=$C158)*('系统实绩导入'!$D$4:$D$1500=$D158)*('系统实绩导入'!$F$4:$F$1500="实绩销售额")*('系统实绩导入'!$G$3:$R$3&lt;=$F$1)*'系统实绩导入'!$G$4:$R$1500))</f>
        <v/>
      </c>
      <c r="K158" s="38">
        <f>IF($B158="","",SUMPRODUCT(('系统实绩导入'!$B$4:$B$1500=$B158)*('系统实绩导入'!$C$4:$C$1500=$C158)*('系统实绩导入'!$D$4:$D$1500=$D158)*('系统实绩导入'!$F$4:$F$1500="实绩毛利")*('系统实绩导入'!$G$3:$R$3&lt;=$F$1)*'系统实绩导入'!$G$4:$R$1500))</f>
        <v/>
      </c>
      <c r="L158" s="39">
        <f>IF($B158="","",IFERROR(K158/J158,""))</f>
        <v/>
      </c>
      <c r="M158" s="38">
        <f>IF($B158="","",SUMIFS('目标填报'!$S$4:$S$1500,'目标填报'!$B$4:$B$1500,$B158,'目标填报'!$C$4:$C$1500,$C158,'目标填报'!$D$4:$D$1500,$D158,'目标填报'!$F$4:$F$1500,"销售目标额"))</f>
        <v/>
      </c>
      <c r="N158" s="39">
        <f>IF($B158="","",IFERROR(J158/M158,""))</f>
        <v/>
      </c>
      <c r="O158" s="40">
        <f>IF($B158="","",J158-M158)</f>
        <v/>
      </c>
      <c r="P158" s="38">
        <f>IF($B158="","",SUMPRODUCT(('目标填报'!$B$4:$B$1500=$B158)*('目标填报'!$C$4:$C$1500=$C158)*('目标填报'!$D$4:$D$1500=$D158)*('目标填报'!$F$4:$F$1500="在手订单")*('目标填报'!$G$3:$R$3=$F$1)*'目标填报'!$G$4:$R$1500))</f>
        <v/>
      </c>
      <c r="Q158" s="38">
        <f>IF($B158="","",SUMPRODUCT(('目标填报'!$B$4:$B$1500=$B158)*('目标填报'!$C$4:$C$1500=$C158)*('目标填报'!$D$4:$D$1500=$D158)*('目标填报'!$F$4:$F$1500="在手订单目标")*('目标填报'!$G$3:$R$3=$F$1)*'目标填报'!$G$4:$R$1500))</f>
        <v/>
      </c>
      <c r="R158" s="39">
        <f>IF($B158="","",IFERROR(P158/Q158,""))</f>
        <v/>
      </c>
      <c r="S158" s="38">
        <f>IF($B158="","",SUMPRODUCT(('目标填报'!$B$4:$B$1500=$B158)*('目标填报'!$C$4:$C$1500=$C158)*('目标填报'!$D$4:$D$1500=$D158)*('目标填报'!$F$4:$F$1500="目标客户机会")*('目标填报'!$G$3:$R$3=$F$1)*'目标填报'!$G$4:$R$1500))</f>
        <v/>
      </c>
      <c r="T158" s="38">
        <f>IF($B158="","",SUMPRODUCT(('目标填报'!$B$4:$B$1500=$B158)*('目标填报'!$C$4:$C$1500=$C158)*('目标填报'!$D$4:$D$1500=$D158)*('目标填报'!$F$4:$F$1500="目标客户机会目标")*('目标填报'!$G$3:$R$3=$F$1)*'目标填报'!$G$4:$R$1500))</f>
        <v/>
      </c>
      <c r="U158" s="39">
        <f>IF($B158="","",IFERROR(S158/T158,""))</f>
        <v/>
      </c>
      <c r="V158" s="38">
        <f>IF($B158="","",P158+S158)</f>
        <v/>
      </c>
      <c r="W158" s="38">
        <f>IF($B158="","",M158-J158)</f>
        <v/>
      </c>
      <c r="X158" s="39">
        <f>IF($B158="","",IFERROR(V158/W158,""))</f>
        <v/>
      </c>
      <c r="Y158" s="40">
        <f>IF($B158="","",V158-W158)</f>
        <v/>
      </c>
    </row>
    <row r="159">
      <c r="A159" s="37">
        <f>IF($B159="","",ROW()-3)</f>
        <v/>
      </c>
      <c r="B159" s="13">
        <f>IF(155+1&gt;COUNTA('维度字典'!$C$2:$C$200)*COUNTA('维度字典'!$A$2:$A$200)*COUNTA('维度字典'!$E$2:$E$200),"",INDEX('维度字典'!$C$2:$C$200,MOD(INT(155/(COUNTA('维度字典'!$E$2:$E$200)*COUNTA('维度字典'!$A$2:$A$200))),COUNTA('维度字典'!$C$2:$C$200))+1))</f>
        <v/>
      </c>
      <c r="C159" s="13">
        <f>IF($B159="","",INDEX('维度字典'!$A$2:$A$200,MOD(INT(155/COUNTA('维度字典'!$E$2:$E$200)),COUNTA('维度字典'!$A$2:$A$200))+1))</f>
        <v/>
      </c>
      <c r="D159" s="13">
        <f>IF($B159="","",INDEX('维度字典'!$E$2:$E$200,MOD(155,COUNTA('维度字典'!$E$2:$E$200))+1))</f>
        <v/>
      </c>
      <c r="E159" s="38">
        <f>IF($B159="","",SUMPRODUCT(('系统实绩导入'!$B$4:$B$1500=$B159)*('系统实绩导入'!$C$4:$C$1500=$C159)*('系统实绩导入'!$D$4:$D$1500=$D159)*('系统实绩导入'!$F$4:$F$1500="实绩销售额")*('系统实绩导入'!$G$3:$R$3=$F$1)*'系统实绩导入'!$G$4:$R$1500))</f>
        <v/>
      </c>
      <c r="F159" s="38">
        <f>IF($B159="","",SUMPRODUCT(('系统实绩导入'!$B$4:$B$1500=$B159)*('系统实绩导入'!$C$4:$C$1500=$C159)*('系统实绩导入'!$D$4:$D$1500=$D159)*('系统实绩导入'!$F$4:$F$1500="实绩毛利")*('系统实绩导入'!$G$3:$R$3=$F$1)*'系统实绩导入'!$G$4:$R$1500))</f>
        <v/>
      </c>
      <c r="G159" s="39">
        <f>IF($B159="","",IFERROR(F159/E159,""))</f>
        <v/>
      </c>
      <c r="H159" s="38">
        <f>IF($B159="","",SUMPRODUCT(('目标填报'!$B$4:$B$1500=$B159)*('目标填报'!$C$4:$C$1500=$C159)*('目标填报'!$D$4:$D$1500=$D159)*('目标填报'!$F$4:$F$1500="销售目标额")*('目标填报'!$G$3:$R$3=$F$1)*'目标填报'!$G$4:$R$1500))</f>
        <v/>
      </c>
      <c r="I159" s="39">
        <f>IF($B159="","",IFERROR(E159/H159,""))</f>
        <v/>
      </c>
      <c r="J159" s="38">
        <f>IF($B159="","",SUMPRODUCT(('系统实绩导入'!$B$4:$B$1500=$B159)*('系统实绩导入'!$C$4:$C$1500=$C159)*('系统实绩导入'!$D$4:$D$1500=$D159)*('系统实绩导入'!$F$4:$F$1500="实绩销售额")*('系统实绩导入'!$G$3:$R$3&lt;=$F$1)*'系统实绩导入'!$G$4:$R$1500))</f>
        <v/>
      </c>
      <c r="K159" s="38">
        <f>IF($B159="","",SUMPRODUCT(('系统实绩导入'!$B$4:$B$1500=$B159)*('系统实绩导入'!$C$4:$C$1500=$C159)*('系统实绩导入'!$D$4:$D$1500=$D159)*('系统实绩导入'!$F$4:$F$1500="实绩毛利")*('系统实绩导入'!$G$3:$R$3&lt;=$F$1)*'系统实绩导入'!$G$4:$R$1500))</f>
        <v/>
      </c>
      <c r="L159" s="39">
        <f>IF($B159="","",IFERROR(K159/J159,""))</f>
        <v/>
      </c>
      <c r="M159" s="38">
        <f>IF($B159="","",SUMIFS('目标填报'!$S$4:$S$1500,'目标填报'!$B$4:$B$1500,$B159,'目标填报'!$C$4:$C$1500,$C159,'目标填报'!$D$4:$D$1500,$D159,'目标填报'!$F$4:$F$1500,"销售目标额"))</f>
        <v/>
      </c>
      <c r="N159" s="39">
        <f>IF($B159="","",IFERROR(J159/M159,""))</f>
        <v/>
      </c>
      <c r="O159" s="40">
        <f>IF($B159="","",J159-M159)</f>
        <v/>
      </c>
      <c r="P159" s="38">
        <f>IF($B159="","",SUMPRODUCT(('目标填报'!$B$4:$B$1500=$B159)*('目标填报'!$C$4:$C$1500=$C159)*('目标填报'!$D$4:$D$1500=$D159)*('目标填报'!$F$4:$F$1500="在手订单")*('目标填报'!$G$3:$R$3=$F$1)*'目标填报'!$G$4:$R$1500))</f>
        <v/>
      </c>
      <c r="Q159" s="38">
        <f>IF($B159="","",SUMPRODUCT(('目标填报'!$B$4:$B$1500=$B159)*('目标填报'!$C$4:$C$1500=$C159)*('目标填报'!$D$4:$D$1500=$D159)*('目标填报'!$F$4:$F$1500="在手订单目标")*('目标填报'!$G$3:$R$3=$F$1)*'目标填报'!$G$4:$R$1500))</f>
        <v/>
      </c>
      <c r="R159" s="39">
        <f>IF($B159="","",IFERROR(P159/Q159,""))</f>
        <v/>
      </c>
      <c r="S159" s="38">
        <f>IF($B159="","",SUMPRODUCT(('目标填报'!$B$4:$B$1500=$B159)*('目标填报'!$C$4:$C$1500=$C159)*('目标填报'!$D$4:$D$1500=$D159)*('目标填报'!$F$4:$F$1500="目标客户机会")*('目标填报'!$G$3:$R$3=$F$1)*'目标填报'!$G$4:$R$1500))</f>
        <v/>
      </c>
      <c r="T159" s="38">
        <f>IF($B159="","",SUMPRODUCT(('目标填报'!$B$4:$B$1500=$B159)*('目标填报'!$C$4:$C$1500=$C159)*('目标填报'!$D$4:$D$1500=$D159)*('目标填报'!$F$4:$F$1500="目标客户机会目标")*('目标填报'!$G$3:$R$3=$F$1)*'目标填报'!$G$4:$R$1500))</f>
        <v/>
      </c>
      <c r="U159" s="39">
        <f>IF($B159="","",IFERROR(S159/T159,""))</f>
        <v/>
      </c>
      <c r="V159" s="38">
        <f>IF($B159="","",P159+S159)</f>
        <v/>
      </c>
      <c r="W159" s="38">
        <f>IF($B159="","",M159-J159)</f>
        <v/>
      </c>
      <c r="X159" s="39">
        <f>IF($B159="","",IFERROR(V159/W159,""))</f>
        <v/>
      </c>
      <c r="Y159" s="40">
        <f>IF($B159="","",V159-W159)</f>
        <v/>
      </c>
    </row>
    <row r="160">
      <c r="A160" s="37">
        <f>IF($B160="","",ROW()-3)</f>
        <v/>
      </c>
      <c r="B160" s="13">
        <f>IF(156+1&gt;COUNTA('维度字典'!$C$2:$C$200)*COUNTA('维度字典'!$A$2:$A$200)*COUNTA('维度字典'!$E$2:$E$200),"",INDEX('维度字典'!$C$2:$C$200,MOD(INT(156/(COUNTA('维度字典'!$E$2:$E$200)*COUNTA('维度字典'!$A$2:$A$200))),COUNTA('维度字典'!$C$2:$C$200))+1))</f>
        <v/>
      </c>
      <c r="C160" s="13">
        <f>IF($B160="","",INDEX('维度字典'!$A$2:$A$200,MOD(INT(156/COUNTA('维度字典'!$E$2:$E$200)),COUNTA('维度字典'!$A$2:$A$200))+1))</f>
        <v/>
      </c>
      <c r="D160" s="13">
        <f>IF($B160="","",INDEX('维度字典'!$E$2:$E$200,MOD(156,COUNTA('维度字典'!$E$2:$E$200))+1))</f>
        <v/>
      </c>
      <c r="E160" s="38">
        <f>IF($B160="","",SUMPRODUCT(('系统实绩导入'!$B$4:$B$1500=$B160)*('系统实绩导入'!$C$4:$C$1500=$C160)*('系统实绩导入'!$D$4:$D$1500=$D160)*('系统实绩导入'!$F$4:$F$1500="实绩销售额")*('系统实绩导入'!$G$3:$R$3=$F$1)*'系统实绩导入'!$G$4:$R$1500))</f>
        <v/>
      </c>
      <c r="F160" s="38">
        <f>IF($B160="","",SUMPRODUCT(('系统实绩导入'!$B$4:$B$1500=$B160)*('系统实绩导入'!$C$4:$C$1500=$C160)*('系统实绩导入'!$D$4:$D$1500=$D160)*('系统实绩导入'!$F$4:$F$1500="实绩毛利")*('系统实绩导入'!$G$3:$R$3=$F$1)*'系统实绩导入'!$G$4:$R$1500))</f>
        <v/>
      </c>
      <c r="G160" s="39">
        <f>IF($B160="","",IFERROR(F160/E160,""))</f>
        <v/>
      </c>
      <c r="H160" s="38">
        <f>IF($B160="","",SUMPRODUCT(('目标填报'!$B$4:$B$1500=$B160)*('目标填报'!$C$4:$C$1500=$C160)*('目标填报'!$D$4:$D$1500=$D160)*('目标填报'!$F$4:$F$1500="销售目标额")*('目标填报'!$G$3:$R$3=$F$1)*'目标填报'!$G$4:$R$1500))</f>
        <v/>
      </c>
      <c r="I160" s="39">
        <f>IF($B160="","",IFERROR(E160/H160,""))</f>
        <v/>
      </c>
      <c r="J160" s="38">
        <f>IF($B160="","",SUMPRODUCT(('系统实绩导入'!$B$4:$B$1500=$B160)*('系统实绩导入'!$C$4:$C$1500=$C160)*('系统实绩导入'!$D$4:$D$1500=$D160)*('系统实绩导入'!$F$4:$F$1500="实绩销售额")*('系统实绩导入'!$G$3:$R$3&lt;=$F$1)*'系统实绩导入'!$G$4:$R$1500))</f>
        <v/>
      </c>
      <c r="K160" s="38">
        <f>IF($B160="","",SUMPRODUCT(('系统实绩导入'!$B$4:$B$1500=$B160)*('系统实绩导入'!$C$4:$C$1500=$C160)*('系统实绩导入'!$D$4:$D$1500=$D160)*('系统实绩导入'!$F$4:$F$1500="实绩毛利")*('系统实绩导入'!$G$3:$R$3&lt;=$F$1)*'系统实绩导入'!$G$4:$R$1500))</f>
        <v/>
      </c>
      <c r="L160" s="39">
        <f>IF($B160="","",IFERROR(K160/J160,""))</f>
        <v/>
      </c>
      <c r="M160" s="38">
        <f>IF($B160="","",SUMIFS('目标填报'!$S$4:$S$1500,'目标填报'!$B$4:$B$1500,$B160,'目标填报'!$C$4:$C$1500,$C160,'目标填报'!$D$4:$D$1500,$D160,'目标填报'!$F$4:$F$1500,"销售目标额"))</f>
        <v/>
      </c>
      <c r="N160" s="39">
        <f>IF($B160="","",IFERROR(J160/M160,""))</f>
        <v/>
      </c>
      <c r="O160" s="40">
        <f>IF($B160="","",J160-M160)</f>
        <v/>
      </c>
      <c r="P160" s="38">
        <f>IF($B160="","",SUMPRODUCT(('目标填报'!$B$4:$B$1500=$B160)*('目标填报'!$C$4:$C$1500=$C160)*('目标填报'!$D$4:$D$1500=$D160)*('目标填报'!$F$4:$F$1500="在手订单")*('目标填报'!$G$3:$R$3=$F$1)*'目标填报'!$G$4:$R$1500))</f>
        <v/>
      </c>
      <c r="Q160" s="38">
        <f>IF($B160="","",SUMPRODUCT(('目标填报'!$B$4:$B$1500=$B160)*('目标填报'!$C$4:$C$1500=$C160)*('目标填报'!$D$4:$D$1500=$D160)*('目标填报'!$F$4:$F$1500="在手订单目标")*('目标填报'!$G$3:$R$3=$F$1)*'目标填报'!$G$4:$R$1500))</f>
        <v/>
      </c>
      <c r="R160" s="39">
        <f>IF($B160="","",IFERROR(P160/Q160,""))</f>
        <v/>
      </c>
      <c r="S160" s="38">
        <f>IF($B160="","",SUMPRODUCT(('目标填报'!$B$4:$B$1500=$B160)*('目标填报'!$C$4:$C$1500=$C160)*('目标填报'!$D$4:$D$1500=$D160)*('目标填报'!$F$4:$F$1500="目标客户机会")*('目标填报'!$G$3:$R$3=$F$1)*'目标填报'!$G$4:$R$1500))</f>
        <v/>
      </c>
      <c r="T160" s="38">
        <f>IF($B160="","",SUMPRODUCT(('目标填报'!$B$4:$B$1500=$B160)*('目标填报'!$C$4:$C$1500=$C160)*('目标填报'!$D$4:$D$1500=$D160)*('目标填报'!$F$4:$F$1500="目标客户机会目标")*('目标填报'!$G$3:$R$3=$F$1)*'目标填报'!$G$4:$R$1500))</f>
        <v/>
      </c>
      <c r="U160" s="39">
        <f>IF($B160="","",IFERROR(S160/T160,""))</f>
        <v/>
      </c>
      <c r="V160" s="38">
        <f>IF($B160="","",P160+S160)</f>
        <v/>
      </c>
      <c r="W160" s="38">
        <f>IF($B160="","",M160-J160)</f>
        <v/>
      </c>
      <c r="X160" s="39">
        <f>IF($B160="","",IFERROR(V160/W160,""))</f>
        <v/>
      </c>
      <c r="Y160" s="40">
        <f>IF($B160="","",V160-W160)</f>
        <v/>
      </c>
    </row>
    <row r="161">
      <c r="A161" s="37">
        <f>IF($B161="","",ROW()-3)</f>
        <v/>
      </c>
      <c r="B161" s="13">
        <f>IF(157+1&gt;COUNTA('维度字典'!$C$2:$C$200)*COUNTA('维度字典'!$A$2:$A$200)*COUNTA('维度字典'!$E$2:$E$200),"",INDEX('维度字典'!$C$2:$C$200,MOD(INT(157/(COUNTA('维度字典'!$E$2:$E$200)*COUNTA('维度字典'!$A$2:$A$200))),COUNTA('维度字典'!$C$2:$C$200))+1))</f>
        <v/>
      </c>
      <c r="C161" s="13">
        <f>IF($B161="","",INDEX('维度字典'!$A$2:$A$200,MOD(INT(157/COUNTA('维度字典'!$E$2:$E$200)),COUNTA('维度字典'!$A$2:$A$200))+1))</f>
        <v/>
      </c>
      <c r="D161" s="13">
        <f>IF($B161="","",INDEX('维度字典'!$E$2:$E$200,MOD(157,COUNTA('维度字典'!$E$2:$E$200))+1))</f>
        <v/>
      </c>
      <c r="E161" s="38">
        <f>IF($B161="","",SUMPRODUCT(('系统实绩导入'!$B$4:$B$1500=$B161)*('系统实绩导入'!$C$4:$C$1500=$C161)*('系统实绩导入'!$D$4:$D$1500=$D161)*('系统实绩导入'!$F$4:$F$1500="实绩销售额")*('系统实绩导入'!$G$3:$R$3=$F$1)*'系统实绩导入'!$G$4:$R$1500))</f>
        <v/>
      </c>
      <c r="F161" s="38">
        <f>IF($B161="","",SUMPRODUCT(('系统实绩导入'!$B$4:$B$1500=$B161)*('系统实绩导入'!$C$4:$C$1500=$C161)*('系统实绩导入'!$D$4:$D$1500=$D161)*('系统实绩导入'!$F$4:$F$1500="实绩毛利")*('系统实绩导入'!$G$3:$R$3=$F$1)*'系统实绩导入'!$G$4:$R$1500))</f>
        <v/>
      </c>
      <c r="G161" s="39">
        <f>IF($B161="","",IFERROR(F161/E161,""))</f>
        <v/>
      </c>
      <c r="H161" s="38">
        <f>IF($B161="","",SUMPRODUCT(('目标填报'!$B$4:$B$1500=$B161)*('目标填报'!$C$4:$C$1500=$C161)*('目标填报'!$D$4:$D$1500=$D161)*('目标填报'!$F$4:$F$1500="销售目标额")*('目标填报'!$G$3:$R$3=$F$1)*'目标填报'!$G$4:$R$1500))</f>
        <v/>
      </c>
      <c r="I161" s="39">
        <f>IF($B161="","",IFERROR(E161/H161,""))</f>
        <v/>
      </c>
      <c r="J161" s="38">
        <f>IF($B161="","",SUMPRODUCT(('系统实绩导入'!$B$4:$B$1500=$B161)*('系统实绩导入'!$C$4:$C$1500=$C161)*('系统实绩导入'!$D$4:$D$1500=$D161)*('系统实绩导入'!$F$4:$F$1500="实绩销售额")*('系统实绩导入'!$G$3:$R$3&lt;=$F$1)*'系统实绩导入'!$G$4:$R$1500))</f>
        <v/>
      </c>
      <c r="K161" s="38">
        <f>IF($B161="","",SUMPRODUCT(('系统实绩导入'!$B$4:$B$1500=$B161)*('系统实绩导入'!$C$4:$C$1500=$C161)*('系统实绩导入'!$D$4:$D$1500=$D161)*('系统实绩导入'!$F$4:$F$1500="实绩毛利")*('系统实绩导入'!$G$3:$R$3&lt;=$F$1)*'系统实绩导入'!$G$4:$R$1500))</f>
        <v/>
      </c>
      <c r="L161" s="39">
        <f>IF($B161="","",IFERROR(K161/J161,""))</f>
        <v/>
      </c>
      <c r="M161" s="38">
        <f>IF($B161="","",SUMIFS('目标填报'!$S$4:$S$1500,'目标填报'!$B$4:$B$1500,$B161,'目标填报'!$C$4:$C$1500,$C161,'目标填报'!$D$4:$D$1500,$D161,'目标填报'!$F$4:$F$1500,"销售目标额"))</f>
        <v/>
      </c>
      <c r="N161" s="39">
        <f>IF($B161="","",IFERROR(J161/M161,""))</f>
        <v/>
      </c>
      <c r="O161" s="40">
        <f>IF($B161="","",J161-M161)</f>
        <v/>
      </c>
      <c r="P161" s="38">
        <f>IF($B161="","",SUMPRODUCT(('目标填报'!$B$4:$B$1500=$B161)*('目标填报'!$C$4:$C$1500=$C161)*('目标填报'!$D$4:$D$1500=$D161)*('目标填报'!$F$4:$F$1500="在手订单")*('目标填报'!$G$3:$R$3=$F$1)*'目标填报'!$G$4:$R$1500))</f>
        <v/>
      </c>
      <c r="Q161" s="38">
        <f>IF($B161="","",SUMPRODUCT(('目标填报'!$B$4:$B$1500=$B161)*('目标填报'!$C$4:$C$1500=$C161)*('目标填报'!$D$4:$D$1500=$D161)*('目标填报'!$F$4:$F$1500="在手订单目标")*('目标填报'!$G$3:$R$3=$F$1)*'目标填报'!$G$4:$R$1500))</f>
        <v/>
      </c>
      <c r="R161" s="39">
        <f>IF($B161="","",IFERROR(P161/Q161,""))</f>
        <v/>
      </c>
      <c r="S161" s="38">
        <f>IF($B161="","",SUMPRODUCT(('目标填报'!$B$4:$B$1500=$B161)*('目标填报'!$C$4:$C$1500=$C161)*('目标填报'!$D$4:$D$1500=$D161)*('目标填报'!$F$4:$F$1500="目标客户机会")*('目标填报'!$G$3:$R$3=$F$1)*'目标填报'!$G$4:$R$1500))</f>
        <v/>
      </c>
      <c r="T161" s="38">
        <f>IF($B161="","",SUMPRODUCT(('目标填报'!$B$4:$B$1500=$B161)*('目标填报'!$C$4:$C$1500=$C161)*('目标填报'!$D$4:$D$1500=$D161)*('目标填报'!$F$4:$F$1500="目标客户机会目标")*('目标填报'!$G$3:$R$3=$F$1)*'目标填报'!$G$4:$R$1500))</f>
        <v/>
      </c>
      <c r="U161" s="39">
        <f>IF($B161="","",IFERROR(S161/T161,""))</f>
        <v/>
      </c>
      <c r="V161" s="38">
        <f>IF($B161="","",P161+S161)</f>
        <v/>
      </c>
      <c r="W161" s="38">
        <f>IF($B161="","",M161-J161)</f>
        <v/>
      </c>
      <c r="X161" s="39">
        <f>IF($B161="","",IFERROR(V161/W161,""))</f>
        <v/>
      </c>
      <c r="Y161" s="40">
        <f>IF($B161="","",V161-W161)</f>
        <v/>
      </c>
    </row>
    <row r="162">
      <c r="A162" s="37">
        <f>IF($B162="","",ROW()-3)</f>
        <v/>
      </c>
      <c r="B162" s="13">
        <f>IF(158+1&gt;COUNTA('维度字典'!$C$2:$C$200)*COUNTA('维度字典'!$A$2:$A$200)*COUNTA('维度字典'!$E$2:$E$200),"",INDEX('维度字典'!$C$2:$C$200,MOD(INT(158/(COUNTA('维度字典'!$E$2:$E$200)*COUNTA('维度字典'!$A$2:$A$200))),COUNTA('维度字典'!$C$2:$C$200))+1))</f>
        <v/>
      </c>
      <c r="C162" s="13">
        <f>IF($B162="","",INDEX('维度字典'!$A$2:$A$200,MOD(INT(158/COUNTA('维度字典'!$E$2:$E$200)),COUNTA('维度字典'!$A$2:$A$200))+1))</f>
        <v/>
      </c>
      <c r="D162" s="13">
        <f>IF($B162="","",INDEX('维度字典'!$E$2:$E$200,MOD(158,COUNTA('维度字典'!$E$2:$E$200))+1))</f>
        <v/>
      </c>
      <c r="E162" s="38">
        <f>IF($B162="","",SUMPRODUCT(('系统实绩导入'!$B$4:$B$1500=$B162)*('系统实绩导入'!$C$4:$C$1500=$C162)*('系统实绩导入'!$D$4:$D$1500=$D162)*('系统实绩导入'!$F$4:$F$1500="实绩销售额")*('系统实绩导入'!$G$3:$R$3=$F$1)*'系统实绩导入'!$G$4:$R$1500))</f>
        <v/>
      </c>
      <c r="F162" s="38">
        <f>IF($B162="","",SUMPRODUCT(('系统实绩导入'!$B$4:$B$1500=$B162)*('系统实绩导入'!$C$4:$C$1500=$C162)*('系统实绩导入'!$D$4:$D$1500=$D162)*('系统实绩导入'!$F$4:$F$1500="实绩毛利")*('系统实绩导入'!$G$3:$R$3=$F$1)*'系统实绩导入'!$G$4:$R$1500))</f>
        <v/>
      </c>
      <c r="G162" s="39">
        <f>IF($B162="","",IFERROR(F162/E162,""))</f>
        <v/>
      </c>
      <c r="H162" s="38">
        <f>IF($B162="","",SUMPRODUCT(('目标填报'!$B$4:$B$1500=$B162)*('目标填报'!$C$4:$C$1500=$C162)*('目标填报'!$D$4:$D$1500=$D162)*('目标填报'!$F$4:$F$1500="销售目标额")*('目标填报'!$G$3:$R$3=$F$1)*'目标填报'!$G$4:$R$1500))</f>
        <v/>
      </c>
      <c r="I162" s="39">
        <f>IF($B162="","",IFERROR(E162/H162,""))</f>
        <v/>
      </c>
      <c r="J162" s="38">
        <f>IF($B162="","",SUMPRODUCT(('系统实绩导入'!$B$4:$B$1500=$B162)*('系统实绩导入'!$C$4:$C$1500=$C162)*('系统实绩导入'!$D$4:$D$1500=$D162)*('系统实绩导入'!$F$4:$F$1500="实绩销售额")*('系统实绩导入'!$G$3:$R$3&lt;=$F$1)*'系统实绩导入'!$G$4:$R$1500))</f>
        <v/>
      </c>
      <c r="K162" s="38">
        <f>IF($B162="","",SUMPRODUCT(('系统实绩导入'!$B$4:$B$1500=$B162)*('系统实绩导入'!$C$4:$C$1500=$C162)*('系统实绩导入'!$D$4:$D$1500=$D162)*('系统实绩导入'!$F$4:$F$1500="实绩毛利")*('系统实绩导入'!$G$3:$R$3&lt;=$F$1)*'系统实绩导入'!$G$4:$R$1500))</f>
        <v/>
      </c>
      <c r="L162" s="39">
        <f>IF($B162="","",IFERROR(K162/J162,""))</f>
        <v/>
      </c>
      <c r="M162" s="38">
        <f>IF($B162="","",SUMIFS('目标填报'!$S$4:$S$1500,'目标填报'!$B$4:$B$1500,$B162,'目标填报'!$C$4:$C$1500,$C162,'目标填报'!$D$4:$D$1500,$D162,'目标填报'!$F$4:$F$1500,"销售目标额"))</f>
        <v/>
      </c>
      <c r="N162" s="39">
        <f>IF($B162="","",IFERROR(J162/M162,""))</f>
        <v/>
      </c>
      <c r="O162" s="40">
        <f>IF($B162="","",J162-M162)</f>
        <v/>
      </c>
      <c r="P162" s="38">
        <f>IF($B162="","",SUMPRODUCT(('目标填报'!$B$4:$B$1500=$B162)*('目标填报'!$C$4:$C$1500=$C162)*('目标填报'!$D$4:$D$1500=$D162)*('目标填报'!$F$4:$F$1500="在手订单")*('目标填报'!$G$3:$R$3=$F$1)*'目标填报'!$G$4:$R$1500))</f>
        <v/>
      </c>
      <c r="Q162" s="38">
        <f>IF($B162="","",SUMPRODUCT(('目标填报'!$B$4:$B$1500=$B162)*('目标填报'!$C$4:$C$1500=$C162)*('目标填报'!$D$4:$D$1500=$D162)*('目标填报'!$F$4:$F$1500="在手订单目标")*('目标填报'!$G$3:$R$3=$F$1)*'目标填报'!$G$4:$R$1500))</f>
        <v/>
      </c>
      <c r="R162" s="39">
        <f>IF($B162="","",IFERROR(P162/Q162,""))</f>
        <v/>
      </c>
      <c r="S162" s="38">
        <f>IF($B162="","",SUMPRODUCT(('目标填报'!$B$4:$B$1500=$B162)*('目标填报'!$C$4:$C$1500=$C162)*('目标填报'!$D$4:$D$1500=$D162)*('目标填报'!$F$4:$F$1500="目标客户机会")*('目标填报'!$G$3:$R$3=$F$1)*'目标填报'!$G$4:$R$1500))</f>
        <v/>
      </c>
      <c r="T162" s="38">
        <f>IF($B162="","",SUMPRODUCT(('目标填报'!$B$4:$B$1500=$B162)*('目标填报'!$C$4:$C$1500=$C162)*('目标填报'!$D$4:$D$1500=$D162)*('目标填报'!$F$4:$F$1500="目标客户机会目标")*('目标填报'!$G$3:$R$3=$F$1)*'目标填报'!$G$4:$R$1500))</f>
        <v/>
      </c>
      <c r="U162" s="39">
        <f>IF($B162="","",IFERROR(S162/T162,""))</f>
        <v/>
      </c>
      <c r="V162" s="38">
        <f>IF($B162="","",P162+S162)</f>
        <v/>
      </c>
      <c r="W162" s="38">
        <f>IF($B162="","",M162-J162)</f>
        <v/>
      </c>
      <c r="X162" s="39">
        <f>IF($B162="","",IFERROR(V162/W162,""))</f>
        <v/>
      </c>
      <c r="Y162" s="40">
        <f>IF($B162="","",V162-W162)</f>
        <v/>
      </c>
    </row>
    <row r="163">
      <c r="A163" s="37">
        <f>IF($B163="","",ROW()-3)</f>
        <v/>
      </c>
      <c r="B163" s="13">
        <f>IF(159+1&gt;COUNTA('维度字典'!$C$2:$C$200)*COUNTA('维度字典'!$A$2:$A$200)*COUNTA('维度字典'!$E$2:$E$200),"",INDEX('维度字典'!$C$2:$C$200,MOD(INT(159/(COUNTA('维度字典'!$E$2:$E$200)*COUNTA('维度字典'!$A$2:$A$200))),COUNTA('维度字典'!$C$2:$C$200))+1))</f>
        <v/>
      </c>
      <c r="C163" s="13">
        <f>IF($B163="","",INDEX('维度字典'!$A$2:$A$200,MOD(INT(159/COUNTA('维度字典'!$E$2:$E$200)),COUNTA('维度字典'!$A$2:$A$200))+1))</f>
        <v/>
      </c>
      <c r="D163" s="13">
        <f>IF($B163="","",INDEX('维度字典'!$E$2:$E$200,MOD(159,COUNTA('维度字典'!$E$2:$E$200))+1))</f>
        <v/>
      </c>
      <c r="E163" s="38">
        <f>IF($B163="","",SUMPRODUCT(('系统实绩导入'!$B$4:$B$1500=$B163)*('系统实绩导入'!$C$4:$C$1500=$C163)*('系统实绩导入'!$D$4:$D$1500=$D163)*('系统实绩导入'!$F$4:$F$1500="实绩销售额")*('系统实绩导入'!$G$3:$R$3=$F$1)*'系统实绩导入'!$G$4:$R$1500))</f>
        <v/>
      </c>
      <c r="F163" s="38">
        <f>IF($B163="","",SUMPRODUCT(('系统实绩导入'!$B$4:$B$1500=$B163)*('系统实绩导入'!$C$4:$C$1500=$C163)*('系统实绩导入'!$D$4:$D$1500=$D163)*('系统实绩导入'!$F$4:$F$1500="实绩毛利")*('系统实绩导入'!$G$3:$R$3=$F$1)*'系统实绩导入'!$G$4:$R$1500))</f>
        <v/>
      </c>
      <c r="G163" s="39">
        <f>IF($B163="","",IFERROR(F163/E163,""))</f>
        <v/>
      </c>
      <c r="H163" s="38">
        <f>IF($B163="","",SUMPRODUCT(('目标填报'!$B$4:$B$1500=$B163)*('目标填报'!$C$4:$C$1500=$C163)*('目标填报'!$D$4:$D$1500=$D163)*('目标填报'!$F$4:$F$1500="销售目标额")*('目标填报'!$G$3:$R$3=$F$1)*'目标填报'!$G$4:$R$1500))</f>
        <v/>
      </c>
      <c r="I163" s="39">
        <f>IF($B163="","",IFERROR(E163/H163,""))</f>
        <v/>
      </c>
      <c r="J163" s="38">
        <f>IF($B163="","",SUMPRODUCT(('系统实绩导入'!$B$4:$B$1500=$B163)*('系统实绩导入'!$C$4:$C$1500=$C163)*('系统实绩导入'!$D$4:$D$1500=$D163)*('系统实绩导入'!$F$4:$F$1500="实绩销售额")*('系统实绩导入'!$G$3:$R$3&lt;=$F$1)*'系统实绩导入'!$G$4:$R$1500))</f>
        <v/>
      </c>
      <c r="K163" s="38">
        <f>IF($B163="","",SUMPRODUCT(('系统实绩导入'!$B$4:$B$1500=$B163)*('系统实绩导入'!$C$4:$C$1500=$C163)*('系统实绩导入'!$D$4:$D$1500=$D163)*('系统实绩导入'!$F$4:$F$1500="实绩毛利")*('系统实绩导入'!$G$3:$R$3&lt;=$F$1)*'系统实绩导入'!$G$4:$R$1500))</f>
        <v/>
      </c>
      <c r="L163" s="39">
        <f>IF($B163="","",IFERROR(K163/J163,""))</f>
        <v/>
      </c>
      <c r="M163" s="38">
        <f>IF($B163="","",SUMIFS('目标填报'!$S$4:$S$1500,'目标填报'!$B$4:$B$1500,$B163,'目标填报'!$C$4:$C$1500,$C163,'目标填报'!$D$4:$D$1500,$D163,'目标填报'!$F$4:$F$1500,"销售目标额"))</f>
        <v/>
      </c>
      <c r="N163" s="39">
        <f>IF($B163="","",IFERROR(J163/M163,""))</f>
        <v/>
      </c>
      <c r="O163" s="40">
        <f>IF($B163="","",J163-M163)</f>
        <v/>
      </c>
      <c r="P163" s="38">
        <f>IF($B163="","",SUMPRODUCT(('目标填报'!$B$4:$B$1500=$B163)*('目标填报'!$C$4:$C$1500=$C163)*('目标填报'!$D$4:$D$1500=$D163)*('目标填报'!$F$4:$F$1500="在手订单")*('目标填报'!$G$3:$R$3=$F$1)*'目标填报'!$G$4:$R$1500))</f>
        <v/>
      </c>
      <c r="Q163" s="38">
        <f>IF($B163="","",SUMPRODUCT(('目标填报'!$B$4:$B$1500=$B163)*('目标填报'!$C$4:$C$1500=$C163)*('目标填报'!$D$4:$D$1500=$D163)*('目标填报'!$F$4:$F$1500="在手订单目标")*('目标填报'!$G$3:$R$3=$F$1)*'目标填报'!$G$4:$R$1500))</f>
        <v/>
      </c>
      <c r="R163" s="39">
        <f>IF($B163="","",IFERROR(P163/Q163,""))</f>
        <v/>
      </c>
      <c r="S163" s="38">
        <f>IF($B163="","",SUMPRODUCT(('目标填报'!$B$4:$B$1500=$B163)*('目标填报'!$C$4:$C$1500=$C163)*('目标填报'!$D$4:$D$1500=$D163)*('目标填报'!$F$4:$F$1500="目标客户机会")*('目标填报'!$G$3:$R$3=$F$1)*'目标填报'!$G$4:$R$1500))</f>
        <v/>
      </c>
      <c r="T163" s="38">
        <f>IF($B163="","",SUMPRODUCT(('目标填报'!$B$4:$B$1500=$B163)*('目标填报'!$C$4:$C$1500=$C163)*('目标填报'!$D$4:$D$1500=$D163)*('目标填报'!$F$4:$F$1500="目标客户机会目标")*('目标填报'!$G$3:$R$3=$F$1)*'目标填报'!$G$4:$R$1500))</f>
        <v/>
      </c>
      <c r="U163" s="39">
        <f>IF($B163="","",IFERROR(S163/T163,""))</f>
        <v/>
      </c>
      <c r="V163" s="38">
        <f>IF($B163="","",P163+S163)</f>
        <v/>
      </c>
      <c r="W163" s="38">
        <f>IF($B163="","",M163-J163)</f>
        <v/>
      </c>
      <c r="X163" s="39">
        <f>IF($B163="","",IFERROR(V163/W163,""))</f>
        <v/>
      </c>
      <c r="Y163" s="40">
        <f>IF($B163="","",V163-W163)</f>
        <v/>
      </c>
    </row>
    <row r="164">
      <c r="A164" s="37">
        <f>IF($B164="","",ROW()-3)</f>
        <v/>
      </c>
      <c r="B164" s="13">
        <f>IF(160+1&gt;COUNTA('维度字典'!$C$2:$C$200)*COUNTA('维度字典'!$A$2:$A$200)*COUNTA('维度字典'!$E$2:$E$200),"",INDEX('维度字典'!$C$2:$C$200,MOD(INT(160/(COUNTA('维度字典'!$E$2:$E$200)*COUNTA('维度字典'!$A$2:$A$200))),COUNTA('维度字典'!$C$2:$C$200))+1))</f>
        <v/>
      </c>
      <c r="C164" s="13">
        <f>IF($B164="","",INDEX('维度字典'!$A$2:$A$200,MOD(INT(160/COUNTA('维度字典'!$E$2:$E$200)),COUNTA('维度字典'!$A$2:$A$200))+1))</f>
        <v/>
      </c>
      <c r="D164" s="13">
        <f>IF($B164="","",INDEX('维度字典'!$E$2:$E$200,MOD(160,COUNTA('维度字典'!$E$2:$E$200))+1))</f>
        <v/>
      </c>
      <c r="E164" s="38">
        <f>IF($B164="","",SUMPRODUCT(('系统实绩导入'!$B$4:$B$1500=$B164)*('系统实绩导入'!$C$4:$C$1500=$C164)*('系统实绩导入'!$D$4:$D$1500=$D164)*('系统实绩导入'!$F$4:$F$1500="实绩销售额")*('系统实绩导入'!$G$3:$R$3=$F$1)*'系统实绩导入'!$G$4:$R$1500))</f>
        <v/>
      </c>
      <c r="F164" s="38">
        <f>IF($B164="","",SUMPRODUCT(('系统实绩导入'!$B$4:$B$1500=$B164)*('系统实绩导入'!$C$4:$C$1500=$C164)*('系统实绩导入'!$D$4:$D$1500=$D164)*('系统实绩导入'!$F$4:$F$1500="实绩毛利")*('系统实绩导入'!$G$3:$R$3=$F$1)*'系统实绩导入'!$G$4:$R$1500))</f>
        <v/>
      </c>
      <c r="G164" s="39">
        <f>IF($B164="","",IFERROR(F164/E164,""))</f>
        <v/>
      </c>
      <c r="H164" s="38">
        <f>IF($B164="","",SUMPRODUCT(('目标填报'!$B$4:$B$1500=$B164)*('目标填报'!$C$4:$C$1500=$C164)*('目标填报'!$D$4:$D$1500=$D164)*('目标填报'!$F$4:$F$1500="销售目标额")*('目标填报'!$G$3:$R$3=$F$1)*'目标填报'!$G$4:$R$1500))</f>
        <v/>
      </c>
      <c r="I164" s="39">
        <f>IF($B164="","",IFERROR(E164/H164,""))</f>
        <v/>
      </c>
      <c r="J164" s="38">
        <f>IF($B164="","",SUMPRODUCT(('系统实绩导入'!$B$4:$B$1500=$B164)*('系统实绩导入'!$C$4:$C$1500=$C164)*('系统实绩导入'!$D$4:$D$1500=$D164)*('系统实绩导入'!$F$4:$F$1500="实绩销售额")*('系统实绩导入'!$G$3:$R$3&lt;=$F$1)*'系统实绩导入'!$G$4:$R$1500))</f>
        <v/>
      </c>
      <c r="K164" s="38">
        <f>IF($B164="","",SUMPRODUCT(('系统实绩导入'!$B$4:$B$1500=$B164)*('系统实绩导入'!$C$4:$C$1500=$C164)*('系统实绩导入'!$D$4:$D$1500=$D164)*('系统实绩导入'!$F$4:$F$1500="实绩毛利")*('系统实绩导入'!$G$3:$R$3&lt;=$F$1)*'系统实绩导入'!$G$4:$R$1500))</f>
        <v/>
      </c>
      <c r="L164" s="39">
        <f>IF($B164="","",IFERROR(K164/J164,""))</f>
        <v/>
      </c>
      <c r="M164" s="38">
        <f>IF($B164="","",SUMIFS('目标填报'!$S$4:$S$1500,'目标填报'!$B$4:$B$1500,$B164,'目标填报'!$C$4:$C$1500,$C164,'目标填报'!$D$4:$D$1500,$D164,'目标填报'!$F$4:$F$1500,"销售目标额"))</f>
        <v/>
      </c>
      <c r="N164" s="39">
        <f>IF($B164="","",IFERROR(J164/M164,""))</f>
        <v/>
      </c>
      <c r="O164" s="40">
        <f>IF($B164="","",J164-M164)</f>
        <v/>
      </c>
      <c r="P164" s="38">
        <f>IF($B164="","",SUMPRODUCT(('目标填报'!$B$4:$B$1500=$B164)*('目标填报'!$C$4:$C$1500=$C164)*('目标填报'!$D$4:$D$1500=$D164)*('目标填报'!$F$4:$F$1500="在手订单")*('目标填报'!$G$3:$R$3=$F$1)*'目标填报'!$G$4:$R$1500))</f>
        <v/>
      </c>
      <c r="Q164" s="38">
        <f>IF($B164="","",SUMPRODUCT(('目标填报'!$B$4:$B$1500=$B164)*('目标填报'!$C$4:$C$1500=$C164)*('目标填报'!$D$4:$D$1500=$D164)*('目标填报'!$F$4:$F$1500="在手订单目标")*('目标填报'!$G$3:$R$3=$F$1)*'目标填报'!$G$4:$R$1500))</f>
        <v/>
      </c>
      <c r="R164" s="39">
        <f>IF($B164="","",IFERROR(P164/Q164,""))</f>
        <v/>
      </c>
      <c r="S164" s="38">
        <f>IF($B164="","",SUMPRODUCT(('目标填报'!$B$4:$B$1500=$B164)*('目标填报'!$C$4:$C$1500=$C164)*('目标填报'!$D$4:$D$1500=$D164)*('目标填报'!$F$4:$F$1500="目标客户机会")*('目标填报'!$G$3:$R$3=$F$1)*'目标填报'!$G$4:$R$1500))</f>
        <v/>
      </c>
      <c r="T164" s="38">
        <f>IF($B164="","",SUMPRODUCT(('目标填报'!$B$4:$B$1500=$B164)*('目标填报'!$C$4:$C$1500=$C164)*('目标填报'!$D$4:$D$1500=$D164)*('目标填报'!$F$4:$F$1500="目标客户机会目标")*('目标填报'!$G$3:$R$3=$F$1)*'目标填报'!$G$4:$R$1500))</f>
        <v/>
      </c>
      <c r="U164" s="39">
        <f>IF($B164="","",IFERROR(S164/T164,""))</f>
        <v/>
      </c>
      <c r="V164" s="38">
        <f>IF($B164="","",P164+S164)</f>
        <v/>
      </c>
      <c r="W164" s="38">
        <f>IF($B164="","",M164-J164)</f>
        <v/>
      </c>
      <c r="X164" s="39">
        <f>IF($B164="","",IFERROR(V164/W164,""))</f>
        <v/>
      </c>
      <c r="Y164" s="40">
        <f>IF($B164="","",V164-W164)</f>
        <v/>
      </c>
    </row>
    <row r="165">
      <c r="A165" s="37">
        <f>IF($B165="","",ROW()-3)</f>
        <v/>
      </c>
      <c r="B165" s="13">
        <f>IF(161+1&gt;COUNTA('维度字典'!$C$2:$C$200)*COUNTA('维度字典'!$A$2:$A$200)*COUNTA('维度字典'!$E$2:$E$200),"",INDEX('维度字典'!$C$2:$C$200,MOD(INT(161/(COUNTA('维度字典'!$E$2:$E$200)*COUNTA('维度字典'!$A$2:$A$200))),COUNTA('维度字典'!$C$2:$C$200))+1))</f>
        <v/>
      </c>
      <c r="C165" s="13">
        <f>IF($B165="","",INDEX('维度字典'!$A$2:$A$200,MOD(INT(161/COUNTA('维度字典'!$E$2:$E$200)),COUNTA('维度字典'!$A$2:$A$200))+1))</f>
        <v/>
      </c>
      <c r="D165" s="13">
        <f>IF($B165="","",INDEX('维度字典'!$E$2:$E$200,MOD(161,COUNTA('维度字典'!$E$2:$E$200))+1))</f>
        <v/>
      </c>
      <c r="E165" s="38">
        <f>IF($B165="","",SUMPRODUCT(('系统实绩导入'!$B$4:$B$1500=$B165)*('系统实绩导入'!$C$4:$C$1500=$C165)*('系统实绩导入'!$D$4:$D$1500=$D165)*('系统实绩导入'!$F$4:$F$1500="实绩销售额")*('系统实绩导入'!$G$3:$R$3=$F$1)*'系统实绩导入'!$G$4:$R$1500))</f>
        <v/>
      </c>
      <c r="F165" s="38">
        <f>IF($B165="","",SUMPRODUCT(('系统实绩导入'!$B$4:$B$1500=$B165)*('系统实绩导入'!$C$4:$C$1500=$C165)*('系统实绩导入'!$D$4:$D$1500=$D165)*('系统实绩导入'!$F$4:$F$1500="实绩毛利")*('系统实绩导入'!$G$3:$R$3=$F$1)*'系统实绩导入'!$G$4:$R$1500))</f>
        <v/>
      </c>
      <c r="G165" s="39">
        <f>IF($B165="","",IFERROR(F165/E165,""))</f>
        <v/>
      </c>
      <c r="H165" s="38">
        <f>IF($B165="","",SUMPRODUCT(('目标填报'!$B$4:$B$1500=$B165)*('目标填报'!$C$4:$C$1500=$C165)*('目标填报'!$D$4:$D$1500=$D165)*('目标填报'!$F$4:$F$1500="销售目标额")*('目标填报'!$G$3:$R$3=$F$1)*'目标填报'!$G$4:$R$1500))</f>
        <v/>
      </c>
      <c r="I165" s="39">
        <f>IF($B165="","",IFERROR(E165/H165,""))</f>
        <v/>
      </c>
      <c r="J165" s="38">
        <f>IF($B165="","",SUMPRODUCT(('系统实绩导入'!$B$4:$B$1500=$B165)*('系统实绩导入'!$C$4:$C$1500=$C165)*('系统实绩导入'!$D$4:$D$1500=$D165)*('系统实绩导入'!$F$4:$F$1500="实绩销售额")*('系统实绩导入'!$G$3:$R$3&lt;=$F$1)*'系统实绩导入'!$G$4:$R$1500))</f>
        <v/>
      </c>
      <c r="K165" s="38">
        <f>IF($B165="","",SUMPRODUCT(('系统实绩导入'!$B$4:$B$1500=$B165)*('系统实绩导入'!$C$4:$C$1500=$C165)*('系统实绩导入'!$D$4:$D$1500=$D165)*('系统实绩导入'!$F$4:$F$1500="实绩毛利")*('系统实绩导入'!$G$3:$R$3&lt;=$F$1)*'系统实绩导入'!$G$4:$R$1500))</f>
        <v/>
      </c>
      <c r="L165" s="39">
        <f>IF($B165="","",IFERROR(K165/J165,""))</f>
        <v/>
      </c>
      <c r="M165" s="38">
        <f>IF($B165="","",SUMIFS('目标填报'!$S$4:$S$1500,'目标填报'!$B$4:$B$1500,$B165,'目标填报'!$C$4:$C$1500,$C165,'目标填报'!$D$4:$D$1500,$D165,'目标填报'!$F$4:$F$1500,"销售目标额"))</f>
        <v/>
      </c>
      <c r="N165" s="39">
        <f>IF($B165="","",IFERROR(J165/M165,""))</f>
        <v/>
      </c>
      <c r="O165" s="40">
        <f>IF($B165="","",J165-M165)</f>
        <v/>
      </c>
      <c r="P165" s="38">
        <f>IF($B165="","",SUMPRODUCT(('目标填报'!$B$4:$B$1500=$B165)*('目标填报'!$C$4:$C$1500=$C165)*('目标填报'!$D$4:$D$1500=$D165)*('目标填报'!$F$4:$F$1500="在手订单")*('目标填报'!$G$3:$R$3=$F$1)*'目标填报'!$G$4:$R$1500))</f>
        <v/>
      </c>
      <c r="Q165" s="38">
        <f>IF($B165="","",SUMPRODUCT(('目标填报'!$B$4:$B$1500=$B165)*('目标填报'!$C$4:$C$1500=$C165)*('目标填报'!$D$4:$D$1500=$D165)*('目标填报'!$F$4:$F$1500="在手订单目标")*('目标填报'!$G$3:$R$3=$F$1)*'目标填报'!$G$4:$R$1500))</f>
        <v/>
      </c>
      <c r="R165" s="39">
        <f>IF($B165="","",IFERROR(P165/Q165,""))</f>
        <v/>
      </c>
      <c r="S165" s="38">
        <f>IF($B165="","",SUMPRODUCT(('目标填报'!$B$4:$B$1500=$B165)*('目标填报'!$C$4:$C$1500=$C165)*('目标填报'!$D$4:$D$1500=$D165)*('目标填报'!$F$4:$F$1500="目标客户机会")*('目标填报'!$G$3:$R$3=$F$1)*'目标填报'!$G$4:$R$1500))</f>
        <v/>
      </c>
      <c r="T165" s="38">
        <f>IF($B165="","",SUMPRODUCT(('目标填报'!$B$4:$B$1500=$B165)*('目标填报'!$C$4:$C$1500=$C165)*('目标填报'!$D$4:$D$1500=$D165)*('目标填报'!$F$4:$F$1500="目标客户机会目标")*('目标填报'!$G$3:$R$3=$F$1)*'目标填报'!$G$4:$R$1500))</f>
        <v/>
      </c>
      <c r="U165" s="39">
        <f>IF($B165="","",IFERROR(S165/T165,""))</f>
        <v/>
      </c>
      <c r="V165" s="38">
        <f>IF($B165="","",P165+S165)</f>
        <v/>
      </c>
      <c r="W165" s="38">
        <f>IF($B165="","",M165-J165)</f>
        <v/>
      </c>
      <c r="X165" s="39">
        <f>IF($B165="","",IFERROR(V165/W165,""))</f>
        <v/>
      </c>
      <c r="Y165" s="40">
        <f>IF($B165="","",V165-W165)</f>
        <v/>
      </c>
    </row>
    <row r="166">
      <c r="A166" s="37">
        <f>IF($B166="","",ROW()-3)</f>
        <v/>
      </c>
      <c r="B166" s="13">
        <f>IF(162+1&gt;COUNTA('维度字典'!$C$2:$C$200)*COUNTA('维度字典'!$A$2:$A$200)*COUNTA('维度字典'!$E$2:$E$200),"",INDEX('维度字典'!$C$2:$C$200,MOD(INT(162/(COUNTA('维度字典'!$E$2:$E$200)*COUNTA('维度字典'!$A$2:$A$200))),COUNTA('维度字典'!$C$2:$C$200))+1))</f>
        <v/>
      </c>
      <c r="C166" s="13">
        <f>IF($B166="","",INDEX('维度字典'!$A$2:$A$200,MOD(INT(162/COUNTA('维度字典'!$E$2:$E$200)),COUNTA('维度字典'!$A$2:$A$200))+1))</f>
        <v/>
      </c>
      <c r="D166" s="13">
        <f>IF($B166="","",INDEX('维度字典'!$E$2:$E$200,MOD(162,COUNTA('维度字典'!$E$2:$E$200))+1))</f>
        <v/>
      </c>
      <c r="E166" s="38">
        <f>IF($B166="","",SUMPRODUCT(('系统实绩导入'!$B$4:$B$1500=$B166)*('系统实绩导入'!$C$4:$C$1500=$C166)*('系统实绩导入'!$D$4:$D$1500=$D166)*('系统实绩导入'!$F$4:$F$1500="实绩销售额")*('系统实绩导入'!$G$3:$R$3=$F$1)*'系统实绩导入'!$G$4:$R$1500))</f>
        <v/>
      </c>
      <c r="F166" s="38">
        <f>IF($B166="","",SUMPRODUCT(('系统实绩导入'!$B$4:$B$1500=$B166)*('系统实绩导入'!$C$4:$C$1500=$C166)*('系统实绩导入'!$D$4:$D$1500=$D166)*('系统实绩导入'!$F$4:$F$1500="实绩毛利")*('系统实绩导入'!$G$3:$R$3=$F$1)*'系统实绩导入'!$G$4:$R$1500))</f>
        <v/>
      </c>
      <c r="G166" s="39">
        <f>IF($B166="","",IFERROR(F166/E166,""))</f>
        <v/>
      </c>
      <c r="H166" s="38">
        <f>IF($B166="","",SUMPRODUCT(('目标填报'!$B$4:$B$1500=$B166)*('目标填报'!$C$4:$C$1500=$C166)*('目标填报'!$D$4:$D$1500=$D166)*('目标填报'!$F$4:$F$1500="销售目标额")*('目标填报'!$G$3:$R$3=$F$1)*'目标填报'!$G$4:$R$1500))</f>
        <v/>
      </c>
      <c r="I166" s="39">
        <f>IF($B166="","",IFERROR(E166/H166,""))</f>
        <v/>
      </c>
      <c r="J166" s="38">
        <f>IF($B166="","",SUMPRODUCT(('系统实绩导入'!$B$4:$B$1500=$B166)*('系统实绩导入'!$C$4:$C$1500=$C166)*('系统实绩导入'!$D$4:$D$1500=$D166)*('系统实绩导入'!$F$4:$F$1500="实绩销售额")*('系统实绩导入'!$G$3:$R$3&lt;=$F$1)*'系统实绩导入'!$G$4:$R$1500))</f>
        <v/>
      </c>
      <c r="K166" s="38">
        <f>IF($B166="","",SUMPRODUCT(('系统实绩导入'!$B$4:$B$1500=$B166)*('系统实绩导入'!$C$4:$C$1500=$C166)*('系统实绩导入'!$D$4:$D$1500=$D166)*('系统实绩导入'!$F$4:$F$1500="实绩毛利")*('系统实绩导入'!$G$3:$R$3&lt;=$F$1)*'系统实绩导入'!$G$4:$R$1500))</f>
        <v/>
      </c>
      <c r="L166" s="39">
        <f>IF($B166="","",IFERROR(K166/J166,""))</f>
        <v/>
      </c>
      <c r="M166" s="38">
        <f>IF($B166="","",SUMIFS('目标填报'!$S$4:$S$1500,'目标填报'!$B$4:$B$1500,$B166,'目标填报'!$C$4:$C$1500,$C166,'目标填报'!$D$4:$D$1500,$D166,'目标填报'!$F$4:$F$1500,"销售目标额"))</f>
        <v/>
      </c>
      <c r="N166" s="39">
        <f>IF($B166="","",IFERROR(J166/M166,""))</f>
        <v/>
      </c>
      <c r="O166" s="40">
        <f>IF($B166="","",J166-M166)</f>
        <v/>
      </c>
      <c r="P166" s="38">
        <f>IF($B166="","",SUMPRODUCT(('目标填报'!$B$4:$B$1500=$B166)*('目标填报'!$C$4:$C$1500=$C166)*('目标填报'!$D$4:$D$1500=$D166)*('目标填报'!$F$4:$F$1500="在手订单")*('目标填报'!$G$3:$R$3=$F$1)*'目标填报'!$G$4:$R$1500))</f>
        <v/>
      </c>
      <c r="Q166" s="38">
        <f>IF($B166="","",SUMPRODUCT(('目标填报'!$B$4:$B$1500=$B166)*('目标填报'!$C$4:$C$1500=$C166)*('目标填报'!$D$4:$D$1500=$D166)*('目标填报'!$F$4:$F$1500="在手订单目标")*('目标填报'!$G$3:$R$3=$F$1)*'目标填报'!$G$4:$R$1500))</f>
        <v/>
      </c>
      <c r="R166" s="39">
        <f>IF($B166="","",IFERROR(P166/Q166,""))</f>
        <v/>
      </c>
      <c r="S166" s="38">
        <f>IF($B166="","",SUMPRODUCT(('目标填报'!$B$4:$B$1500=$B166)*('目标填报'!$C$4:$C$1500=$C166)*('目标填报'!$D$4:$D$1500=$D166)*('目标填报'!$F$4:$F$1500="目标客户机会")*('目标填报'!$G$3:$R$3=$F$1)*'目标填报'!$G$4:$R$1500))</f>
        <v/>
      </c>
      <c r="T166" s="38">
        <f>IF($B166="","",SUMPRODUCT(('目标填报'!$B$4:$B$1500=$B166)*('目标填报'!$C$4:$C$1500=$C166)*('目标填报'!$D$4:$D$1500=$D166)*('目标填报'!$F$4:$F$1500="目标客户机会目标")*('目标填报'!$G$3:$R$3=$F$1)*'目标填报'!$G$4:$R$1500))</f>
        <v/>
      </c>
      <c r="U166" s="39">
        <f>IF($B166="","",IFERROR(S166/T166,""))</f>
        <v/>
      </c>
      <c r="V166" s="38">
        <f>IF($B166="","",P166+S166)</f>
        <v/>
      </c>
      <c r="W166" s="38">
        <f>IF($B166="","",M166-J166)</f>
        <v/>
      </c>
      <c r="X166" s="39">
        <f>IF($B166="","",IFERROR(V166/W166,""))</f>
        <v/>
      </c>
      <c r="Y166" s="40">
        <f>IF($B166="","",V166-W166)</f>
        <v/>
      </c>
    </row>
    <row r="167">
      <c r="A167" s="37">
        <f>IF($B167="","",ROW()-3)</f>
        <v/>
      </c>
      <c r="B167" s="13">
        <f>IF(163+1&gt;COUNTA('维度字典'!$C$2:$C$200)*COUNTA('维度字典'!$A$2:$A$200)*COUNTA('维度字典'!$E$2:$E$200),"",INDEX('维度字典'!$C$2:$C$200,MOD(INT(163/(COUNTA('维度字典'!$E$2:$E$200)*COUNTA('维度字典'!$A$2:$A$200))),COUNTA('维度字典'!$C$2:$C$200))+1))</f>
        <v/>
      </c>
      <c r="C167" s="13">
        <f>IF($B167="","",INDEX('维度字典'!$A$2:$A$200,MOD(INT(163/COUNTA('维度字典'!$E$2:$E$200)),COUNTA('维度字典'!$A$2:$A$200))+1))</f>
        <v/>
      </c>
      <c r="D167" s="13">
        <f>IF($B167="","",INDEX('维度字典'!$E$2:$E$200,MOD(163,COUNTA('维度字典'!$E$2:$E$200))+1))</f>
        <v/>
      </c>
      <c r="E167" s="38">
        <f>IF($B167="","",SUMPRODUCT(('系统实绩导入'!$B$4:$B$1500=$B167)*('系统实绩导入'!$C$4:$C$1500=$C167)*('系统实绩导入'!$D$4:$D$1500=$D167)*('系统实绩导入'!$F$4:$F$1500="实绩销售额")*('系统实绩导入'!$G$3:$R$3=$F$1)*'系统实绩导入'!$G$4:$R$1500))</f>
        <v/>
      </c>
      <c r="F167" s="38">
        <f>IF($B167="","",SUMPRODUCT(('系统实绩导入'!$B$4:$B$1500=$B167)*('系统实绩导入'!$C$4:$C$1500=$C167)*('系统实绩导入'!$D$4:$D$1500=$D167)*('系统实绩导入'!$F$4:$F$1500="实绩毛利")*('系统实绩导入'!$G$3:$R$3=$F$1)*'系统实绩导入'!$G$4:$R$1500))</f>
        <v/>
      </c>
      <c r="G167" s="39">
        <f>IF($B167="","",IFERROR(F167/E167,""))</f>
        <v/>
      </c>
      <c r="H167" s="38">
        <f>IF($B167="","",SUMPRODUCT(('目标填报'!$B$4:$B$1500=$B167)*('目标填报'!$C$4:$C$1500=$C167)*('目标填报'!$D$4:$D$1500=$D167)*('目标填报'!$F$4:$F$1500="销售目标额")*('目标填报'!$G$3:$R$3=$F$1)*'目标填报'!$G$4:$R$1500))</f>
        <v/>
      </c>
      <c r="I167" s="39">
        <f>IF($B167="","",IFERROR(E167/H167,""))</f>
        <v/>
      </c>
      <c r="J167" s="38">
        <f>IF($B167="","",SUMPRODUCT(('系统实绩导入'!$B$4:$B$1500=$B167)*('系统实绩导入'!$C$4:$C$1500=$C167)*('系统实绩导入'!$D$4:$D$1500=$D167)*('系统实绩导入'!$F$4:$F$1500="实绩销售额")*('系统实绩导入'!$G$3:$R$3&lt;=$F$1)*'系统实绩导入'!$G$4:$R$1500))</f>
        <v/>
      </c>
      <c r="K167" s="38">
        <f>IF($B167="","",SUMPRODUCT(('系统实绩导入'!$B$4:$B$1500=$B167)*('系统实绩导入'!$C$4:$C$1500=$C167)*('系统实绩导入'!$D$4:$D$1500=$D167)*('系统实绩导入'!$F$4:$F$1500="实绩毛利")*('系统实绩导入'!$G$3:$R$3&lt;=$F$1)*'系统实绩导入'!$G$4:$R$1500))</f>
        <v/>
      </c>
      <c r="L167" s="39">
        <f>IF($B167="","",IFERROR(K167/J167,""))</f>
        <v/>
      </c>
      <c r="M167" s="38">
        <f>IF($B167="","",SUMIFS('目标填报'!$S$4:$S$1500,'目标填报'!$B$4:$B$1500,$B167,'目标填报'!$C$4:$C$1500,$C167,'目标填报'!$D$4:$D$1500,$D167,'目标填报'!$F$4:$F$1500,"销售目标额"))</f>
        <v/>
      </c>
      <c r="N167" s="39">
        <f>IF($B167="","",IFERROR(J167/M167,""))</f>
        <v/>
      </c>
      <c r="O167" s="40">
        <f>IF($B167="","",J167-M167)</f>
        <v/>
      </c>
      <c r="P167" s="38">
        <f>IF($B167="","",SUMPRODUCT(('目标填报'!$B$4:$B$1500=$B167)*('目标填报'!$C$4:$C$1500=$C167)*('目标填报'!$D$4:$D$1500=$D167)*('目标填报'!$F$4:$F$1500="在手订单")*('目标填报'!$G$3:$R$3=$F$1)*'目标填报'!$G$4:$R$1500))</f>
        <v/>
      </c>
      <c r="Q167" s="38">
        <f>IF($B167="","",SUMPRODUCT(('目标填报'!$B$4:$B$1500=$B167)*('目标填报'!$C$4:$C$1500=$C167)*('目标填报'!$D$4:$D$1500=$D167)*('目标填报'!$F$4:$F$1500="在手订单目标")*('目标填报'!$G$3:$R$3=$F$1)*'目标填报'!$G$4:$R$1500))</f>
        <v/>
      </c>
      <c r="R167" s="39">
        <f>IF($B167="","",IFERROR(P167/Q167,""))</f>
        <v/>
      </c>
      <c r="S167" s="38">
        <f>IF($B167="","",SUMPRODUCT(('目标填报'!$B$4:$B$1500=$B167)*('目标填报'!$C$4:$C$1500=$C167)*('目标填报'!$D$4:$D$1500=$D167)*('目标填报'!$F$4:$F$1500="目标客户机会")*('目标填报'!$G$3:$R$3=$F$1)*'目标填报'!$G$4:$R$1500))</f>
        <v/>
      </c>
      <c r="T167" s="38">
        <f>IF($B167="","",SUMPRODUCT(('目标填报'!$B$4:$B$1500=$B167)*('目标填报'!$C$4:$C$1500=$C167)*('目标填报'!$D$4:$D$1500=$D167)*('目标填报'!$F$4:$F$1500="目标客户机会目标")*('目标填报'!$G$3:$R$3=$F$1)*'目标填报'!$G$4:$R$1500))</f>
        <v/>
      </c>
      <c r="U167" s="39">
        <f>IF($B167="","",IFERROR(S167/T167,""))</f>
        <v/>
      </c>
      <c r="V167" s="38">
        <f>IF($B167="","",P167+S167)</f>
        <v/>
      </c>
      <c r="W167" s="38">
        <f>IF($B167="","",M167-J167)</f>
        <v/>
      </c>
      <c r="X167" s="39">
        <f>IF($B167="","",IFERROR(V167/W167,""))</f>
        <v/>
      </c>
      <c r="Y167" s="40">
        <f>IF($B167="","",V167-W167)</f>
        <v/>
      </c>
    </row>
    <row r="168">
      <c r="A168" s="37">
        <f>IF($B168="","",ROW()-3)</f>
        <v/>
      </c>
      <c r="B168" s="13">
        <f>IF(164+1&gt;COUNTA('维度字典'!$C$2:$C$200)*COUNTA('维度字典'!$A$2:$A$200)*COUNTA('维度字典'!$E$2:$E$200),"",INDEX('维度字典'!$C$2:$C$200,MOD(INT(164/(COUNTA('维度字典'!$E$2:$E$200)*COUNTA('维度字典'!$A$2:$A$200))),COUNTA('维度字典'!$C$2:$C$200))+1))</f>
        <v/>
      </c>
      <c r="C168" s="13">
        <f>IF($B168="","",INDEX('维度字典'!$A$2:$A$200,MOD(INT(164/COUNTA('维度字典'!$E$2:$E$200)),COUNTA('维度字典'!$A$2:$A$200))+1))</f>
        <v/>
      </c>
      <c r="D168" s="13">
        <f>IF($B168="","",INDEX('维度字典'!$E$2:$E$200,MOD(164,COUNTA('维度字典'!$E$2:$E$200))+1))</f>
        <v/>
      </c>
      <c r="E168" s="38">
        <f>IF($B168="","",SUMPRODUCT(('系统实绩导入'!$B$4:$B$1500=$B168)*('系统实绩导入'!$C$4:$C$1500=$C168)*('系统实绩导入'!$D$4:$D$1500=$D168)*('系统实绩导入'!$F$4:$F$1500="实绩销售额")*('系统实绩导入'!$G$3:$R$3=$F$1)*'系统实绩导入'!$G$4:$R$1500))</f>
        <v/>
      </c>
      <c r="F168" s="38">
        <f>IF($B168="","",SUMPRODUCT(('系统实绩导入'!$B$4:$B$1500=$B168)*('系统实绩导入'!$C$4:$C$1500=$C168)*('系统实绩导入'!$D$4:$D$1500=$D168)*('系统实绩导入'!$F$4:$F$1500="实绩毛利")*('系统实绩导入'!$G$3:$R$3=$F$1)*'系统实绩导入'!$G$4:$R$1500))</f>
        <v/>
      </c>
      <c r="G168" s="39">
        <f>IF($B168="","",IFERROR(F168/E168,""))</f>
        <v/>
      </c>
      <c r="H168" s="38">
        <f>IF($B168="","",SUMPRODUCT(('目标填报'!$B$4:$B$1500=$B168)*('目标填报'!$C$4:$C$1500=$C168)*('目标填报'!$D$4:$D$1500=$D168)*('目标填报'!$F$4:$F$1500="销售目标额")*('目标填报'!$G$3:$R$3=$F$1)*'目标填报'!$G$4:$R$1500))</f>
        <v/>
      </c>
      <c r="I168" s="39">
        <f>IF($B168="","",IFERROR(E168/H168,""))</f>
        <v/>
      </c>
      <c r="J168" s="38">
        <f>IF($B168="","",SUMPRODUCT(('系统实绩导入'!$B$4:$B$1500=$B168)*('系统实绩导入'!$C$4:$C$1500=$C168)*('系统实绩导入'!$D$4:$D$1500=$D168)*('系统实绩导入'!$F$4:$F$1500="实绩销售额")*('系统实绩导入'!$G$3:$R$3&lt;=$F$1)*'系统实绩导入'!$G$4:$R$1500))</f>
        <v/>
      </c>
      <c r="K168" s="38">
        <f>IF($B168="","",SUMPRODUCT(('系统实绩导入'!$B$4:$B$1500=$B168)*('系统实绩导入'!$C$4:$C$1500=$C168)*('系统实绩导入'!$D$4:$D$1500=$D168)*('系统实绩导入'!$F$4:$F$1500="实绩毛利")*('系统实绩导入'!$G$3:$R$3&lt;=$F$1)*'系统实绩导入'!$G$4:$R$1500))</f>
        <v/>
      </c>
      <c r="L168" s="39">
        <f>IF($B168="","",IFERROR(K168/J168,""))</f>
        <v/>
      </c>
      <c r="M168" s="38">
        <f>IF($B168="","",SUMIFS('目标填报'!$S$4:$S$1500,'目标填报'!$B$4:$B$1500,$B168,'目标填报'!$C$4:$C$1500,$C168,'目标填报'!$D$4:$D$1500,$D168,'目标填报'!$F$4:$F$1500,"销售目标额"))</f>
        <v/>
      </c>
      <c r="N168" s="39">
        <f>IF($B168="","",IFERROR(J168/M168,""))</f>
        <v/>
      </c>
      <c r="O168" s="40">
        <f>IF($B168="","",J168-M168)</f>
        <v/>
      </c>
      <c r="P168" s="38">
        <f>IF($B168="","",SUMPRODUCT(('目标填报'!$B$4:$B$1500=$B168)*('目标填报'!$C$4:$C$1500=$C168)*('目标填报'!$D$4:$D$1500=$D168)*('目标填报'!$F$4:$F$1500="在手订单")*('目标填报'!$G$3:$R$3=$F$1)*'目标填报'!$G$4:$R$1500))</f>
        <v/>
      </c>
      <c r="Q168" s="38">
        <f>IF($B168="","",SUMPRODUCT(('目标填报'!$B$4:$B$1500=$B168)*('目标填报'!$C$4:$C$1500=$C168)*('目标填报'!$D$4:$D$1500=$D168)*('目标填报'!$F$4:$F$1500="在手订单目标")*('目标填报'!$G$3:$R$3=$F$1)*'目标填报'!$G$4:$R$1500))</f>
        <v/>
      </c>
      <c r="R168" s="39">
        <f>IF($B168="","",IFERROR(P168/Q168,""))</f>
        <v/>
      </c>
      <c r="S168" s="38">
        <f>IF($B168="","",SUMPRODUCT(('目标填报'!$B$4:$B$1500=$B168)*('目标填报'!$C$4:$C$1500=$C168)*('目标填报'!$D$4:$D$1500=$D168)*('目标填报'!$F$4:$F$1500="目标客户机会")*('目标填报'!$G$3:$R$3=$F$1)*'目标填报'!$G$4:$R$1500))</f>
        <v/>
      </c>
      <c r="T168" s="38">
        <f>IF($B168="","",SUMPRODUCT(('目标填报'!$B$4:$B$1500=$B168)*('目标填报'!$C$4:$C$1500=$C168)*('目标填报'!$D$4:$D$1500=$D168)*('目标填报'!$F$4:$F$1500="目标客户机会目标")*('目标填报'!$G$3:$R$3=$F$1)*'目标填报'!$G$4:$R$1500))</f>
        <v/>
      </c>
      <c r="U168" s="39">
        <f>IF($B168="","",IFERROR(S168/T168,""))</f>
        <v/>
      </c>
      <c r="V168" s="38">
        <f>IF($B168="","",P168+S168)</f>
        <v/>
      </c>
      <c r="W168" s="38">
        <f>IF($B168="","",M168-J168)</f>
        <v/>
      </c>
      <c r="X168" s="39">
        <f>IF($B168="","",IFERROR(V168/W168,""))</f>
        <v/>
      </c>
      <c r="Y168" s="40">
        <f>IF($B168="","",V168-W168)</f>
        <v/>
      </c>
    </row>
    <row r="169">
      <c r="A169" s="37">
        <f>IF($B169="","",ROW()-3)</f>
        <v/>
      </c>
      <c r="B169" s="13">
        <f>IF(165+1&gt;COUNTA('维度字典'!$C$2:$C$200)*COUNTA('维度字典'!$A$2:$A$200)*COUNTA('维度字典'!$E$2:$E$200),"",INDEX('维度字典'!$C$2:$C$200,MOD(INT(165/(COUNTA('维度字典'!$E$2:$E$200)*COUNTA('维度字典'!$A$2:$A$200))),COUNTA('维度字典'!$C$2:$C$200))+1))</f>
        <v/>
      </c>
      <c r="C169" s="13">
        <f>IF($B169="","",INDEX('维度字典'!$A$2:$A$200,MOD(INT(165/COUNTA('维度字典'!$E$2:$E$200)),COUNTA('维度字典'!$A$2:$A$200))+1))</f>
        <v/>
      </c>
      <c r="D169" s="13">
        <f>IF($B169="","",INDEX('维度字典'!$E$2:$E$200,MOD(165,COUNTA('维度字典'!$E$2:$E$200))+1))</f>
        <v/>
      </c>
      <c r="E169" s="38">
        <f>IF($B169="","",SUMPRODUCT(('系统实绩导入'!$B$4:$B$1500=$B169)*('系统实绩导入'!$C$4:$C$1500=$C169)*('系统实绩导入'!$D$4:$D$1500=$D169)*('系统实绩导入'!$F$4:$F$1500="实绩销售额")*('系统实绩导入'!$G$3:$R$3=$F$1)*'系统实绩导入'!$G$4:$R$1500))</f>
        <v/>
      </c>
      <c r="F169" s="38">
        <f>IF($B169="","",SUMPRODUCT(('系统实绩导入'!$B$4:$B$1500=$B169)*('系统实绩导入'!$C$4:$C$1500=$C169)*('系统实绩导入'!$D$4:$D$1500=$D169)*('系统实绩导入'!$F$4:$F$1500="实绩毛利")*('系统实绩导入'!$G$3:$R$3=$F$1)*'系统实绩导入'!$G$4:$R$1500))</f>
        <v/>
      </c>
      <c r="G169" s="39">
        <f>IF($B169="","",IFERROR(F169/E169,""))</f>
        <v/>
      </c>
      <c r="H169" s="38">
        <f>IF($B169="","",SUMPRODUCT(('目标填报'!$B$4:$B$1500=$B169)*('目标填报'!$C$4:$C$1500=$C169)*('目标填报'!$D$4:$D$1500=$D169)*('目标填报'!$F$4:$F$1500="销售目标额")*('目标填报'!$G$3:$R$3=$F$1)*'目标填报'!$G$4:$R$1500))</f>
        <v/>
      </c>
      <c r="I169" s="39">
        <f>IF($B169="","",IFERROR(E169/H169,""))</f>
        <v/>
      </c>
      <c r="J169" s="38">
        <f>IF($B169="","",SUMPRODUCT(('系统实绩导入'!$B$4:$B$1500=$B169)*('系统实绩导入'!$C$4:$C$1500=$C169)*('系统实绩导入'!$D$4:$D$1500=$D169)*('系统实绩导入'!$F$4:$F$1500="实绩销售额")*('系统实绩导入'!$G$3:$R$3&lt;=$F$1)*'系统实绩导入'!$G$4:$R$1500))</f>
        <v/>
      </c>
      <c r="K169" s="38">
        <f>IF($B169="","",SUMPRODUCT(('系统实绩导入'!$B$4:$B$1500=$B169)*('系统实绩导入'!$C$4:$C$1500=$C169)*('系统实绩导入'!$D$4:$D$1500=$D169)*('系统实绩导入'!$F$4:$F$1500="实绩毛利")*('系统实绩导入'!$G$3:$R$3&lt;=$F$1)*'系统实绩导入'!$G$4:$R$1500))</f>
        <v/>
      </c>
      <c r="L169" s="39">
        <f>IF($B169="","",IFERROR(K169/J169,""))</f>
        <v/>
      </c>
      <c r="M169" s="38">
        <f>IF($B169="","",SUMIFS('目标填报'!$S$4:$S$1500,'目标填报'!$B$4:$B$1500,$B169,'目标填报'!$C$4:$C$1500,$C169,'目标填报'!$D$4:$D$1500,$D169,'目标填报'!$F$4:$F$1500,"销售目标额"))</f>
        <v/>
      </c>
      <c r="N169" s="39">
        <f>IF($B169="","",IFERROR(J169/M169,""))</f>
        <v/>
      </c>
      <c r="O169" s="40">
        <f>IF($B169="","",J169-M169)</f>
        <v/>
      </c>
      <c r="P169" s="38">
        <f>IF($B169="","",SUMPRODUCT(('目标填报'!$B$4:$B$1500=$B169)*('目标填报'!$C$4:$C$1500=$C169)*('目标填报'!$D$4:$D$1500=$D169)*('目标填报'!$F$4:$F$1500="在手订单")*('目标填报'!$G$3:$R$3=$F$1)*'目标填报'!$G$4:$R$1500))</f>
        <v/>
      </c>
      <c r="Q169" s="38">
        <f>IF($B169="","",SUMPRODUCT(('目标填报'!$B$4:$B$1500=$B169)*('目标填报'!$C$4:$C$1500=$C169)*('目标填报'!$D$4:$D$1500=$D169)*('目标填报'!$F$4:$F$1500="在手订单目标")*('目标填报'!$G$3:$R$3=$F$1)*'目标填报'!$G$4:$R$1500))</f>
        <v/>
      </c>
      <c r="R169" s="39">
        <f>IF($B169="","",IFERROR(P169/Q169,""))</f>
        <v/>
      </c>
      <c r="S169" s="38">
        <f>IF($B169="","",SUMPRODUCT(('目标填报'!$B$4:$B$1500=$B169)*('目标填报'!$C$4:$C$1500=$C169)*('目标填报'!$D$4:$D$1500=$D169)*('目标填报'!$F$4:$F$1500="目标客户机会")*('目标填报'!$G$3:$R$3=$F$1)*'目标填报'!$G$4:$R$1500))</f>
        <v/>
      </c>
      <c r="T169" s="38">
        <f>IF($B169="","",SUMPRODUCT(('目标填报'!$B$4:$B$1500=$B169)*('目标填报'!$C$4:$C$1500=$C169)*('目标填报'!$D$4:$D$1500=$D169)*('目标填报'!$F$4:$F$1500="目标客户机会目标")*('目标填报'!$G$3:$R$3=$F$1)*'目标填报'!$G$4:$R$1500))</f>
        <v/>
      </c>
      <c r="U169" s="39">
        <f>IF($B169="","",IFERROR(S169/T169,""))</f>
        <v/>
      </c>
      <c r="V169" s="38">
        <f>IF($B169="","",P169+S169)</f>
        <v/>
      </c>
      <c r="W169" s="38">
        <f>IF($B169="","",M169-J169)</f>
        <v/>
      </c>
      <c r="X169" s="39">
        <f>IF($B169="","",IFERROR(V169/W169,""))</f>
        <v/>
      </c>
      <c r="Y169" s="40">
        <f>IF($B169="","",V169-W169)</f>
        <v/>
      </c>
    </row>
    <row r="170">
      <c r="A170" s="37">
        <f>IF($B170="","",ROW()-3)</f>
        <v/>
      </c>
      <c r="B170" s="13">
        <f>IF(166+1&gt;COUNTA('维度字典'!$C$2:$C$200)*COUNTA('维度字典'!$A$2:$A$200)*COUNTA('维度字典'!$E$2:$E$200),"",INDEX('维度字典'!$C$2:$C$200,MOD(INT(166/(COUNTA('维度字典'!$E$2:$E$200)*COUNTA('维度字典'!$A$2:$A$200))),COUNTA('维度字典'!$C$2:$C$200))+1))</f>
        <v/>
      </c>
      <c r="C170" s="13">
        <f>IF($B170="","",INDEX('维度字典'!$A$2:$A$200,MOD(INT(166/COUNTA('维度字典'!$E$2:$E$200)),COUNTA('维度字典'!$A$2:$A$200))+1))</f>
        <v/>
      </c>
      <c r="D170" s="13">
        <f>IF($B170="","",INDEX('维度字典'!$E$2:$E$200,MOD(166,COUNTA('维度字典'!$E$2:$E$200))+1))</f>
        <v/>
      </c>
      <c r="E170" s="38">
        <f>IF($B170="","",SUMPRODUCT(('系统实绩导入'!$B$4:$B$1500=$B170)*('系统实绩导入'!$C$4:$C$1500=$C170)*('系统实绩导入'!$D$4:$D$1500=$D170)*('系统实绩导入'!$F$4:$F$1500="实绩销售额")*('系统实绩导入'!$G$3:$R$3=$F$1)*'系统实绩导入'!$G$4:$R$1500))</f>
        <v/>
      </c>
      <c r="F170" s="38">
        <f>IF($B170="","",SUMPRODUCT(('系统实绩导入'!$B$4:$B$1500=$B170)*('系统实绩导入'!$C$4:$C$1500=$C170)*('系统实绩导入'!$D$4:$D$1500=$D170)*('系统实绩导入'!$F$4:$F$1500="实绩毛利")*('系统实绩导入'!$G$3:$R$3=$F$1)*'系统实绩导入'!$G$4:$R$1500))</f>
        <v/>
      </c>
      <c r="G170" s="39">
        <f>IF($B170="","",IFERROR(F170/E170,""))</f>
        <v/>
      </c>
      <c r="H170" s="38">
        <f>IF($B170="","",SUMPRODUCT(('目标填报'!$B$4:$B$1500=$B170)*('目标填报'!$C$4:$C$1500=$C170)*('目标填报'!$D$4:$D$1500=$D170)*('目标填报'!$F$4:$F$1500="销售目标额")*('目标填报'!$G$3:$R$3=$F$1)*'目标填报'!$G$4:$R$1500))</f>
        <v/>
      </c>
      <c r="I170" s="39">
        <f>IF($B170="","",IFERROR(E170/H170,""))</f>
        <v/>
      </c>
      <c r="J170" s="38">
        <f>IF($B170="","",SUMPRODUCT(('系统实绩导入'!$B$4:$B$1500=$B170)*('系统实绩导入'!$C$4:$C$1500=$C170)*('系统实绩导入'!$D$4:$D$1500=$D170)*('系统实绩导入'!$F$4:$F$1500="实绩销售额")*('系统实绩导入'!$G$3:$R$3&lt;=$F$1)*'系统实绩导入'!$G$4:$R$1500))</f>
        <v/>
      </c>
      <c r="K170" s="38">
        <f>IF($B170="","",SUMPRODUCT(('系统实绩导入'!$B$4:$B$1500=$B170)*('系统实绩导入'!$C$4:$C$1500=$C170)*('系统实绩导入'!$D$4:$D$1500=$D170)*('系统实绩导入'!$F$4:$F$1500="实绩毛利")*('系统实绩导入'!$G$3:$R$3&lt;=$F$1)*'系统实绩导入'!$G$4:$R$1500))</f>
        <v/>
      </c>
      <c r="L170" s="39">
        <f>IF($B170="","",IFERROR(K170/J170,""))</f>
        <v/>
      </c>
      <c r="M170" s="38">
        <f>IF($B170="","",SUMIFS('目标填报'!$S$4:$S$1500,'目标填报'!$B$4:$B$1500,$B170,'目标填报'!$C$4:$C$1500,$C170,'目标填报'!$D$4:$D$1500,$D170,'目标填报'!$F$4:$F$1500,"销售目标额"))</f>
        <v/>
      </c>
      <c r="N170" s="39">
        <f>IF($B170="","",IFERROR(J170/M170,""))</f>
        <v/>
      </c>
      <c r="O170" s="40">
        <f>IF($B170="","",J170-M170)</f>
        <v/>
      </c>
      <c r="P170" s="38">
        <f>IF($B170="","",SUMPRODUCT(('目标填报'!$B$4:$B$1500=$B170)*('目标填报'!$C$4:$C$1500=$C170)*('目标填报'!$D$4:$D$1500=$D170)*('目标填报'!$F$4:$F$1500="在手订单")*('目标填报'!$G$3:$R$3=$F$1)*'目标填报'!$G$4:$R$1500))</f>
        <v/>
      </c>
      <c r="Q170" s="38">
        <f>IF($B170="","",SUMPRODUCT(('目标填报'!$B$4:$B$1500=$B170)*('目标填报'!$C$4:$C$1500=$C170)*('目标填报'!$D$4:$D$1500=$D170)*('目标填报'!$F$4:$F$1500="在手订单目标")*('目标填报'!$G$3:$R$3=$F$1)*'目标填报'!$G$4:$R$1500))</f>
        <v/>
      </c>
      <c r="R170" s="39">
        <f>IF($B170="","",IFERROR(P170/Q170,""))</f>
        <v/>
      </c>
      <c r="S170" s="38">
        <f>IF($B170="","",SUMPRODUCT(('目标填报'!$B$4:$B$1500=$B170)*('目标填报'!$C$4:$C$1500=$C170)*('目标填报'!$D$4:$D$1500=$D170)*('目标填报'!$F$4:$F$1500="目标客户机会")*('目标填报'!$G$3:$R$3=$F$1)*'目标填报'!$G$4:$R$1500))</f>
        <v/>
      </c>
      <c r="T170" s="38">
        <f>IF($B170="","",SUMPRODUCT(('目标填报'!$B$4:$B$1500=$B170)*('目标填报'!$C$4:$C$1500=$C170)*('目标填报'!$D$4:$D$1500=$D170)*('目标填报'!$F$4:$F$1500="目标客户机会目标")*('目标填报'!$G$3:$R$3=$F$1)*'目标填报'!$G$4:$R$1500))</f>
        <v/>
      </c>
      <c r="U170" s="39">
        <f>IF($B170="","",IFERROR(S170/T170,""))</f>
        <v/>
      </c>
      <c r="V170" s="38">
        <f>IF($B170="","",P170+S170)</f>
        <v/>
      </c>
      <c r="W170" s="38">
        <f>IF($B170="","",M170-J170)</f>
        <v/>
      </c>
      <c r="X170" s="39">
        <f>IF($B170="","",IFERROR(V170/W170,""))</f>
        <v/>
      </c>
      <c r="Y170" s="40">
        <f>IF($B170="","",V170-W170)</f>
        <v/>
      </c>
    </row>
    <row r="171">
      <c r="A171" s="37">
        <f>IF($B171="","",ROW()-3)</f>
        <v/>
      </c>
      <c r="B171" s="13">
        <f>IF(167+1&gt;COUNTA('维度字典'!$C$2:$C$200)*COUNTA('维度字典'!$A$2:$A$200)*COUNTA('维度字典'!$E$2:$E$200),"",INDEX('维度字典'!$C$2:$C$200,MOD(INT(167/(COUNTA('维度字典'!$E$2:$E$200)*COUNTA('维度字典'!$A$2:$A$200))),COUNTA('维度字典'!$C$2:$C$200))+1))</f>
        <v/>
      </c>
      <c r="C171" s="13">
        <f>IF($B171="","",INDEX('维度字典'!$A$2:$A$200,MOD(INT(167/COUNTA('维度字典'!$E$2:$E$200)),COUNTA('维度字典'!$A$2:$A$200))+1))</f>
        <v/>
      </c>
      <c r="D171" s="13">
        <f>IF($B171="","",INDEX('维度字典'!$E$2:$E$200,MOD(167,COUNTA('维度字典'!$E$2:$E$200))+1))</f>
        <v/>
      </c>
      <c r="E171" s="38">
        <f>IF($B171="","",SUMPRODUCT(('系统实绩导入'!$B$4:$B$1500=$B171)*('系统实绩导入'!$C$4:$C$1500=$C171)*('系统实绩导入'!$D$4:$D$1500=$D171)*('系统实绩导入'!$F$4:$F$1500="实绩销售额")*('系统实绩导入'!$G$3:$R$3=$F$1)*'系统实绩导入'!$G$4:$R$1500))</f>
        <v/>
      </c>
      <c r="F171" s="38">
        <f>IF($B171="","",SUMPRODUCT(('系统实绩导入'!$B$4:$B$1500=$B171)*('系统实绩导入'!$C$4:$C$1500=$C171)*('系统实绩导入'!$D$4:$D$1500=$D171)*('系统实绩导入'!$F$4:$F$1500="实绩毛利")*('系统实绩导入'!$G$3:$R$3=$F$1)*'系统实绩导入'!$G$4:$R$1500))</f>
        <v/>
      </c>
      <c r="G171" s="39">
        <f>IF($B171="","",IFERROR(F171/E171,""))</f>
        <v/>
      </c>
      <c r="H171" s="38">
        <f>IF($B171="","",SUMPRODUCT(('目标填报'!$B$4:$B$1500=$B171)*('目标填报'!$C$4:$C$1500=$C171)*('目标填报'!$D$4:$D$1500=$D171)*('目标填报'!$F$4:$F$1500="销售目标额")*('目标填报'!$G$3:$R$3=$F$1)*'目标填报'!$G$4:$R$1500))</f>
        <v/>
      </c>
      <c r="I171" s="39">
        <f>IF($B171="","",IFERROR(E171/H171,""))</f>
        <v/>
      </c>
      <c r="J171" s="38">
        <f>IF($B171="","",SUMPRODUCT(('系统实绩导入'!$B$4:$B$1500=$B171)*('系统实绩导入'!$C$4:$C$1500=$C171)*('系统实绩导入'!$D$4:$D$1500=$D171)*('系统实绩导入'!$F$4:$F$1500="实绩销售额")*('系统实绩导入'!$G$3:$R$3&lt;=$F$1)*'系统实绩导入'!$G$4:$R$1500))</f>
        <v/>
      </c>
      <c r="K171" s="38">
        <f>IF($B171="","",SUMPRODUCT(('系统实绩导入'!$B$4:$B$1500=$B171)*('系统实绩导入'!$C$4:$C$1500=$C171)*('系统实绩导入'!$D$4:$D$1500=$D171)*('系统实绩导入'!$F$4:$F$1500="实绩毛利")*('系统实绩导入'!$G$3:$R$3&lt;=$F$1)*'系统实绩导入'!$G$4:$R$1500))</f>
        <v/>
      </c>
      <c r="L171" s="39">
        <f>IF($B171="","",IFERROR(K171/J171,""))</f>
        <v/>
      </c>
      <c r="M171" s="38">
        <f>IF($B171="","",SUMIFS('目标填报'!$S$4:$S$1500,'目标填报'!$B$4:$B$1500,$B171,'目标填报'!$C$4:$C$1500,$C171,'目标填报'!$D$4:$D$1500,$D171,'目标填报'!$F$4:$F$1500,"销售目标额"))</f>
        <v/>
      </c>
      <c r="N171" s="39">
        <f>IF($B171="","",IFERROR(J171/M171,""))</f>
        <v/>
      </c>
      <c r="O171" s="40">
        <f>IF($B171="","",J171-M171)</f>
        <v/>
      </c>
      <c r="P171" s="38">
        <f>IF($B171="","",SUMPRODUCT(('目标填报'!$B$4:$B$1500=$B171)*('目标填报'!$C$4:$C$1500=$C171)*('目标填报'!$D$4:$D$1500=$D171)*('目标填报'!$F$4:$F$1500="在手订单")*('目标填报'!$G$3:$R$3=$F$1)*'目标填报'!$G$4:$R$1500))</f>
        <v/>
      </c>
      <c r="Q171" s="38">
        <f>IF($B171="","",SUMPRODUCT(('目标填报'!$B$4:$B$1500=$B171)*('目标填报'!$C$4:$C$1500=$C171)*('目标填报'!$D$4:$D$1500=$D171)*('目标填报'!$F$4:$F$1500="在手订单目标")*('目标填报'!$G$3:$R$3=$F$1)*'目标填报'!$G$4:$R$1500))</f>
        <v/>
      </c>
      <c r="R171" s="39">
        <f>IF($B171="","",IFERROR(P171/Q171,""))</f>
        <v/>
      </c>
      <c r="S171" s="38">
        <f>IF($B171="","",SUMPRODUCT(('目标填报'!$B$4:$B$1500=$B171)*('目标填报'!$C$4:$C$1500=$C171)*('目标填报'!$D$4:$D$1500=$D171)*('目标填报'!$F$4:$F$1500="目标客户机会")*('目标填报'!$G$3:$R$3=$F$1)*'目标填报'!$G$4:$R$1500))</f>
        <v/>
      </c>
      <c r="T171" s="38">
        <f>IF($B171="","",SUMPRODUCT(('目标填报'!$B$4:$B$1500=$B171)*('目标填报'!$C$4:$C$1500=$C171)*('目标填报'!$D$4:$D$1500=$D171)*('目标填报'!$F$4:$F$1500="目标客户机会目标")*('目标填报'!$G$3:$R$3=$F$1)*'目标填报'!$G$4:$R$1500))</f>
        <v/>
      </c>
      <c r="U171" s="39">
        <f>IF($B171="","",IFERROR(S171/T171,""))</f>
        <v/>
      </c>
      <c r="V171" s="38">
        <f>IF($B171="","",P171+S171)</f>
        <v/>
      </c>
      <c r="W171" s="38">
        <f>IF($B171="","",M171-J171)</f>
        <v/>
      </c>
      <c r="X171" s="39">
        <f>IF($B171="","",IFERROR(V171/W171,""))</f>
        <v/>
      </c>
      <c r="Y171" s="40">
        <f>IF($B171="","",V171-W171)</f>
        <v/>
      </c>
    </row>
    <row r="172">
      <c r="A172" s="37">
        <f>IF($B172="","",ROW()-3)</f>
        <v/>
      </c>
      <c r="B172" s="13">
        <f>IF(168+1&gt;COUNTA('维度字典'!$C$2:$C$200)*COUNTA('维度字典'!$A$2:$A$200)*COUNTA('维度字典'!$E$2:$E$200),"",INDEX('维度字典'!$C$2:$C$200,MOD(INT(168/(COUNTA('维度字典'!$E$2:$E$200)*COUNTA('维度字典'!$A$2:$A$200))),COUNTA('维度字典'!$C$2:$C$200))+1))</f>
        <v/>
      </c>
      <c r="C172" s="13">
        <f>IF($B172="","",INDEX('维度字典'!$A$2:$A$200,MOD(INT(168/COUNTA('维度字典'!$E$2:$E$200)),COUNTA('维度字典'!$A$2:$A$200))+1))</f>
        <v/>
      </c>
      <c r="D172" s="13">
        <f>IF($B172="","",INDEX('维度字典'!$E$2:$E$200,MOD(168,COUNTA('维度字典'!$E$2:$E$200))+1))</f>
        <v/>
      </c>
      <c r="E172" s="38">
        <f>IF($B172="","",SUMPRODUCT(('系统实绩导入'!$B$4:$B$1500=$B172)*('系统实绩导入'!$C$4:$C$1500=$C172)*('系统实绩导入'!$D$4:$D$1500=$D172)*('系统实绩导入'!$F$4:$F$1500="实绩销售额")*('系统实绩导入'!$G$3:$R$3=$F$1)*'系统实绩导入'!$G$4:$R$1500))</f>
        <v/>
      </c>
      <c r="F172" s="38">
        <f>IF($B172="","",SUMPRODUCT(('系统实绩导入'!$B$4:$B$1500=$B172)*('系统实绩导入'!$C$4:$C$1500=$C172)*('系统实绩导入'!$D$4:$D$1500=$D172)*('系统实绩导入'!$F$4:$F$1500="实绩毛利")*('系统实绩导入'!$G$3:$R$3=$F$1)*'系统实绩导入'!$G$4:$R$1500))</f>
        <v/>
      </c>
      <c r="G172" s="39">
        <f>IF($B172="","",IFERROR(F172/E172,""))</f>
        <v/>
      </c>
      <c r="H172" s="38">
        <f>IF($B172="","",SUMPRODUCT(('目标填报'!$B$4:$B$1500=$B172)*('目标填报'!$C$4:$C$1500=$C172)*('目标填报'!$D$4:$D$1500=$D172)*('目标填报'!$F$4:$F$1500="销售目标额")*('目标填报'!$G$3:$R$3=$F$1)*'目标填报'!$G$4:$R$1500))</f>
        <v/>
      </c>
      <c r="I172" s="39">
        <f>IF($B172="","",IFERROR(E172/H172,""))</f>
        <v/>
      </c>
      <c r="J172" s="38">
        <f>IF($B172="","",SUMPRODUCT(('系统实绩导入'!$B$4:$B$1500=$B172)*('系统实绩导入'!$C$4:$C$1500=$C172)*('系统实绩导入'!$D$4:$D$1500=$D172)*('系统实绩导入'!$F$4:$F$1500="实绩销售额")*('系统实绩导入'!$G$3:$R$3&lt;=$F$1)*'系统实绩导入'!$G$4:$R$1500))</f>
        <v/>
      </c>
      <c r="K172" s="38">
        <f>IF($B172="","",SUMPRODUCT(('系统实绩导入'!$B$4:$B$1500=$B172)*('系统实绩导入'!$C$4:$C$1500=$C172)*('系统实绩导入'!$D$4:$D$1500=$D172)*('系统实绩导入'!$F$4:$F$1500="实绩毛利")*('系统实绩导入'!$G$3:$R$3&lt;=$F$1)*'系统实绩导入'!$G$4:$R$1500))</f>
        <v/>
      </c>
      <c r="L172" s="39">
        <f>IF($B172="","",IFERROR(K172/J172,""))</f>
        <v/>
      </c>
      <c r="M172" s="38">
        <f>IF($B172="","",SUMIFS('目标填报'!$S$4:$S$1500,'目标填报'!$B$4:$B$1500,$B172,'目标填报'!$C$4:$C$1500,$C172,'目标填报'!$D$4:$D$1500,$D172,'目标填报'!$F$4:$F$1500,"销售目标额"))</f>
        <v/>
      </c>
      <c r="N172" s="39">
        <f>IF($B172="","",IFERROR(J172/M172,""))</f>
        <v/>
      </c>
      <c r="O172" s="40">
        <f>IF($B172="","",J172-M172)</f>
        <v/>
      </c>
      <c r="P172" s="38">
        <f>IF($B172="","",SUMPRODUCT(('目标填报'!$B$4:$B$1500=$B172)*('目标填报'!$C$4:$C$1500=$C172)*('目标填报'!$D$4:$D$1500=$D172)*('目标填报'!$F$4:$F$1500="在手订单")*('目标填报'!$G$3:$R$3=$F$1)*'目标填报'!$G$4:$R$1500))</f>
        <v/>
      </c>
      <c r="Q172" s="38">
        <f>IF($B172="","",SUMPRODUCT(('目标填报'!$B$4:$B$1500=$B172)*('目标填报'!$C$4:$C$1500=$C172)*('目标填报'!$D$4:$D$1500=$D172)*('目标填报'!$F$4:$F$1500="在手订单目标")*('目标填报'!$G$3:$R$3=$F$1)*'目标填报'!$G$4:$R$1500))</f>
        <v/>
      </c>
      <c r="R172" s="39">
        <f>IF($B172="","",IFERROR(P172/Q172,""))</f>
        <v/>
      </c>
      <c r="S172" s="38">
        <f>IF($B172="","",SUMPRODUCT(('目标填报'!$B$4:$B$1500=$B172)*('目标填报'!$C$4:$C$1500=$C172)*('目标填报'!$D$4:$D$1500=$D172)*('目标填报'!$F$4:$F$1500="目标客户机会")*('目标填报'!$G$3:$R$3=$F$1)*'目标填报'!$G$4:$R$1500))</f>
        <v/>
      </c>
      <c r="T172" s="38">
        <f>IF($B172="","",SUMPRODUCT(('目标填报'!$B$4:$B$1500=$B172)*('目标填报'!$C$4:$C$1500=$C172)*('目标填报'!$D$4:$D$1500=$D172)*('目标填报'!$F$4:$F$1500="目标客户机会目标")*('目标填报'!$G$3:$R$3=$F$1)*'目标填报'!$G$4:$R$1500))</f>
        <v/>
      </c>
      <c r="U172" s="39">
        <f>IF($B172="","",IFERROR(S172/T172,""))</f>
        <v/>
      </c>
      <c r="V172" s="38">
        <f>IF($B172="","",P172+S172)</f>
        <v/>
      </c>
      <c r="W172" s="38">
        <f>IF($B172="","",M172-J172)</f>
        <v/>
      </c>
      <c r="X172" s="39">
        <f>IF($B172="","",IFERROR(V172/W172,""))</f>
        <v/>
      </c>
      <c r="Y172" s="40">
        <f>IF($B172="","",V172-W172)</f>
        <v/>
      </c>
    </row>
    <row r="173">
      <c r="A173" s="37">
        <f>IF($B173="","",ROW()-3)</f>
        <v/>
      </c>
      <c r="B173" s="13">
        <f>IF(169+1&gt;COUNTA('维度字典'!$C$2:$C$200)*COUNTA('维度字典'!$A$2:$A$200)*COUNTA('维度字典'!$E$2:$E$200),"",INDEX('维度字典'!$C$2:$C$200,MOD(INT(169/(COUNTA('维度字典'!$E$2:$E$200)*COUNTA('维度字典'!$A$2:$A$200))),COUNTA('维度字典'!$C$2:$C$200))+1))</f>
        <v/>
      </c>
      <c r="C173" s="13">
        <f>IF($B173="","",INDEX('维度字典'!$A$2:$A$200,MOD(INT(169/COUNTA('维度字典'!$E$2:$E$200)),COUNTA('维度字典'!$A$2:$A$200))+1))</f>
        <v/>
      </c>
      <c r="D173" s="13">
        <f>IF($B173="","",INDEX('维度字典'!$E$2:$E$200,MOD(169,COUNTA('维度字典'!$E$2:$E$200))+1))</f>
        <v/>
      </c>
      <c r="E173" s="38">
        <f>IF($B173="","",SUMPRODUCT(('系统实绩导入'!$B$4:$B$1500=$B173)*('系统实绩导入'!$C$4:$C$1500=$C173)*('系统实绩导入'!$D$4:$D$1500=$D173)*('系统实绩导入'!$F$4:$F$1500="实绩销售额")*('系统实绩导入'!$G$3:$R$3=$F$1)*'系统实绩导入'!$G$4:$R$1500))</f>
        <v/>
      </c>
      <c r="F173" s="38">
        <f>IF($B173="","",SUMPRODUCT(('系统实绩导入'!$B$4:$B$1500=$B173)*('系统实绩导入'!$C$4:$C$1500=$C173)*('系统实绩导入'!$D$4:$D$1500=$D173)*('系统实绩导入'!$F$4:$F$1500="实绩毛利")*('系统实绩导入'!$G$3:$R$3=$F$1)*'系统实绩导入'!$G$4:$R$1500))</f>
        <v/>
      </c>
      <c r="G173" s="39">
        <f>IF($B173="","",IFERROR(F173/E173,""))</f>
        <v/>
      </c>
      <c r="H173" s="38">
        <f>IF($B173="","",SUMPRODUCT(('目标填报'!$B$4:$B$1500=$B173)*('目标填报'!$C$4:$C$1500=$C173)*('目标填报'!$D$4:$D$1500=$D173)*('目标填报'!$F$4:$F$1500="销售目标额")*('目标填报'!$G$3:$R$3=$F$1)*'目标填报'!$G$4:$R$1500))</f>
        <v/>
      </c>
      <c r="I173" s="39">
        <f>IF($B173="","",IFERROR(E173/H173,""))</f>
        <v/>
      </c>
      <c r="J173" s="38">
        <f>IF($B173="","",SUMPRODUCT(('系统实绩导入'!$B$4:$B$1500=$B173)*('系统实绩导入'!$C$4:$C$1500=$C173)*('系统实绩导入'!$D$4:$D$1500=$D173)*('系统实绩导入'!$F$4:$F$1500="实绩销售额")*('系统实绩导入'!$G$3:$R$3&lt;=$F$1)*'系统实绩导入'!$G$4:$R$1500))</f>
        <v/>
      </c>
      <c r="K173" s="38">
        <f>IF($B173="","",SUMPRODUCT(('系统实绩导入'!$B$4:$B$1500=$B173)*('系统实绩导入'!$C$4:$C$1500=$C173)*('系统实绩导入'!$D$4:$D$1500=$D173)*('系统实绩导入'!$F$4:$F$1500="实绩毛利")*('系统实绩导入'!$G$3:$R$3&lt;=$F$1)*'系统实绩导入'!$G$4:$R$1500))</f>
        <v/>
      </c>
      <c r="L173" s="39">
        <f>IF($B173="","",IFERROR(K173/J173,""))</f>
        <v/>
      </c>
      <c r="M173" s="38">
        <f>IF($B173="","",SUMIFS('目标填报'!$S$4:$S$1500,'目标填报'!$B$4:$B$1500,$B173,'目标填报'!$C$4:$C$1500,$C173,'目标填报'!$D$4:$D$1500,$D173,'目标填报'!$F$4:$F$1500,"销售目标额"))</f>
        <v/>
      </c>
      <c r="N173" s="39">
        <f>IF($B173="","",IFERROR(J173/M173,""))</f>
        <v/>
      </c>
      <c r="O173" s="40">
        <f>IF($B173="","",J173-M173)</f>
        <v/>
      </c>
      <c r="P173" s="38">
        <f>IF($B173="","",SUMPRODUCT(('目标填报'!$B$4:$B$1500=$B173)*('目标填报'!$C$4:$C$1500=$C173)*('目标填报'!$D$4:$D$1500=$D173)*('目标填报'!$F$4:$F$1500="在手订单")*('目标填报'!$G$3:$R$3=$F$1)*'目标填报'!$G$4:$R$1500))</f>
        <v/>
      </c>
      <c r="Q173" s="38">
        <f>IF($B173="","",SUMPRODUCT(('目标填报'!$B$4:$B$1500=$B173)*('目标填报'!$C$4:$C$1500=$C173)*('目标填报'!$D$4:$D$1500=$D173)*('目标填报'!$F$4:$F$1500="在手订单目标")*('目标填报'!$G$3:$R$3=$F$1)*'目标填报'!$G$4:$R$1500))</f>
        <v/>
      </c>
      <c r="R173" s="39">
        <f>IF($B173="","",IFERROR(P173/Q173,""))</f>
        <v/>
      </c>
      <c r="S173" s="38">
        <f>IF($B173="","",SUMPRODUCT(('目标填报'!$B$4:$B$1500=$B173)*('目标填报'!$C$4:$C$1500=$C173)*('目标填报'!$D$4:$D$1500=$D173)*('目标填报'!$F$4:$F$1500="目标客户机会")*('目标填报'!$G$3:$R$3=$F$1)*'目标填报'!$G$4:$R$1500))</f>
        <v/>
      </c>
      <c r="T173" s="38">
        <f>IF($B173="","",SUMPRODUCT(('目标填报'!$B$4:$B$1500=$B173)*('目标填报'!$C$4:$C$1500=$C173)*('目标填报'!$D$4:$D$1500=$D173)*('目标填报'!$F$4:$F$1500="目标客户机会目标")*('目标填报'!$G$3:$R$3=$F$1)*'目标填报'!$G$4:$R$1500))</f>
        <v/>
      </c>
      <c r="U173" s="39">
        <f>IF($B173="","",IFERROR(S173/T173,""))</f>
        <v/>
      </c>
      <c r="V173" s="38">
        <f>IF($B173="","",P173+S173)</f>
        <v/>
      </c>
      <c r="W173" s="38">
        <f>IF($B173="","",M173-J173)</f>
        <v/>
      </c>
      <c r="X173" s="39">
        <f>IF($B173="","",IFERROR(V173/W173,""))</f>
        <v/>
      </c>
      <c r="Y173" s="40">
        <f>IF($B173="","",V173-W173)</f>
        <v/>
      </c>
    </row>
    <row r="174">
      <c r="A174" s="37">
        <f>IF($B174="","",ROW()-3)</f>
        <v/>
      </c>
      <c r="B174" s="13">
        <f>IF(170+1&gt;COUNTA('维度字典'!$C$2:$C$200)*COUNTA('维度字典'!$A$2:$A$200)*COUNTA('维度字典'!$E$2:$E$200),"",INDEX('维度字典'!$C$2:$C$200,MOD(INT(170/(COUNTA('维度字典'!$E$2:$E$200)*COUNTA('维度字典'!$A$2:$A$200))),COUNTA('维度字典'!$C$2:$C$200))+1))</f>
        <v/>
      </c>
      <c r="C174" s="13">
        <f>IF($B174="","",INDEX('维度字典'!$A$2:$A$200,MOD(INT(170/COUNTA('维度字典'!$E$2:$E$200)),COUNTA('维度字典'!$A$2:$A$200))+1))</f>
        <v/>
      </c>
      <c r="D174" s="13">
        <f>IF($B174="","",INDEX('维度字典'!$E$2:$E$200,MOD(170,COUNTA('维度字典'!$E$2:$E$200))+1))</f>
        <v/>
      </c>
      <c r="E174" s="38">
        <f>IF($B174="","",SUMPRODUCT(('系统实绩导入'!$B$4:$B$1500=$B174)*('系统实绩导入'!$C$4:$C$1500=$C174)*('系统实绩导入'!$D$4:$D$1500=$D174)*('系统实绩导入'!$F$4:$F$1500="实绩销售额")*('系统实绩导入'!$G$3:$R$3=$F$1)*'系统实绩导入'!$G$4:$R$1500))</f>
        <v/>
      </c>
      <c r="F174" s="38">
        <f>IF($B174="","",SUMPRODUCT(('系统实绩导入'!$B$4:$B$1500=$B174)*('系统实绩导入'!$C$4:$C$1500=$C174)*('系统实绩导入'!$D$4:$D$1500=$D174)*('系统实绩导入'!$F$4:$F$1500="实绩毛利")*('系统实绩导入'!$G$3:$R$3=$F$1)*'系统实绩导入'!$G$4:$R$1500))</f>
        <v/>
      </c>
      <c r="G174" s="39">
        <f>IF($B174="","",IFERROR(F174/E174,""))</f>
        <v/>
      </c>
      <c r="H174" s="38">
        <f>IF($B174="","",SUMPRODUCT(('目标填报'!$B$4:$B$1500=$B174)*('目标填报'!$C$4:$C$1500=$C174)*('目标填报'!$D$4:$D$1500=$D174)*('目标填报'!$F$4:$F$1500="销售目标额")*('目标填报'!$G$3:$R$3=$F$1)*'目标填报'!$G$4:$R$1500))</f>
        <v/>
      </c>
      <c r="I174" s="39">
        <f>IF($B174="","",IFERROR(E174/H174,""))</f>
        <v/>
      </c>
      <c r="J174" s="38">
        <f>IF($B174="","",SUMPRODUCT(('系统实绩导入'!$B$4:$B$1500=$B174)*('系统实绩导入'!$C$4:$C$1500=$C174)*('系统实绩导入'!$D$4:$D$1500=$D174)*('系统实绩导入'!$F$4:$F$1500="实绩销售额")*('系统实绩导入'!$G$3:$R$3&lt;=$F$1)*'系统实绩导入'!$G$4:$R$1500))</f>
        <v/>
      </c>
      <c r="K174" s="38">
        <f>IF($B174="","",SUMPRODUCT(('系统实绩导入'!$B$4:$B$1500=$B174)*('系统实绩导入'!$C$4:$C$1500=$C174)*('系统实绩导入'!$D$4:$D$1500=$D174)*('系统实绩导入'!$F$4:$F$1500="实绩毛利")*('系统实绩导入'!$G$3:$R$3&lt;=$F$1)*'系统实绩导入'!$G$4:$R$1500))</f>
        <v/>
      </c>
      <c r="L174" s="39">
        <f>IF($B174="","",IFERROR(K174/J174,""))</f>
        <v/>
      </c>
      <c r="M174" s="38">
        <f>IF($B174="","",SUMIFS('目标填报'!$S$4:$S$1500,'目标填报'!$B$4:$B$1500,$B174,'目标填报'!$C$4:$C$1500,$C174,'目标填报'!$D$4:$D$1500,$D174,'目标填报'!$F$4:$F$1500,"销售目标额"))</f>
        <v/>
      </c>
      <c r="N174" s="39">
        <f>IF($B174="","",IFERROR(J174/M174,""))</f>
        <v/>
      </c>
      <c r="O174" s="40">
        <f>IF($B174="","",J174-M174)</f>
        <v/>
      </c>
      <c r="P174" s="38">
        <f>IF($B174="","",SUMPRODUCT(('目标填报'!$B$4:$B$1500=$B174)*('目标填报'!$C$4:$C$1500=$C174)*('目标填报'!$D$4:$D$1500=$D174)*('目标填报'!$F$4:$F$1500="在手订单")*('目标填报'!$G$3:$R$3=$F$1)*'目标填报'!$G$4:$R$1500))</f>
        <v/>
      </c>
      <c r="Q174" s="38">
        <f>IF($B174="","",SUMPRODUCT(('目标填报'!$B$4:$B$1500=$B174)*('目标填报'!$C$4:$C$1500=$C174)*('目标填报'!$D$4:$D$1500=$D174)*('目标填报'!$F$4:$F$1500="在手订单目标")*('目标填报'!$G$3:$R$3=$F$1)*'目标填报'!$G$4:$R$1500))</f>
        <v/>
      </c>
      <c r="R174" s="39">
        <f>IF($B174="","",IFERROR(P174/Q174,""))</f>
        <v/>
      </c>
      <c r="S174" s="38">
        <f>IF($B174="","",SUMPRODUCT(('目标填报'!$B$4:$B$1500=$B174)*('目标填报'!$C$4:$C$1500=$C174)*('目标填报'!$D$4:$D$1500=$D174)*('目标填报'!$F$4:$F$1500="目标客户机会")*('目标填报'!$G$3:$R$3=$F$1)*'目标填报'!$G$4:$R$1500))</f>
        <v/>
      </c>
      <c r="T174" s="38">
        <f>IF($B174="","",SUMPRODUCT(('目标填报'!$B$4:$B$1500=$B174)*('目标填报'!$C$4:$C$1500=$C174)*('目标填报'!$D$4:$D$1500=$D174)*('目标填报'!$F$4:$F$1500="目标客户机会目标")*('目标填报'!$G$3:$R$3=$F$1)*'目标填报'!$G$4:$R$1500))</f>
        <v/>
      </c>
      <c r="U174" s="39">
        <f>IF($B174="","",IFERROR(S174/T174,""))</f>
        <v/>
      </c>
      <c r="V174" s="38">
        <f>IF($B174="","",P174+S174)</f>
        <v/>
      </c>
      <c r="W174" s="38">
        <f>IF($B174="","",M174-J174)</f>
        <v/>
      </c>
      <c r="X174" s="39">
        <f>IF($B174="","",IFERROR(V174/W174,""))</f>
        <v/>
      </c>
      <c r="Y174" s="40">
        <f>IF($B174="","",V174-W174)</f>
        <v/>
      </c>
    </row>
    <row r="175">
      <c r="A175" s="37">
        <f>IF($B175="","",ROW()-3)</f>
        <v/>
      </c>
      <c r="B175" s="13">
        <f>IF(171+1&gt;COUNTA('维度字典'!$C$2:$C$200)*COUNTA('维度字典'!$A$2:$A$200)*COUNTA('维度字典'!$E$2:$E$200),"",INDEX('维度字典'!$C$2:$C$200,MOD(INT(171/(COUNTA('维度字典'!$E$2:$E$200)*COUNTA('维度字典'!$A$2:$A$200))),COUNTA('维度字典'!$C$2:$C$200))+1))</f>
        <v/>
      </c>
      <c r="C175" s="13">
        <f>IF($B175="","",INDEX('维度字典'!$A$2:$A$200,MOD(INT(171/COUNTA('维度字典'!$E$2:$E$200)),COUNTA('维度字典'!$A$2:$A$200))+1))</f>
        <v/>
      </c>
      <c r="D175" s="13">
        <f>IF($B175="","",INDEX('维度字典'!$E$2:$E$200,MOD(171,COUNTA('维度字典'!$E$2:$E$200))+1))</f>
        <v/>
      </c>
      <c r="E175" s="38">
        <f>IF($B175="","",SUMPRODUCT(('系统实绩导入'!$B$4:$B$1500=$B175)*('系统实绩导入'!$C$4:$C$1500=$C175)*('系统实绩导入'!$D$4:$D$1500=$D175)*('系统实绩导入'!$F$4:$F$1500="实绩销售额")*('系统实绩导入'!$G$3:$R$3=$F$1)*'系统实绩导入'!$G$4:$R$1500))</f>
        <v/>
      </c>
      <c r="F175" s="38">
        <f>IF($B175="","",SUMPRODUCT(('系统实绩导入'!$B$4:$B$1500=$B175)*('系统实绩导入'!$C$4:$C$1500=$C175)*('系统实绩导入'!$D$4:$D$1500=$D175)*('系统实绩导入'!$F$4:$F$1500="实绩毛利")*('系统实绩导入'!$G$3:$R$3=$F$1)*'系统实绩导入'!$G$4:$R$1500))</f>
        <v/>
      </c>
      <c r="G175" s="39">
        <f>IF($B175="","",IFERROR(F175/E175,""))</f>
        <v/>
      </c>
      <c r="H175" s="38">
        <f>IF($B175="","",SUMPRODUCT(('目标填报'!$B$4:$B$1500=$B175)*('目标填报'!$C$4:$C$1500=$C175)*('目标填报'!$D$4:$D$1500=$D175)*('目标填报'!$F$4:$F$1500="销售目标额")*('目标填报'!$G$3:$R$3=$F$1)*'目标填报'!$G$4:$R$1500))</f>
        <v/>
      </c>
      <c r="I175" s="39">
        <f>IF($B175="","",IFERROR(E175/H175,""))</f>
        <v/>
      </c>
      <c r="J175" s="38">
        <f>IF($B175="","",SUMPRODUCT(('系统实绩导入'!$B$4:$B$1500=$B175)*('系统实绩导入'!$C$4:$C$1500=$C175)*('系统实绩导入'!$D$4:$D$1500=$D175)*('系统实绩导入'!$F$4:$F$1500="实绩销售额")*('系统实绩导入'!$G$3:$R$3&lt;=$F$1)*'系统实绩导入'!$G$4:$R$1500))</f>
        <v/>
      </c>
      <c r="K175" s="38">
        <f>IF($B175="","",SUMPRODUCT(('系统实绩导入'!$B$4:$B$1500=$B175)*('系统实绩导入'!$C$4:$C$1500=$C175)*('系统实绩导入'!$D$4:$D$1500=$D175)*('系统实绩导入'!$F$4:$F$1500="实绩毛利")*('系统实绩导入'!$G$3:$R$3&lt;=$F$1)*'系统实绩导入'!$G$4:$R$1500))</f>
        <v/>
      </c>
      <c r="L175" s="39">
        <f>IF($B175="","",IFERROR(K175/J175,""))</f>
        <v/>
      </c>
      <c r="M175" s="38">
        <f>IF($B175="","",SUMIFS('目标填报'!$S$4:$S$1500,'目标填报'!$B$4:$B$1500,$B175,'目标填报'!$C$4:$C$1500,$C175,'目标填报'!$D$4:$D$1500,$D175,'目标填报'!$F$4:$F$1500,"销售目标额"))</f>
        <v/>
      </c>
      <c r="N175" s="39">
        <f>IF($B175="","",IFERROR(J175/M175,""))</f>
        <v/>
      </c>
      <c r="O175" s="40">
        <f>IF($B175="","",J175-M175)</f>
        <v/>
      </c>
      <c r="P175" s="38">
        <f>IF($B175="","",SUMPRODUCT(('目标填报'!$B$4:$B$1500=$B175)*('目标填报'!$C$4:$C$1500=$C175)*('目标填报'!$D$4:$D$1500=$D175)*('目标填报'!$F$4:$F$1500="在手订单")*('目标填报'!$G$3:$R$3=$F$1)*'目标填报'!$G$4:$R$1500))</f>
        <v/>
      </c>
      <c r="Q175" s="38">
        <f>IF($B175="","",SUMPRODUCT(('目标填报'!$B$4:$B$1500=$B175)*('目标填报'!$C$4:$C$1500=$C175)*('目标填报'!$D$4:$D$1500=$D175)*('目标填报'!$F$4:$F$1500="在手订单目标")*('目标填报'!$G$3:$R$3=$F$1)*'目标填报'!$G$4:$R$1500))</f>
        <v/>
      </c>
      <c r="R175" s="39">
        <f>IF($B175="","",IFERROR(P175/Q175,""))</f>
        <v/>
      </c>
      <c r="S175" s="38">
        <f>IF($B175="","",SUMPRODUCT(('目标填报'!$B$4:$B$1500=$B175)*('目标填报'!$C$4:$C$1500=$C175)*('目标填报'!$D$4:$D$1500=$D175)*('目标填报'!$F$4:$F$1500="目标客户机会")*('目标填报'!$G$3:$R$3=$F$1)*'目标填报'!$G$4:$R$1500))</f>
        <v/>
      </c>
      <c r="T175" s="38">
        <f>IF($B175="","",SUMPRODUCT(('目标填报'!$B$4:$B$1500=$B175)*('目标填报'!$C$4:$C$1500=$C175)*('目标填报'!$D$4:$D$1500=$D175)*('目标填报'!$F$4:$F$1500="目标客户机会目标")*('目标填报'!$G$3:$R$3=$F$1)*'目标填报'!$G$4:$R$1500))</f>
        <v/>
      </c>
      <c r="U175" s="39">
        <f>IF($B175="","",IFERROR(S175/T175,""))</f>
        <v/>
      </c>
      <c r="V175" s="38">
        <f>IF($B175="","",P175+S175)</f>
        <v/>
      </c>
      <c r="W175" s="38">
        <f>IF($B175="","",M175-J175)</f>
        <v/>
      </c>
      <c r="X175" s="39">
        <f>IF($B175="","",IFERROR(V175/W175,""))</f>
        <v/>
      </c>
      <c r="Y175" s="40">
        <f>IF($B175="","",V175-W175)</f>
        <v/>
      </c>
    </row>
    <row r="176">
      <c r="A176" s="37">
        <f>IF($B176="","",ROW()-3)</f>
        <v/>
      </c>
      <c r="B176" s="13">
        <f>IF(172+1&gt;COUNTA('维度字典'!$C$2:$C$200)*COUNTA('维度字典'!$A$2:$A$200)*COUNTA('维度字典'!$E$2:$E$200),"",INDEX('维度字典'!$C$2:$C$200,MOD(INT(172/(COUNTA('维度字典'!$E$2:$E$200)*COUNTA('维度字典'!$A$2:$A$200))),COUNTA('维度字典'!$C$2:$C$200))+1))</f>
        <v/>
      </c>
      <c r="C176" s="13">
        <f>IF($B176="","",INDEX('维度字典'!$A$2:$A$200,MOD(INT(172/COUNTA('维度字典'!$E$2:$E$200)),COUNTA('维度字典'!$A$2:$A$200))+1))</f>
        <v/>
      </c>
      <c r="D176" s="13">
        <f>IF($B176="","",INDEX('维度字典'!$E$2:$E$200,MOD(172,COUNTA('维度字典'!$E$2:$E$200))+1))</f>
        <v/>
      </c>
      <c r="E176" s="38">
        <f>IF($B176="","",SUMPRODUCT(('系统实绩导入'!$B$4:$B$1500=$B176)*('系统实绩导入'!$C$4:$C$1500=$C176)*('系统实绩导入'!$D$4:$D$1500=$D176)*('系统实绩导入'!$F$4:$F$1500="实绩销售额")*('系统实绩导入'!$G$3:$R$3=$F$1)*'系统实绩导入'!$G$4:$R$1500))</f>
        <v/>
      </c>
      <c r="F176" s="38">
        <f>IF($B176="","",SUMPRODUCT(('系统实绩导入'!$B$4:$B$1500=$B176)*('系统实绩导入'!$C$4:$C$1500=$C176)*('系统实绩导入'!$D$4:$D$1500=$D176)*('系统实绩导入'!$F$4:$F$1500="实绩毛利")*('系统实绩导入'!$G$3:$R$3=$F$1)*'系统实绩导入'!$G$4:$R$1500))</f>
        <v/>
      </c>
      <c r="G176" s="39">
        <f>IF($B176="","",IFERROR(F176/E176,""))</f>
        <v/>
      </c>
      <c r="H176" s="38">
        <f>IF($B176="","",SUMPRODUCT(('目标填报'!$B$4:$B$1500=$B176)*('目标填报'!$C$4:$C$1500=$C176)*('目标填报'!$D$4:$D$1500=$D176)*('目标填报'!$F$4:$F$1500="销售目标额")*('目标填报'!$G$3:$R$3=$F$1)*'目标填报'!$G$4:$R$1500))</f>
        <v/>
      </c>
      <c r="I176" s="39">
        <f>IF($B176="","",IFERROR(E176/H176,""))</f>
        <v/>
      </c>
      <c r="J176" s="38">
        <f>IF($B176="","",SUMPRODUCT(('系统实绩导入'!$B$4:$B$1500=$B176)*('系统实绩导入'!$C$4:$C$1500=$C176)*('系统实绩导入'!$D$4:$D$1500=$D176)*('系统实绩导入'!$F$4:$F$1500="实绩销售额")*('系统实绩导入'!$G$3:$R$3&lt;=$F$1)*'系统实绩导入'!$G$4:$R$1500))</f>
        <v/>
      </c>
      <c r="K176" s="38">
        <f>IF($B176="","",SUMPRODUCT(('系统实绩导入'!$B$4:$B$1500=$B176)*('系统实绩导入'!$C$4:$C$1500=$C176)*('系统实绩导入'!$D$4:$D$1500=$D176)*('系统实绩导入'!$F$4:$F$1500="实绩毛利")*('系统实绩导入'!$G$3:$R$3&lt;=$F$1)*'系统实绩导入'!$G$4:$R$1500))</f>
        <v/>
      </c>
      <c r="L176" s="39">
        <f>IF($B176="","",IFERROR(K176/J176,""))</f>
        <v/>
      </c>
      <c r="M176" s="38">
        <f>IF($B176="","",SUMIFS('目标填报'!$S$4:$S$1500,'目标填报'!$B$4:$B$1500,$B176,'目标填报'!$C$4:$C$1500,$C176,'目标填报'!$D$4:$D$1500,$D176,'目标填报'!$F$4:$F$1500,"销售目标额"))</f>
        <v/>
      </c>
      <c r="N176" s="39">
        <f>IF($B176="","",IFERROR(J176/M176,""))</f>
        <v/>
      </c>
      <c r="O176" s="40">
        <f>IF($B176="","",J176-M176)</f>
        <v/>
      </c>
      <c r="P176" s="38">
        <f>IF($B176="","",SUMPRODUCT(('目标填报'!$B$4:$B$1500=$B176)*('目标填报'!$C$4:$C$1500=$C176)*('目标填报'!$D$4:$D$1500=$D176)*('目标填报'!$F$4:$F$1500="在手订单")*('目标填报'!$G$3:$R$3=$F$1)*'目标填报'!$G$4:$R$1500))</f>
        <v/>
      </c>
      <c r="Q176" s="38">
        <f>IF($B176="","",SUMPRODUCT(('目标填报'!$B$4:$B$1500=$B176)*('目标填报'!$C$4:$C$1500=$C176)*('目标填报'!$D$4:$D$1500=$D176)*('目标填报'!$F$4:$F$1500="在手订单目标")*('目标填报'!$G$3:$R$3=$F$1)*'目标填报'!$G$4:$R$1500))</f>
        <v/>
      </c>
      <c r="R176" s="39">
        <f>IF($B176="","",IFERROR(P176/Q176,""))</f>
        <v/>
      </c>
      <c r="S176" s="38">
        <f>IF($B176="","",SUMPRODUCT(('目标填报'!$B$4:$B$1500=$B176)*('目标填报'!$C$4:$C$1500=$C176)*('目标填报'!$D$4:$D$1500=$D176)*('目标填报'!$F$4:$F$1500="目标客户机会")*('目标填报'!$G$3:$R$3=$F$1)*'目标填报'!$G$4:$R$1500))</f>
        <v/>
      </c>
      <c r="T176" s="38">
        <f>IF($B176="","",SUMPRODUCT(('目标填报'!$B$4:$B$1500=$B176)*('目标填报'!$C$4:$C$1500=$C176)*('目标填报'!$D$4:$D$1500=$D176)*('目标填报'!$F$4:$F$1500="目标客户机会目标")*('目标填报'!$G$3:$R$3=$F$1)*'目标填报'!$G$4:$R$1500))</f>
        <v/>
      </c>
      <c r="U176" s="39">
        <f>IF($B176="","",IFERROR(S176/T176,""))</f>
        <v/>
      </c>
      <c r="V176" s="38">
        <f>IF($B176="","",P176+S176)</f>
        <v/>
      </c>
      <c r="W176" s="38">
        <f>IF($B176="","",M176-J176)</f>
        <v/>
      </c>
      <c r="X176" s="39">
        <f>IF($B176="","",IFERROR(V176/W176,""))</f>
        <v/>
      </c>
      <c r="Y176" s="40">
        <f>IF($B176="","",V176-W176)</f>
        <v/>
      </c>
    </row>
    <row r="177">
      <c r="A177" s="37">
        <f>IF($B177="","",ROW()-3)</f>
        <v/>
      </c>
      <c r="B177" s="13">
        <f>IF(173+1&gt;COUNTA('维度字典'!$C$2:$C$200)*COUNTA('维度字典'!$A$2:$A$200)*COUNTA('维度字典'!$E$2:$E$200),"",INDEX('维度字典'!$C$2:$C$200,MOD(INT(173/(COUNTA('维度字典'!$E$2:$E$200)*COUNTA('维度字典'!$A$2:$A$200))),COUNTA('维度字典'!$C$2:$C$200))+1))</f>
        <v/>
      </c>
      <c r="C177" s="13">
        <f>IF($B177="","",INDEX('维度字典'!$A$2:$A$200,MOD(INT(173/COUNTA('维度字典'!$E$2:$E$200)),COUNTA('维度字典'!$A$2:$A$200))+1))</f>
        <v/>
      </c>
      <c r="D177" s="13">
        <f>IF($B177="","",INDEX('维度字典'!$E$2:$E$200,MOD(173,COUNTA('维度字典'!$E$2:$E$200))+1))</f>
        <v/>
      </c>
      <c r="E177" s="38">
        <f>IF($B177="","",SUMPRODUCT(('系统实绩导入'!$B$4:$B$1500=$B177)*('系统实绩导入'!$C$4:$C$1500=$C177)*('系统实绩导入'!$D$4:$D$1500=$D177)*('系统实绩导入'!$F$4:$F$1500="实绩销售额")*('系统实绩导入'!$G$3:$R$3=$F$1)*'系统实绩导入'!$G$4:$R$1500))</f>
        <v/>
      </c>
      <c r="F177" s="38">
        <f>IF($B177="","",SUMPRODUCT(('系统实绩导入'!$B$4:$B$1500=$B177)*('系统实绩导入'!$C$4:$C$1500=$C177)*('系统实绩导入'!$D$4:$D$1500=$D177)*('系统实绩导入'!$F$4:$F$1500="实绩毛利")*('系统实绩导入'!$G$3:$R$3=$F$1)*'系统实绩导入'!$G$4:$R$1500))</f>
        <v/>
      </c>
      <c r="G177" s="39">
        <f>IF($B177="","",IFERROR(F177/E177,""))</f>
        <v/>
      </c>
      <c r="H177" s="38">
        <f>IF($B177="","",SUMPRODUCT(('目标填报'!$B$4:$B$1500=$B177)*('目标填报'!$C$4:$C$1500=$C177)*('目标填报'!$D$4:$D$1500=$D177)*('目标填报'!$F$4:$F$1500="销售目标额")*('目标填报'!$G$3:$R$3=$F$1)*'目标填报'!$G$4:$R$1500))</f>
        <v/>
      </c>
      <c r="I177" s="39">
        <f>IF($B177="","",IFERROR(E177/H177,""))</f>
        <v/>
      </c>
      <c r="J177" s="38">
        <f>IF($B177="","",SUMPRODUCT(('系统实绩导入'!$B$4:$B$1500=$B177)*('系统实绩导入'!$C$4:$C$1500=$C177)*('系统实绩导入'!$D$4:$D$1500=$D177)*('系统实绩导入'!$F$4:$F$1500="实绩销售额")*('系统实绩导入'!$G$3:$R$3&lt;=$F$1)*'系统实绩导入'!$G$4:$R$1500))</f>
        <v/>
      </c>
      <c r="K177" s="38">
        <f>IF($B177="","",SUMPRODUCT(('系统实绩导入'!$B$4:$B$1500=$B177)*('系统实绩导入'!$C$4:$C$1500=$C177)*('系统实绩导入'!$D$4:$D$1500=$D177)*('系统实绩导入'!$F$4:$F$1500="实绩毛利")*('系统实绩导入'!$G$3:$R$3&lt;=$F$1)*'系统实绩导入'!$G$4:$R$1500))</f>
        <v/>
      </c>
      <c r="L177" s="39">
        <f>IF($B177="","",IFERROR(K177/J177,""))</f>
        <v/>
      </c>
      <c r="M177" s="38">
        <f>IF($B177="","",SUMIFS('目标填报'!$S$4:$S$1500,'目标填报'!$B$4:$B$1500,$B177,'目标填报'!$C$4:$C$1500,$C177,'目标填报'!$D$4:$D$1500,$D177,'目标填报'!$F$4:$F$1500,"销售目标额"))</f>
        <v/>
      </c>
      <c r="N177" s="39">
        <f>IF($B177="","",IFERROR(J177/M177,""))</f>
        <v/>
      </c>
      <c r="O177" s="40">
        <f>IF($B177="","",J177-M177)</f>
        <v/>
      </c>
      <c r="P177" s="38">
        <f>IF($B177="","",SUMPRODUCT(('目标填报'!$B$4:$B$1500=$B177)*('目标填报'!$C$4:$C$1500=$C177)*('目标填报'!$D$4:$D$1500=$D177)*('目标填报'!$F$4:$F$1500="在手订单")*('目标填报'!$G$3:$R$3=$F$1)*'目标填报'!$G$4:$R$1500))</f>
        <v/>
      </c>
      <c r="Q177" s="38">
        <f>IF($B177="","",SUMPRODUCT(('目标填报'!$B$4:$B$1500=$B177)*('目标填报'!$C$4:$C$1500=$C177)*('目标填报'!$D$4:$D$1500=$D177)*('目标填报'!$F$4:$F$1500="在手订单目标")*('目标填报'!$G$3:$R$3=$F$1)*'目标填报'!$G$4:$R$1500))</f>
        <v/>
      </c>
      <c r="R177" s="39">
        <f>IF($B177="","",IFERROR(P177/Q177,""))</f>
        <v/>
      </c>
      <c r="S177" s="38">
        <f>IF($B177="","",SUMPRODUCT(('目标填报'!$B$4:$B$1500=$B177)*('目标填报'!$C$4:$C$1500=$C177)*('目标填报'!$D$4:$D$1500=$D177)*('目标填报'!$F$4:$F$1500="目标客户机会")*('目标填报'!$G$3:$R$3=$F$1)*'目标填报'!$G$4:$R$1500))</f>
        <v/>
      </c>
      <c r="T177" s="38">
        <f>IF($B177="","",SUMPRODUCT(('目标填报'!$B$4:$B$1500=$B177)*('目标填报'!$C$4:$C$1500=$C177)*('目标填报'!$D$4:$D$1500=$D177)*('目标填报'!$F$4:$F$1500="目标客户机会目标")*('目标填报'!$G$3:$R$3=$F$1)*'目标填报'!$G$4:$R$1500))</f>
        <v/>
      </c>
      <c r="U177" s="39">
        <f>IF($B177="","",IFERROR(S177/T177,""))</f>
        <v/>
      </c>
      <c r="V177" s="38">
        <f>IF($B177="","",P177+S177)</f>
        <v/>
      </c>
      <c r="W177" s="38">
        <f>IF($B177="","",M177-J177)</f>
        <v/>
      </c>
      <c r="X177" s="39">
        <f>IF($B177="","",IFERROR(V177/W177,""))</f>
        <v/>
      </c>
      <c r="Y177" s="40">
        <f>IF($B177="","",V177-W177)</f>
        <v/>
      </c>
    </row>
    <row r="178">
      <c r="A178" s="37">
        <f>IF($B178="","",ROW()-3)</f>
        <v/>
      </c>
      <c r="B178" s="13">
        <f>IF(174+1&gt;COUNTA('维度字典'!$C$2:$C$200)*COUNTA('维度字典'!$A$2:$A$200)*COUNTA('维度字典'!$E$2:$E$200),"",INDEX('维度字典'!$C$2:$C$200,MOD(INT(174/(COUNTA('维度字典'!$E$2:$E$200)*COUNTA('维度字典'!$A$2:$A$200))),COUNTA('维度字典'!$C$2:$C$200))+1))</f>
        <v/>
      </c>
      <c r="C178" s="13">
        <f>IF($B178="","",INDEX('维度字典'!$A$2:$A$200,MOD(INT(174/COUNTA('维度字典'!$E$2:$E$200)),COUNTA('维度字典'!$A$2:$A$200))+1))</f>
        <v/>
      </c>
      <c r="D178" s="13">
        <f>IF($B178="","",INDEX('维度字典'!$E$2:$E$200,MOD(174,COUNTA('维度字典'!$E$2:$E$200))+1))</f>
        <v/>
      </c>
      <c r="E178" s="38">
        <f>IF($B178="","",SUMPRODUCT(('系统实绩导入'!$B$4:$B$1500=$B178)*('系统实绩导入'!$C$4:$C$1500=$C178)*('系统实绩导入'!$D$4:$D$1500=$D178)*('系统实绩导入'!$F$4:$F$1500="实绩销售额")*('系统实绩导入'!$G$3:$R$3=$F$1)*'系统实绩导入'!$G$4:$R$1500))</f>
        <v/>
      </c>
      <c r="F178" s="38">
        <f>IF($B178="","",SUMPRODUCT(('系统实绩导入'!$B$4:$B$1500=$B178)*('系统实绩导入'!$C$4:$C$1500=$C178)*('系统实绩导入'!$D$4:$D$1500=$D178)*('系统实绩导入'!$F$4:$F$1500="实绩毛利")*('系统实绩导入'!$G$3:$R$3=$F$1)*'系统实绩导入'!$G$4:$R$1500))</f>
        <v/>
      </c>
      <c r="G178" s="39">
        <f>IF($B178="","",IFERROR(F178/E178,""))</f>
        <v/>
      </c>
      <c r="H178" s="38">
        <f>IF($B178="","",SUMPRODUCT(('目标填报'!$B$4:$B$1500=$B178)*('目标填报'!$C$4:$C$1500=$C178)*('目标填报'!$D$4:$D$1500=$D178)*('目标填报'!$F$4:$F$1500="销售目标额")*('目标填报'!$G$3:$R$3=$F$1)*'目标填报'!$G$4:$R$1500))</f>
        <v/>
      </c>
      <c r="I178" s="39">
        <f>IF($B178="","",IFERROR(E178/H178,""))</f>
        <v/>
      </c>
      <c r="J178" s="38">
        <f>IF($B178="","",SUMPRODUCT(('系统实绩导入'!$B$4:$B$1500=$B178)*('系统实绩导入'!$C$4:$C$1500=$C178)*('系统实绩导入'!$D$4:$D$1500=$D178)*('系统实绩导入'!$F$4:$F$1500="实绩销售额")*('系统实绩导入'!$G$3:$R$3&lt;=$F$1)*'系统实绩导入'!$G$4:$R$1500))</f>
        <v/>
      </c>
      <c r="K178" s="38">
        <f>IF($B178="","",SUMPRODUCT(('系统实绩导入'!$B$4:$B$1500=$B178)*('系统实绩导入'!$C$4:$C$1500=$C178)*('系统实绩导入'!$D$4:$D$1500=$D178)*('系统实绩导入'!$F$4:$F$1500="实绩毛利")*('系统实绩导入'!$G$3:$R$3&lt;=$F$1)*'系统实绩导入'!$G$4:$R$1500))</f>
        <v/>
      </c>
      <c r="L178" s="39">
        <f>IF($B178="","",IFERROR(K178/J178,""))</f>
        <v/>
      </c>
      <c r="M178" s="38">
        <f>IF($B178="","",SUMIFS('目标填报'!$S$4:$S$1500,'目标填报'!$B$4:$B$1500,$B178,'目标填报'!$C$4:$C$1500,$C178,'目标填报'!$D$4:$D$1500,$D178,'目标填报'!$F$4:$F$1500,"销售目标额"))</f>
        <v/>
      </c>
      <c r="N178" s="39">
        <f>IF($B178="","",IFERROR(J178/M178,""))</f>
        <v/>
      </c>
      <c r="O178" s="40">
        <f>IF($B178="","",J178-M178)</f>
        <v/>
      </c>
      <c r="P178" s="38">
        <f>IF($B178="","",SUMPRODUCT(('目标填报'!$B$4:$B$1500=$B178)*('目标填报'!$C$4:$C$1500=$C178)*('目标填报'!$D$4:$D$1500=$D178)*('目标填报'!$F$4:$F$1500="在手订单")*('目标填报'!$G$3:$R$3=$F$1)*'目标填报'!$G$4:$R$1500))</f>
        <v/>
      </c>
      <c r="Q178" s="38">
        <f>IF($B178="","",SUMPRODUCT(('目标填报'!$B$4:$B$1500=$B178)*('目标填报'!$C$4:$C$1500=$C178)*('目标填报'!$D$4:$D$1500=$D178)*('目标填报'!$F$4:$F$1500="在手订单目标")*('目标填报'!$G$3:$R$3=$F$1)*'目标填报'!$G$4:$R$1500))</f>
        <v/>
      </c>
      <c r="R178" s="39">
        <f>IF($B178="","",IFERROR(P178/Q178,""))</f>
        <v/>
      </c>
      <c r="S178" s="38">
        <f>IF($B178="","",SUMPRODUCT(('目标填报'!$B$4:$B$1500=$B178)*('目标填报'!$C$4:$C$1500=$C178)*('目标填报'!$D$4:$D$1500=$D178)*('目标填报'!$F$4:$F$1500="目标客户机会")*('目标填报'!$G$3:$R$3=$F$1)*'目标填报'!$G$4:$R$1500))</f>
        <v/>
      </c>
      <c r="T178" s="38">
        <f>IF($B178="","",SUMPRODUCT(('目标填报'!$B$4:$B$1500=$B178)*('目标填报'!$C$4:$C$1500=$C178)*('目标填报'!$D$4:$D$1500=$D178)*('目标填报'!$F$4:$F$1500="目标客户机会目标")*('目标填报'!$G$3:$R$3=$F$1)*'目标填报'!$G$4:$R$1500))</f>
        <v/>
      </c>
      <c r="U178" s="39">
        <f>IF($B178="","",IFERROR(S178/T178,""))</f>
        <v/>
      </c>
      <c r="V178" s="38">
        <f>IF($B178="","",P178+S178)</f>
        <v/>
      </c>
      <c r="W178" s="38">
        <f>IF($B178="","",M178-J178)</f>
        <v/>
      </c>
      <c r="X178" s="39">
        <f>IF($B178="","",IFERROR(V178/W178,""))</f>
        <v/>
      </c>
      <c r="Y178" s="40">
        <f>IF($B178="","",V178-W178)</f>
        <v/>
      </c>
    </row>
    <row r="179">
      <c r="A179" s="37">
        <f>IF($B179="","",ROW()-3)</f>
        <v/>
      </c>
      <c r="B179" s="13">
        <f>IF(175+1&gt;COUNTA('维度字典'!$C$2:$C$200)*COUNTA('维度字典'!$A$2:$A$200)*COUNTA('维度字典'!$E$2:$E$200),"",INDEX('维度字典'!$C$2:$C$200,MOD(INT(175/(COUNTA('维度字典'!$E$2:$E$200)*COUNTA('维度字典'!$A$2:$A$200))),COUNTA('维度字典'!$C$2:$C$200))+1))</f>
        <v/>
      </c>
      <c r="C179" s="13">
        <f>IF($B179="","",INDEX('维度字典'!$A$2:$A$200,MOD(INT(175/COUNTA('维度字典'!$E$2:$E$200)),COUNTA('维度字典'!$A$2:$A$200))+1))</f>
        <v/>
      </c>
      <c r="D179" s="13">
        <f>IF($B179="","",INDEX('维度字典'!$E$2:$E$200,MOD(175,COUNTA('维度字典'!$E$2:$E$200))+1))</f>
        <v/>
      </c>
      <c r="E179" s="38">
        <f>IF($B179="","",SUMPRODUCT(('系统实绩导入'!$B$4:$B$1500=$B179)*('系统实绩导入'!$C$4:$C$1500=$C179)*('系统实绩导入'!$D$4:$D$1500=$D179)*('系统实绩导入'!$F$4:$F$1500="实绩销售额")*('系统实绩导入'!$G$3:$R$3=$F$1)*'系统实绩导入'!$G$4:$R$1500))</f>
        <v/>
      </c>
      <c r="F179" s="38">
        <f>IF($B179="","",SUMPRODUCT(('系统实绩导入'!$B$4:$B$1500=$B179)*('系统实绩导入'!$C$4:$C$1500=$C179)*('系统实绩导入'!$D$4:$D$1500=$D179)*('系统实绩导入'!$F$4:$F$1500="实绩毛利")*('系统实绩导入'!$G$3:$R$3=$F$1)*'系统实绩导入'!$G$4:$R$1500))</f>
        <v/>
      </c>
      <c r="G179" s="39">
        <f>IF($B179="","",IFERROR(F179/E179,""))</f>
        <v/>
      </c>
      <c r="H179" s="38">
        <f>IF($B179="","",SUMPRODUCT(('目标填报'!$B$4:$B$1500=$B179)*('目标填报'!$C$4:$C$1500=$C179)*('目标填报'!$D$4:$D$1500=$D179)*('目标填报'!$F$4:$F$1500="销售目标额")*('目标填报'!$G$3:$R$3=$F$1)*'目标填报'!$G$4:$R$1500))</f>
        <v/>
      </c>
      <c r="I179" s="39">
        <f>IF($B179="","",IFERROR(E179/H179,""))</f>
        <v/>
      </c>
      <c r="J179" s="38">
        <f>IF($B179="","",SUMPRODUCT(('系统实绩导入'!$B$4:$B$1500=$B179)*('系统实绩导入'!$C$4:$C$1500=$C179)*('系统实绩导入'!$D$4:$D$1500=$D179)*('系统实绩导入'!$F$4:$F$1500="实绩销售额")*('系统实绩导入'!$G$3:$R$3&lt;=$F$1)*'系统实绩导入'!$G$4:$R$1500))</f>
        <v/>
      </c>
      <c r="K179" s="38">
        <f>IF($B179="","",SUMPRODUCT(('系统实绩导入'!$B$4:$B$1500=$B179)*('系统实绩导入'!$C$4:$C$1500=$C179)*('系统实绩导入'!$D$4:$D$1500=$D179)*('系统实绩导入'!$F$4:$F$1500="实绩毛利")*('系统实绩导入'!$G$3:$R$3&lt;=$F$1)*'系统实绩导入'!$G$4:$R$1500))</f>
        <v/>
      </c>
      <c r="L179" s="39">
        <f>IF($B179="","",IFERROR(K179/J179,""))</f>
        <v/>
      </c>
      <c r="M179" s="38">
        <f>IF($B179="","",SUMIFS('目标填报'!$S$4:$S$1500,'目标填报'!$B$4:$B$1500,$B179,'目标填报'!$C$4:$C$1500,$C179,'目标填报'!$D$4:$D$1500,$D179,'目标填报'!$F$4:$F$1500,"销售目标额"))</f>
        <v/>
      </c>
      <c r="N179" s="39">
        <f>IF($B179="","",IFERROR(J179/M179,""))</f>
        <v/>
      </c>
      <c r="O179" s="40">
        <f>IF($B179="","",J179-M179)</f>
        <v/>
      </c>
      <c r="P179" s="38">
        <f>IF($B179="","",SUMPRODUCT(('目标填报'!$B$4:$B$1500=$B179)*('目标填报'!$C$4:$C$1500=$C179)*('目标填报'!$D$4:$D$1500=$D179)*('目标填报'!$F$4:$F$1500="在手订单")*('目标填报'!$G$3:$R$3=$F$1)*'目标填报'!$G$4:$R$1500))</f>
        <v/>
      </c>
      <c r="Q179" s="38">
        <f>IF($B179="","",SUMPRODUCT(('目标填报'!$B$4:$B$1500=$B179)*('目标填报'!$C$4:$C$1500=$C179)*('目标填报'!$D$4:$D$1500=$D179)*('目标填报'!$F$4:$F$1500="在手订单目标")*('目标填报'!$G$3:$R$3=$F$1)*'目标填报'!$G$4:$R$1500))</f>
        <v/>
      </c>
      <c r="R179" s="39">
        <f>IF($B179="","",IFERROR(P179/Q179,""))</f>
        <v/>
      </c>
      <c r="S179" s="38">
        <f>IF($B179="","",SUMPRODUCT(('目标填报'!$B$4:$B$1500=$B179)*('目标填报'!$C$4:$C$1500=$C179)*('目标填报'!$D$4:$D$1500=$D179)*('目标填报'!$F$4:$F$1500="目标客户机会")*('目标填报'!$G$3:$R$3=$F$1)*'目标填报'!$G$4:$R$1500))</f>
        <v/>
      </c>
      <c r="T179" s="38">
        <f>IF($B179="","",SUMPRODUCT(('目标填报'!$B$4:$B$1500=$B179)*('目标填报'!$C$4:$C$1500=$C179)*('目标填报'!$D$4:$D$1500=$D179)*('目标填报'!$F$4:$F$1500="目标客户机会目标")*('目标填报'!$G$3:$R$3=$F$1)*'目标填报'!$G$4:$R$1500))</f>
        <v/>
      </c>
      <c r="U179" s="39">
        <f>IF($B179="","",IFERROR(S179/T179,""))</f>
        <v/>
      </c>
      <c r="V179" s="38">
        <f>IF($B179="","",P179+S179)</f>
        <v/>
      </c>
      <c r="W179" s="38">
        <f>IF($B179="","",M179-J179)</f>
        <v/>
      </c>
      <c r="X179" s="39">
        <f>IF($B179="","",IFERROR(V179/W179,""))</f>
        <v/>
      </c>
      <c r="Y179" s="40">
        <f>IF($B179="","",V179-W179)</f>
        <v/>
      </c>
    </row>
    <row r="180">
      <c r="A180" s="37">
        <f>IF($B180="","",ROW()-3)</f>
        <v/>
      </c>
      <c r="B180" s="13">
        <f>IF(176+1&gt;COUNTA('维度字典'!$C$2:$C$200)*COUNTA('维度字典'!$A$2:$A$200)*COUNTA('维度字典'!$E$2:$E$200),"",INDEX('维度字典'!$C$2:$C$200,MOD(INT(176/(COUNTA('维度字典'!$E$2:$E$200)*COUNTA('维度字典'!$A$2:$A$200))),COUNTA('维度字典'!$C$2:$C$200))+1))</f>
        <v/>
      </c>
      <c r="C180" s="13">
        <f>IF($B180="","",INDEX('维度字典'!$A$2:$A$200,MOD(INT(176/COUNTA('维度字典'!$E$2:$E$200)),COUNTA('维度字典'!$A$2:$A$200))+1))</f>
        <v/>
      </c>
      <c r="D180" s="13">
        <f>IF($B180="","",INDEX('维度字典'!$E$2:$E$200,MOD(176,COUNTA('维度字典'!$E$2:$E$200))+1))</f>
        <v/>
      </c>
      <c r="E180" s="38">
        <f>IF($B180="","",SUMPRODUCT(('系统实绩导入'!$B$4:$B$1500=$B180)*('系统实绩导入'!$C$4:$C$1500=$C180)*('系统实绩导入'!$D$4:$D$1500=$D180)*('系统实绩导入'!$F$4:$F$1500="实绩销售额")*('系统实绩导入'!$G$3:$R$3=$F$1)*'系统实绩导入'!$G$4:$R$1500))</f>
        <v/>
      </c>
      <c r="F180" s="38">
        <f>IF($B180="","",SUMPRODUCT(('系统实绩导入'!$B$4:$B$1500=$B180)*('系统实绩导入'!$C$4:$C$1500=$C180)*('系统实绩导入'!$D$4:$D$1500=$D180)*('系统实绩导入'!$F$4:$F$1500="实绩毛利")*('系统实绩导入'!$G$3:$R$3=$F$1)*'系统实绩导入'!$G$4:$R$1500))</f>
        <v/>
      </c>
      <c r="G180" s="39">
        <f>IF($B180="","",IFERROR(F180/E180,""))</f>
        <v/>
      </c>
      <c r="H180" s="38">
        <f>IF($B180="","",SUMPRODUCT(('目标填报'!$B$4:$B$1500=$B180)*('目标填报'!$C$4:$C$1500=$C180)*('目标填报'!$D$4:$D$1500=$D180)*('目标填报'!$F$4:$F$1500="销售目标额")*('目标填报'!$G$3:$R$3=$F$1)*'目标填报'!$G$4:$R$1500))</f>
        <v/>
      </c>
      <c r="I180" s="39">
        <f>IF($B180="","",IFERROR(E180/H180,""))</f>
        <v/>
      </c>
      <c r="J180" s="38">
        <f>IF($B180="","",SUMPRODUCT(('系统实绩导入'!$B$4:$B$1500=$B180)*('系统实绩导入'!$C$4:$C$1500=$C180)*('系统实绩导入'!$D$4:$D$1500=$D180)*('系统实绩导入'!$F$4:$F$1500="实绩销售额")*('系统实绩导入'!$G$3:$R$3&lt;=$F$1)*'系统实绩导入'!$G$4:$R$1500))</f>
        <v/>
      </c>
      <c r="K180" s="38">
        <f>IF($B180="","",SUMPRODUCT(('系统实绩导入'!$B$4:$B$1500=$B180)*('系统实绩导入'!$C$4:$C$1500=$C180)*('系统实绩导入'!$D$4:$D$1500=$D180)*('系统实绩导入'!$F$4:$F$1500="实绩毛利")*('系统实绩导入'!$G$3:$R$3&lt;=$F$1)*'系统实绩导入'!$G$4:$R$1500))</f>
        <v/>
      </c>
      <c r="L180" s="39">
        <f>IF($B180="","",IFERROR(K180/J180,""))</f>
        <v/>
      </c>
      <c r="M180" s="38">
        <f>IF($B180="","",SUMIFS('目标填报'!$S$4:$S$1500,'目标填报'!$B$4:$B$1500,$B180,'目标填报'!$C$4:$C$1500,$C180,'目标填报'!$D$4:$D$1500,$D180,'目标填报'!$F$4:$F$1500,"销售目标额"))</f>
        <v/>
      </c>
      <c r="N180" s="39">
        <f>IF($B180="","",IFERROR(J180/M180,""))</f>
        <v/>
      </c>
      <c r="O180" s="40">
        <f>IF($B180="","",J180-M180)</f>
        <v/>
      </c>
      <c r="P180" s="38">
        <f>IF($B180="","",SUMPRODUCT(('目标填报'!$B$4:$B$1500=$B180)*('目标填报'!$C$4:$C$1500=$C180)*('目标填报'!$D$4:$D$1500=$D180)*('目标填报'!$F$4:$F$1500="在手订单")*('目标填报'!$G$3:$R$3=$F$1)*'目标填报'!$G$4:$R$1500))</f>
        <v/>
      </c>
      <c r="Q180" s="38">
        <f>IF($B180="","",SUMPRODUCT(('目标填报'!$B$4:$B$1500=$B180)*('目标填报'!$C$4:$C$1500=$C180)*('目标填报'!$D$4:$D$1500=$D180)*('目标填报'!$F$4:$F$1500="在手订单目标")*('目标填报'!$G$3:$R$3=$F$1)*'目标填报'!$G$4:$R$1500))</f>
        <v/>
      </c>
      <c r="R180" s="39">
        <f>IF($B180="","",IFERROR(P180/Q180,""))</f>
        <v/>
      </c>
      <c r="S180" s="38">
        <f>IF($B180="","",SUMPRODUCT(('目标填报'!$B$4:$B$1500=$B180)*('目标填报'!$C$4:$C$1500=$C180)*('目标填报'!$D$4:$D$1500=$D180)*('目标填报'!$F$4:$F$1500="目标客户机会")*('目标填报'!$G$3:$R$3=$F$1)*'目标填报'!$G$4:$R$1500))</f>
        <v/>
      </c>
      <c r="T180" s="38">
        <f>IF($B180="","",SUMPRODUCT(('目标填报'!$B$4:$B$1500=$B180)*('目标填报'!$C$4:$C$1500=$C180)*('目标填报'!$D$4:$D$1500=$D180)*('目标填报'!$F$4:$F$1500="目标客户机会目标")*('目标填报'!$G$3:$R$3=$F$1)*'目标填报'!$G$4:$R$1500))</f>
        <v/>
      </c>
      <c r="U180" s="39">
        <f>IF($B180="","",IFERROR(S180/T180,""))</f>
        <v/>
      </c>
      <c r="V180" s="38">
        <f>IF($B180="","",P180+S180)</f>
        <v/>
      </c>
      <c r="W180" s="38">
        <f>IF($B180="","",M180-J180)</f>
        <v/>
      </c>
      <c r="X180" s="39">
        <f>IF($B180="","",IFERROR(V180/W180,""))</f>
        <v/>
      </c>
      <c r="Y180" s="40">
        <f>IF($B180="","",V180-W180)</f>
        <v/>
      </c>
    </row>
    <row r="181">
      <c r="A181" s="37">
        <f>IF($B181="","",ROW()-3)</f>
        <v/>
      </c>
      <c r="B181" s="13">
        <f>IF(177+1&gt;COUNTA('维度字典'!$C$2:$C$200)*COUNTA('维度字典'!$A$2:$A$200)*COUNTA('维度字典'!$E$2:$E$200),"",INDEX('维度字典'!$C$2:$C$200,MOD(INT(177/(COUNTA('维度字典'!$E$2:$E$200)*COUNTA('维度字典'!$A$2:$A$200))),COUNTA('维度字典'!$C$2:$C$200))+1))</f>
        <v/>
      </c>
      <c r="C181" s="13">
        <f>IF($B181="","",INDEX('维度字典'!$A$2:$A$200,MOD(INT(177/COUNTA('维度字典'!$E$2:$E$200)),COUNTA('维度字典'!$A$2:$A$200))+1))</f>
        <v/>
      </c>
      <c r="D181" s="13">
        <f>IF($B181="","",INDEX('维度字典'!$E$2:$E$200,MOD(177,COUNTA('维度字典'!$E$2:$E$200))+1))</f>
        <v/>
      </c>
      <c r="E181" s="38">
        <f>IF($B181="","",SUMPRODUCT(('系统实绩导入'!$B$4:$B$1500=$B181)*('系统实绩导入'!$C$4:$C$1500=$C181)*('系统实绩导入'!$D$4:$D$1500=$D181)*('系统实绩导入'!$F$4:$F$1500="实绩销售额")*('系统实绩导入'!$G$3:$R$3=$F$1)*'系统实绩导入'!$G$4:$R$1500))</f>
        <v/>
      </c>
      <c r="F181" s="38">
        <f>IF($B181="","",SUMPRODUCT(('系统实绩导入'!$B$4:$B$1500=$B181)*('系统实绩导入'!$C$4:$C$1500=$C181)*('系统实绩导入'!$D$4:$D$1500=$D181)*('系统实绩导入'!$F$4:$F$1500="实绩毛利")*('系统实绩导入'!$G$3:$R$3=$F$1)*'系统实绩导入'!$G$4:$R$1500))</f>
        <v/>
      </c>
      <c r="G181" s="39">
        <f>IF($B181="","",IFERROR(F181/E181,""))</f>
        <v/>
      </c>
      <c r="H181" s="38">
        <f>IF($B181="","",SUMPRODUCT(('目标填报'!$B$4:$B$1500=$B181)*('目标填报'!$C$4:$C$1500=$C181)*('目标填报'!$D$4:$D$1500=$D181)*('目标填报'!$F$4:$F$1500="销售目标额")*('目标填报'!$G$3:$R$3=$F$1)*'目标填报'!$G$4:$R$1500))</f>
        <v/>
      </c>
      <c r="I181" s="39">
        <f>IF($B181="","",IFERROR(E181/H181,""))</f>
        <v/>
      </c>
      <c r="J181" s="38">
        <f>IF($B181="","",SUMPRODUCT(('系统实绩导入'!$B$4:$B$1500=$B181)*('系统实绩导入'!$C$4:$C$1500=$C181)*('系统实绩导入'!$D$4:$D$1500=$D181)*('系统实绩导入'!$F$4:$F$1500="实绩销售额")*('系统实绩导入'!$G$3:$R$3&lt;=$F$1)*'系统实绩导入'!$G$4:$R$1500))</f>
        <v/>
      </c>
      <c r="K181" s="38">
        <f>IF($B181="","",SUMPRODUCT(('系统实绩导入'!$B$4:$B$1500=$B181)*('系统实绩导入'!$C$4:$C$1500=$C181)*('系统实绩导入'!$D$4:$D$1500=$D181)*('系统实绩导入'!$F$4:$F$1500="实绩毛利")*('系统实绩导入'!$G$3:$R$3&lt;=$F$1)*'系统实绩导入'!$G$4:$R$1500))</f>
        <v/>
      </c>
      <c r="L181" s="39">
        <f>IF($B181="","",IFERROR(K181/J181,""))</f>
        <v/>
      </c>
      <c r="M181" s="38">
        <f>IF($B181="","",SUMIFS('目标填报'!$S$4:$S$1500,'目标填报'!$B$4:$B$1500,$B181,'目标填报'!$C$4:$C$1500,$C181,'目标填报'!$D$4:$D$1500,$D181,'目标填报'!$F$4:$F$1500,"销售目标额"))</f>
        <v/>
      </c>
      <c r="N181" s="39">
        <f>IF($B181="","",IFERROR(J181/M181,""))</f>
        <v/>
      </c>
      <c r="O181" s="40">
        <f>IF($B181="","",J181-M181)</f>
        <v/>
      </c>
      <c r="P181" s="38">
        <f>IF($B181="","",SUMPRODUCT(('目标填报'!$B$4:$B$1500=$B181)*('目标填报'!$C$4:$C$1500=$C181)*('目标填报'!$D$4:$D$1500=$D181)*('目标填报'!$F$4:$F$1500="在手订单")*('目标填报'!$G$3:$R$3=$F$1)*'目标填报'!$G$4:$R$1500))</f>
        <v/>
      </c>
      <c r="Q181" s="38">
        <f>IF($B181="","",SUMPRODUCT(('目标填报'!$B$4:$B$1500=$B181)*('目标填报'!$C$4:$C$1500=$C181)*('目标填报'!$D$4:$D$1500=$D181)*('目标填报'!$F$4:$F$1500="在手订单目标")*('目标填报'!$G$3:$R$3=$F$1)*'目标填报'!$G$4:$R$1500))</f>
        <v/>
      </c>
      <c r="R181" s="39">
        <f>IF($B181="","",IFERROR(P181/Q181,""))</f>
        <v/>
      </c>
      <c r="S181" s="38">
        <f>IF($B181="","",SUMPRODUCT(('目标填报'!$B$4:$B$1500=$B181)*('目标填报'!$C$4:$C$1500=$C181)*('目标填报'!$D$4:$D$1500=$D181)*('目标填报'!$F$4:$F$1500="目标客户机会")*('目标填报'!$G$3:$R$3=$F$1)*'目标填报'!$G$4:$R$1500))</f>
        <v/>
      </c>
      <c r="T181" s="38">
        <f>IF($B181="","",SUMPRODUCT(('目标填报'!$B$4:$B$1500=$B181)*('目标填报'!$C$4:$C$1500=$C181)*('目标填报'!$D$4:$D$1500=$D181)*('目标填报'!$F$4:$F$1500="目标客户机会目标")*('目标填报'!$G$3:$R$3=$F$1)*'目标填报'!$G$4:$R$1500))</f>
        <v/>
      </c>
      <c r="U181" s="39">
        <f>IF($B181="","",IFERROR(S181/T181,""))</f>
        <v/>
      </c>
      <c r="V181" s="38">
        <f>IF($B181="","",P181+S181)</f>
        <v/>
      </c>
      <c r="W181" s="38">
        <f>IF($B181="","",M181-J181)</f>
        <v/>
      </c>
      <c r="X181" s="39">
        <f>IF($B181="","",IFERROR(V181/W181,""))</f>
        <v/>
      </c>
      <c r="Y181" s="40">
        <f>IF($B181="","",V181-W181)</f>
        <v/>
      </c>
    </row>
    <row r="182">
      <c r="A182" s="37">
        <f>IF($B182="","",ROW()-3)</f>
        <v/>
      </c>
      <c r="B182" s="13">
        <f>IF(178+1&gt;COUNTA('维度字典'!$C$2:$C$200)*COUNTA('维度字典'!$A$2:$A$200)*COUNTA('维度字典'!$E$2:$E$200),"",INDEX('维度字典'!$C$2:$C$200,MOD(INT(178/(COUNTA('维度字典'!$E$2:$E$200)*COUNTA('维度字典'!$A$2:$A$200))),COUNTA('维度字典'!$C$2:$C$200))+1))</f>
        <v/>
      </c>
      <c r="C182" s="13">
        <f>IF($B182="","",INDEX('维度字典'!$A$2:$A$200,MOD(INT(178/COUNTA('维度字典'!$E$2:$E$200)),COUNTA('维度字典'!$A$2:$A$200))+1))</f>
        <v/>
      </c>
      <c r="D182" s="13">
        <f>IF($B182="","",INDEX('维度字典'!$E$2:$E$200,MOD(178,COUNTA('维度字典'!$E$2:$E$200))+1))</f>
        <v/>
      </c>
      <c r="E182" s="38">
        <f>IF($B182="","",SUMPRODUCT(('系统实绩导入'!$B$4:$B$1500=$B182)*('系统实绩导入'!$C$4:$C$1500=$C182)*('系统实绩导入'!$D$4:$D$1500=$D182)*('系统实绩导入'!$F$4:$F$1500="实绩销售额")*('系统实绩导入'!$G$3:$R$3=$F$1)*'系统实绩导入'!$G$4:$R$1500))</f>
        <v/>
      </c>
      <c r="F182" s="38">
        <f>IF($B182="","",SUMPRODUCT(('系统实绩导入'!$B$4:$B$1500=$B182)*('系统实绩导入'!$C$4:$C$1500=$C182)*('系统实绩导入'!$D$4:$D$1500=$D182)*('系统实绩导入'!$F$4:$F$1500="实绩毛利")*('系统实绩导入'!$G$3:$R$3=$F$1)*'系统实绩导入'!$G$4:$R$1500))</f>
        <v/>
      </c>
      <c r="G182" s="39">
        <f>IF($B182="","",IFERROR(F182/E182,""))</f>
        <v/>
      </c>
      <c r="H182" s="38">
        <f>IF($B182="","",SUMPRODUCT(('目标填报'!$B$4:$B$1500=$B182)*('目标填报'!$C$4:$C$1500=$C182)*('目标填报'!$D$4:$D$1500=$D182)*('目标填报'!$F$4:$F$1500="销售目标额")*('目标填报'!$G$3:$R$3=$F$1)*'目标填报'!$G$4:$R$1500))</f>
        <v/>
      </c>
      <c r="I182" s="39">
        <f>IF($B182="","",IFERROR(E182/H182,""))</f>
        <v/>
      </c>
      <c r="J182" s="38">
        <f>IF($B182="","",SUMPRODUCT(('系统实绩导入'!$B$4:$B$1500=$B182)*('系统实绩导入'!$C$4:$C$1500=$C182)*('系统实绩导入'!$D$4:$D$1500=$D182)*('系统实绩导入'!$F$4:$F$1500="实绩销售额")*('系统实绩导入'!$G$3:$R$3&lt;=$F$1)*'系统实绩导入'!$G$4:$R$1500))</f>
        <v/>
      </c>
      <c r="K182" s="38">
        <f>IF($B182="","",SUMPRODUCT(('系统实绩导入'!$B$4:$B$1500=$B182)*('系统实绩导入'!$C$4:$C$1500=$C182)*('系统实绩导入'!$D$4:$D$1500=$D182)*('系统实绩导入'!$F$4:$F$1500="实绩毛利")*('系统实绩导入'!$G$3:$R$3&lt;=$F$1)*'系统实绩导入'!$G$4:$R$1500))</f>
        <v/>
      </c>
      <c r="L182" s="39">
        <f>IF($B182="","",IFERROR(K182/J182,""))</f>
        <v/>
      </c>
      <c r="M182" s="38">
        <f>IF($B182="","",SUMIFS('目标填报'!$S$4:$S$1500,'目标填报'!$B$4:$B$1500,$B182,'目标填报'!$C$4:$C$1500,$C182,'目标填报'!$D$4:$D$1500,$D182,'目标填报'!$F$4:$F$1500,"销售目标额"))</f>
        <v/>
      </c>
      <c r="N182" s="39">
        <f>IF($B182="","",IFERROR(J182/M182,""))</f>
        <v/>
      </c>
      <c r="O182" s="40">
        <f>IF($B182="","",J182-M182)</f>
        <v/>
      </c>
      <c r="P182" s="38">
        <f>IF($B182="","",SUMPRODUCT(('目标填报'!$B$4:$B$1500=$B182)*('目标填报'!$C$4:$C$1500=$C182)*('目标填报'!$D$4:$D$1500=$D182)*('目标填报'!$F$4:$F$1500="在手订单")*('目标填报'!$G$3:$R$3=$F$1)*'目标填报'!$G$4:$R$1500))</f>
        <v/>
      </c>
      <c r="Q182" s="38">
        <f>IF($B182="","",SUMPRODUCT(('目标填报'!$B$4:$B$1500=$B182)*('目标填报'!$C$4:$C$1500=$C182)*('目标填报'!$D$4:$D$1500=$D182)*('目标填报'!$F$4:$F$1500="在手订单目标")*('目标填报'!$G$3:$R$3=$F$1)*'目标填报'!$G$4:$R$1500))</f>
        <v/>
      </c>
      <c r="R182" s="39">
        <f>IF($B182="","",IFERROR(P182/Q182,""))</f>
        <v/>
      </c>
      <c r="S182" s="38">
        <f>IF($B182="","",SUMPRODUCT(('目标填报'!$B$4:$B$1500=$B182)*('目标填报'!$C$4:$C$1500=$C182)*('目标填报'!$D$4:$D$1500=$D182)*('目标填报'!$F$4:$F$1500="目标客户机会")*('目标填报'!$G$3:$R$3=$F$1)*'目标填报'!$G$4:$R$1500))</f>
        <v/>
      </c>
      <c r="T182" s="38">
        <f>IF($B182="","",SUMPRODUCT(('目标填报'!$B$4:$B$1500=$B182)*('目标填报'!$C$4:$C$1500=$C182)*('目标填报'!$D$4:$D$1500=$D182)*('目标填报'!$F$4:$F$1500="目标客户机会目标")*('目标填报'!$G$3:$R$3=$F$1)*'目标填报'!$G$4:$R$1500))</f>
        <v/>
      </c>
      <c r="U182" s="39">
        <f>IF($B182="","",IFERROR(S182/T182,""))</f>
        <v/>
      </c>
      <c r="V182" s="38">
        <f>IF($B182="","",P182+S182)</f>
        <v/>
      </c>
      <c r="W182" s="38">
        <f>IF($B182="","",M182-J182)</f>
        <v/>
      </c>
      <c r="X182" s="39">
        <f>IF($B182="","",IFERROR(V182/W182,""))</f>
        <v/>
      </c>
      <c r="Y182" s="40">
        <f>IF($B182="","",V182-W182)</f>
        <v/>
      </c>
    </row>
    <row r="183">
      <c r="A183" s="37">
        <f>IF($B183="","",ROW()-3)</f>
        <v/>
      </c>
      <c r="B183" s="13">
        <f>IF(179+1&gt;COUNTA('维度字典'!$C$2:$C$200)*COUNTA('维度字典'!$A$2:$A$200)*COUNTA('维度字典'!$E$2:$E$200),"",INDEX('维度字典'!$C$2:$C$200,MOD(INT(179/(COUNTA('维度字典'!$E$2:$E$200)*COUNTA('维度字典'!$A$2:$A$200))),COUNTA('维度字典'!$C$2:$C$200))+1))</f>
        <v/>
      </c>
      <c r="C183" s="13">
        <f>IF($B183="","",INDEX('维度字典'!$A$2:$A$200,MOD(INT(179/COUNTA('维度字典'!$E$2:$E$200)),COUNTA('维度字典'!$A$2:$A$200))+1))</f>
        <v/>
      </c>
      <c r="D183" s="13">
        <f>IF($B183="","",INDEX('维度字典'!$E$2:$E$200,MOD(179,COUNTA('维度字典'!$E$2:$E$200))+1))</f>
        <v/>
      </c>
      <c r="E183" s="38">
        <f>IF($B183="","",SUMPRODUCT(('系统实绩导入'!$B$4:$B$1500=$B183)*('系统实绩导入'!$C$4:$C$1500=$C183)*('系统实绩导入'!$D$4:$D$1500=$D183)*('系统实绩导入'!$F$4:$F$1500="实绩销售额")*('系统实绩导入'!$G$3:$R$3=$F$1)*'系统实绩导入'!$G$4:$R$1500))</f>
        <v/>
      </c>
      <c r="F183" s="38">
        <f>IF($B183="","",SUMPRODUCT(('系统实绩导入'!$B$4:$B$1500=$B183)*('系统实绩导入'!$C$4:$C$1500=$C183)*('系统实绩导入'!$D$4:$D$1500=$D183)*('系统实绩导入'!$F$4:$F$1500="实绩毛利")*('系统实绩导入'!$G$3:$R$3=$F$1)*'系统实绩导入'!$G$4:$R$1500))</f>
        <v/>
      </c>
      <c r="G183" s="39">
        <f>IF($B183="","",IFERROR(F183/E183,""))</f>
        <v/>
      </c>
      <c r="H183" s="38">
        <f>IF($B183="","",SUMPRODUCT(('目标填报'!$B$4:$B$1500=$B183)*('目标填报'!$C$4:$C$1500=$C183)*('目标填报'!$D$4:$D$1500=$D183)*('目标填报'!$F$4:$F$1500="销售目标额")*('目标填报'!$G$3:$R$3=$F$1)*'目标填报'!$G$4:$R$1500))</f>
        <v/>
      </c>
      <c r="I183" s="39">
        <f>IF($B183="","",IFERROR(E183/H183,""))</f>
        <v/>
      </c>
      <c r="J183" s="38">
        <f>IF($B183="","",SUMPRODUCT(('系统实绩导入'!$B$4:$B$1500=$B183)*('系统实绩导入'!$C$4:$C$1500=$C183)*('系统实绩导入'!$D$4:$D$1500=$D183)*('系统实绩导入'!$F$4:$F$1500="实绩销售额")*('系统实绩导入'!$G$3:$R$3&lt;=$F$1)*'系统实绩导入'!$G$4:$R$1500))</f>
        <v/>
      </c>
      <c r="K183" s="38">
        <f>IF($B183="","",SUMPRODUCT(('系统实绩导入'!$B$4:$B$1500=$B183)*('系统实绩导入'!$C$4:$C$1500=$C183)*('系统实绩导入'!$D$4:$D$1500=$D183)*('系统实绩导入'!$F$4:$F$1500="实绩毛利")*('系统实绩导入'!$G$3:$R$3&lt;=$F$1)*'系统实绩导入'!$G$4:$R$1500))</f>
        <v/>
      </c>
      <c r="L183" s="39">
        <f>IF($B183="","",IFERROR(K183/J183,""))</f>
        <v/>
      </c>
      <c r="M183" s="38">
        <f>IF($B183="","",SUMIFS('目标填报'!$S$4:$S$1500,'目标填报'!$B$4:$B$1500,$B183,'目标填报'!$C$4:$C$1500,$C183,'目标填报'!$D$4:$D$1500,$D183,'目标填报'!$F$4:$F$1500,"销售目标额"))</f>
        <v/>
      </c>
      <c r="N183" s="39">
        <f>IF($B183="","",IFERROR(J183/M183,""))</f>
        <v/>
      </c>
      <c r="O183" s="40">
        <f>IF($B183="","",J183-M183)</f>
        <v/>
      </c>
      <c r="P183" s="38">
        <f>IF($B183="","",SUMPRODUCT(('目标填报'!$B$4:$B$1500=$B183)*('目标填报'!$C$4:$C$1500=$C183)*('目标填报'!$D$4:$D$1500=$D183)*('目标填报'!$F$4:$F$1500="在手订单")*('目标填报'!$G$3:$R$3=$F$1)*'目标填报'!$G$4:$R$1500))</f>
        <v/>
      </c>
      <c r="Q183" s="38">
        <f>IF($B183="","",SUMPRODUCT(('目标填报'!$B$4:$B$1500=$B183)*('目标填报'!$C$4:$C$1500=$C183)*('目标填报'!$D$4:$D$1500=$D183)*('目标填报'!$F$4:$F$1500="在手订单目标")*('目标填报'!$G$3:$R$3=$F$1)*'目标填报'!$G$4:$R$1500))</f>
        <v/>
      </c>
      <c r="R183" s="39">
        <f>IF($B183="","",IFERROR(P183/Q183,""))</f>
        <v/>
      </c>
      <c r="S183" s="38">
        <f>IF($B183="","",SUMPRODUCT(('目标填报'!$B$4:$B$1500=$B183)*('目标填报'!$C$4:$C$1500=$C183)*('目标填报'!$D$4:$D$1500=$D183)*('目标填报'!$F$4:$F$1500="目标客户机会")*('目标填报'!$G$3:$R$3=$F$1)*'目标填报'!$G$4:$R$1500))</f>
        <v/>
      </c>
      <c r="T183" s="38">
        <f>IF($B183="","",SUMPRODUCT(('目标填报'!$B$4:$B$1500=$B183)*('目标填报'!$C$4:$C$1500=$C183)*('目标填报'!$D$4:$D$1500=$D183)*('目标填报'!$F$4:$F$1500="目标客户机会目标")*('目标填报'!$G$3:$R$3=$F$1)*'目标填报'!$G$4:$R$1500))</f>
        <v/>
      </c>
      <c r="U183" s="39">
        <f>IF($B183="","",IFERROR(S183/T183,""))</f>
        <v/>
      </c>
      <c r="V183" s="38">
        <f>IF($B183="","",P183+S183)</f>
        <v/>
      </c>
      <c r="W183" s="38">
        <f>IF($B183="","",M183-J183)</f>
        <v/>
      </c>
      <c r="X183" s="39">
        <f>IF($B183="","",IFERROR(V183/W183,""))</f>
        <v/>
      </c>
      <c r="Y183" s="40">
        <f>IF($B183="","",V183-W183)</f>
        <v/>
      </c>
    </row>
    <row r="184">
      <c r="A184" s="37">
        <f>IF($B184="","",ROW()-3)</f>
        <v/>
      </c>
      <c r="B184" s="13">
        <f>IF(180+1&gt;COUNTA('维度字典'!$C$2:$C$200)*COUNTA('维度字典'!$A$2:$A$200)*COUNTA('维度字典'!$E$2:$E$200),"",INDEX('维度字典'!$C$2:$C$200,MOD(INT(180/(COUNTA('维度字典'!$E$2:$E$200)*COUNTA('维度字典'!$A$2:$A$200))),COUNTA('维度字典'!$C$2:$C$200))+1))</f>
        <v/>
      </c>
      <c r="C184" s="13">
        <f>IF($B184="","",INDEX('维度字典'!$A$2:$A$200,MOD(INT(180/COUNTA('维度字典'!$E$2:$E$200)),COUNTA('维度字典'!$A$2:$A$200))+1))</f>
        <v/>
      </c>
      <c r="D184" s="13">
        <f>IF($B184="","",INDEX('维度字典'!$E$2:$E$200,MOD(180,COUNTA('维度字典'!$E$2:$E$200))+1))</f>
        <v/>
      </c>
      <c r="E184" s="38">
        <f>IF($B184="","",SUMPRODUCT(('系统实绩导入'!$B$4:$B$1500=$B184)*('系统实绩导入'!$C$4:$C$1500=$C184)*('系统实绩导入'!$D$4:$D$1500=$D184)*('系统实绩导入'!$F$4:$F$1500="实绩销售额")*('系统实绩导入'!$G$3:$R$3=$F$1)*'系统实绩导入'!$G$4:$R$1500))</f>
        <v/>
      </c>
      <c r="F184" s="38">
        <f>IF($B184="","",SUMPRODUCT(('系统实绩导入'!$B$4:$B$1500=$B184)*('系统实绩导入'!$C$4:$C$1500=$C184)*('系统实绩导入'!$D$4:$D$1500=$D184)*('系统实绩导入'!$F$4:$F$1500="实绩毛利")*('系统实绩导入'!$G$3:$R$3=$F$1)*'系统实绩导入'!$G$4:$R$1500))</f>
        <v/>
      </c>
      <c r="G184" s="39">
        <f>IF($B184="","",IFERROR(F184/E184,""))</f>
        <v/>
      </c>
      <c r="H184" s="38">
        <f>IF($B184="","",SUMPRODUCT(('目标填报'!$B$4:$B$1500=$B184)*('目标填报'!$C$4:$C$1500=$C184)*('目标填报'!$D$4:$D$1500=$D184)*('目标填报'!$F$4:$F$1500="销售目标额")*('目标填报'!$G$3:$R$3=$F$1)*'目标填报'!$G$4:$R$1500))</f>
        <v/>
      </c>
      <c r="I184" s="39">
        <f>IF($B184="","",IFERROR(E184/H184,""))</f>
        <v/>
      </c>
      <c r="J184" s="38">
        <f>IF($B184="","",SUMPRODUCT(('系统实绩导入'!$B$4:$B$1500=$B184)*('系统实绩导入'!$C$4:$C$1500=$C184)*('系统实绩导入'!$D$4:$D$1500=$D184)*('系统实绩导入'!$F$4:$F$1500="实绩销售额")*('系统实绩导入'!$G$3:$R$3&lt;=$F$1)*'系统实绩导入'!$G$4:$R$1500))</f>
        <v/>
      </c>
      <c r="K184" s="38">
        <f>IF($B184="","",SUMPRODUCT(('系统实绩导入'!$B$4:$B$1500=$B184)*('系统实绩导入'!$C$4:$C$1500=$C184)*('系统实绩导入'!$D$4:$D$1500=$D184)*('系统实绩导入'!$F$4:$F$1500="实绩毛利")*('系统实绩导入'!$G$3:$R$3&lt;=$F$1)*'系统实绩导入'!$G$4:$R$1500))</f>
        <v/>
      </c>
      <c r="L184" s="39">
        <f>IF($B184="","",IFERROR(K184/J184,""))</f>
        <v/>
      </c>
      <c r="M184" s="38">
        <f>IF($B184="","",SUMIFS('目标填报'!$S$4:$S$1500,'目标填报'!$B$4:$B$1500,$B184,'目标填报'!$C$4:$C$1500,$C184,'目标填报'!$D$4:$D$1500,$D184,'目标填报'!$F$4:$F$1500,"销售目标额"))</f>
        <v/>
      </c>
      <c r="N184" s="39">
        <f>IF($B184="","",IFERROR(J184/M184,""))</f>
        <v/>
      </c>
      <c r="O184" s="40">
        <f>IF($B184="","",J184-M184)</f>
        <v/>
      </c>
      <c r="P184" s="38">
        <f>IF($B184="","",SUMPRODUCT(('目标填报'!$B$4:$B$1500=$B184)*('目标填报'!$C$4:$C$1500=$C184)*('目标填报'!$D$4:$D$1500=$D184)*('目标填报'!$F$4:$F$1500="在手订单")*('目标填报'!$G$3:$R$3=$F$1)*'目标填报'!$G$4:$R$1500))</f>
        <v/>
      </c>
      <c r="Q184" s="38">
        <f>IF($B184="","",SUMPRODUCT(('目标填报'!$B$4:$B$1500=$B184)*('目标填报'!$C$4:$C$1500=$C184)*('目标填报'!$D$4:$D$1500=$D184)*('目标填报'!$F$4:$F$1500="在手订单目标")*('目标填报'!$G$3:$R$3=$F$1)*'目标填报'!$G$4:$R$1500))</f>
        <v/>
      </c>
      <c r="R184" s="39">
        <f>IF($B184="","",IFERROR(P184/Q184,""))</f>
        <v/>
      </c>
      <c r="S184" s="38">
        <f>IF($B184="","",SUMPRODUCT(('目标填报'!$B$4:$B$1500=$B184)*('目标填报'!$C$4:$C$1500=$C184)*('目标填报'!$D$4:$D$1500=$D184)*('目标填报'!$F$4:$F$1500="目标客户机会")*('目标填报'!$G$3:$R$3=$F$1)*'目标填报'!$G$4:$R$1500))</f>
        <v/>
      </c>
      <c r="T184" s="38">
        <f>IF($B184="","",SUMPRODUCT(('目标填报'!$B$4:$B$1500=$B184)*('目标填报'!$C$4:$C$1500=$C184)*('目标填报'!$D$4:$D$1500=$D184)*('目标填报'!$F$4:$F$1500="目标客户机会目标")*('目标填报'!$G$3:$R$3=$F$1)*'目标填报'!$G$4:$R$1500))</f>
        <v/>
      </c>
      <c r="U184" s="39">
        <f>IF($B184="","",IFERROR(S184/T184,""))</f>
        <v/>
      </c>
      <c r="V184" s="38">
        <f>IF($B184="","",P184+S184)</f>
        <v/>
      </c>
      <c r="W184" s="38">
        <f>IF($B184="","",M184-J184)</f>
        <v/>
      </c>
      <c r="X184" s="39">
        <f>IF($B184="","",IFERROR(V184/W184,""))</f>
        <v/>
      </c>
      <c r="Y184" s="40">
        <f>IF($B184="","",V184-W184)</f>
        <v/>
      </c>
    </row>
    <row r="185">
      <c r="A185" s="37">
        <f>IF($B185="","",ROW()-3)</f>
        <v/>
      </c>
      <c r="B185" s="13">
        <f>IF(181+1&gt;COUNTA('维度字典'!$C$2:$C$200)*COUNTA('维度字典'!$A$2:$A$200)*COUNTA('维度字典'!$E$2:$E$200),"",INDEX('维度字典'!$C$2:$C$200,MOD(INT(181/(COUNTA('维度字典'!$E$2:$E$200)*COUNTA('维度字典'!$A$2:$A$200))),COUNTA('维度字典'!$C$2:$C$200))+1))</f>
        <v/>
      </c>
      <c r="C185" s="13">
        <f>IF($B185="","",INDEX('维度字典'!$A$2:$A$200,MOD(INT(181/COUNTA('维度字典'!$E$2:$E$200)),COUNTA('维度字典'!$A$2:$A$200))+1))</f>
        <v/>
      </c>
      <c r="D185" s="13">
        <f>IF($B185="","",INDEX('维度字典'!$E$2:$E$200,MOD(181,COUNTA('维度字典'!$E$2:$E$200))+1))</f>
        <v/>
      </c>
      <c r="E185" s="38">
        <f>IF($B185="","",SUMPRODUCT(('系统实绩导入'!$B$4:$B$1500=$B185)*('系统实绩导入'!$C$4:$C$1500=$C185)*('系统实绩导入'!$D$4:$D$1500=$D185)*('系统实绩导入'!$F$4:$F$1500="实绩销售额")*('系统实绩导入'!$G$3:$R$3=$F$1)*'系统实绩导入'!$G$4:$R$1500))</f>
        <v/>
      </c>
      <c r="F185" s="38">
        <f>IF($B185="","",SUMPRODUCT(('系统实绩导入'!$B$4:$B$1500=$B185)*('系统实绩导入'!$C$4:$C$1500=$C185)*('系统实绩导入'!$D$4:$D$1500=$D185)*('系统实绩导入'!$F$4:$F$1500="实绩毛利")*('系统实绩导入'!$G$3:$R$3=$F$1)*'系统实绩导入'!$G$4:$R$1500))</f>
        <v/>
      </c>
      <c r="G185" s="39">
        <f>IF($B185="","",IFERROR(F185/E185,""))</f>
        <v/>
      </c>
      <c r="H185" s="38">
        <f>IF($B185="","",SUMPRODUCT(('目标填报'!$B$4:$B$1500=$B185)*('目标填报'!$C$4:$C$1500=$C185)*('目标填报'!$D$4:$D$1500=$D185)*('目标填报'!$F$4:$F$1500="销售目标额")*('目标填报'!$G$3:$R$3=$F$1)*'目标填报'!$G$4:$R$1500))</f>
        <v/>
      </c>
      <c r="I185" s="39">
        <f>IF($B185="","",IFERROR(E185/H185,""))</f>
        <v/>
      </c>
      <c r="J185" s="38">
        <f>IF($B185="","",SUMPRODUCT(('系统实绩导入'!$B$4:$B$1500=$B185)*('系统实绩导入'!$C$4:$C$1500=$C185)*('系统实绩导入'!$D$4:$D$1500=$D185)*('系统实绩导入'!$F$4:$F$1500="实绩销售额")*('系统实绩导入'!$G$3:$R$3&lt;=$F$1)*'系统实绩导入'!$G$4:$R$1500))</f>
        <v/>
      </c>
      <c r="K185" s="38">
        <f>IF($B185="","",SUMPRODUCT(('系统实绩导入'!$B$4:$B$1500=$B185)*('系统实绩导入'!$C$4:$C$1500=$C185)*('系统实绩导入'!$D$4:$D$1500=$D185)*('系统实绩导入'!$F$4:$F$1500="实绩毛利")*('系统实绩导入'!$G$3:$R$3&lt;=$F$1)*'系统实绩导入'!$G$4:$R$1500))</f>
        <v/>
      </c>
      <c r="L185" s="39">
        <f>IF($B185="","",IFERROR(K185/J185,""))</f>
        <v/>
      </c>
      <c r="M185" s="38">
        <f>IF($B185="","",SUMIFS('目标填报'!$S$4:$S$1500,'目标填报'!$B$4:$B$1500,$B185,'目标填报'!$C$4:$C$1500,$C185,'目标填报'!$D$4:$D$1500,$D185,'目标填报'!$F$4:$F$1500,"销售目标额"))</f>
        <v/>
      </c>
      <c r="N185" s="39">
        <f>IF($B185="","",IFERROR(J185/M185,""))</f>
        <v/>
      </c>
      <c r="O185" s="40">
        <f>IF($B185="","",J185-M185)</f>
        <v/>
      </c>
      <c r="P185" s="38">
        <f>IF($B185="","",SUMPRODUCT(('目标填报'!$B$4:$B$1500=$B185)*('目标填报'!$C$4:$C$1500=$C185)*('目标填报'!$D$4:$D$1500=$D185)*('目标填报'!$F$4:$F$1500="在手订单")*('目标填报'!$G$3:$R$3=$F$1)*'目标填报'!$G$4:$R$1500))</f>
        <v/>
      </c>
      <c r="Q185" s="38">
        <f>IF($B185="","",SUMPRODUCT(('目标填报'!$B$4:$B$1500=$B185)*('目标填报'!$C$4:$C$1500=$C185)*('目标填报'!$D$4:$D$1500=$D185)*('目标填报'!$F$4:$F$1500="在手订单目标")*('目标填报'!$G$3:$R$3=$F$1)*'目标填报'!$G$4:$R$1500))</f>
        <v/>
      </c>
      <c r="R185" s="39">
        <f>IF($B185="","",IFERROR(P185/Q185,""))</f>
        <v/>
      </c>
      <c r="S185" s="38">
        <f>IF($B185="","",SUMPRODUCT(('目标填报'!$B$4:$B$1500=$B185)*('目标填报'!$C$4:$C$1500=$C185)*('目标填报'!$D$4:$D$1500=$D185)*('目标填报'!$F$4:$F$1500="目标客户机会")*('目标填报'!$G$3:$R$3=$F$1)*'目标填报'!$G$4:$R$1500))</f>
        <v/>
      </c>
      <c r="T185" s="38">
        <f>IF($B185="","",SUMPRODUCT(('目标填报'!$B$4:$B$1500=$B185)*('目标填报'!$C$4:$C$1500=$C185)*('目标填报'!$D$4:$D$1500=$D185)*('目标填报'!$F$4:$F$1500="目标客户机会目标")*('目标填报'!$G$3:$R$3=$F$1)*'目标填报'!$G$4:$R$1500))</f>
        <v/>
      </c>
      <c r="U185" s="39">
        <f>IF($B185="","",IFERROR(S185/T185,""))</f>
        <v/>
      </c>
      <c r="V185" s="38">
        <f>IF($B185="","",P185+S185)</f>
        <v/>
      </c>
      <c r="W185" s="38">
        <f>IF($B185="","",M185-J185)</f>
        <v/>
      </c>
      <c r="X185" s="39">
        <f>IF($B185="","",IFERROR(V185/W185,""))</f>
        <v/>
      </c>
      <c r="Y185" s="40">
        <f>IF($B185="","",V185-W185)</f>
        <v/>
      </c>
    </row>
    <row r="186">
      <c r="A186" s="37">
        <f>IF($B186="","",ROW()-3)</f>
        <v/>
      </c>
      <c r="B186" s="13">
        <f>IF(182+1&gt;COUNTA('维度字典'!$C$2:$C$200)*COUNTA('维度字典'!$A$2:$A$200)*COUNTA('维度字典'!$E$2:$E$200),"",INDEX('维度字典'!$C$2:$C$200,MOD(INT(182/(COUNTA('维度字典'!$E$2:$E$200)*COUNTA('维度字典'!$A$2:$A$200))),COUNTA('维度字典'!$C$2:$C$200))+1))</f>
        <v/>
      </c>
      <c r="C186" s="13">
        <f>IF($B186="","",INDEX('维度字典'!$A$2:$A$200,MOD(INT(182/COUNTA('维度字典'!$E$2:$E$200)),COUNTA('维度字典'!$A$2:$A$200))+1))</f>
        <v/>
      </c>
      <c r="D186" s="13">
        <f>IF($B186="","",INDEX('维度字典'!$E$2:$E$200,MOD(182,COUNTA('维度字典'!$E$2:$E$200))+1))</f>
        <v/>
      </c>
      <c r="E186" s="38">
        <f>IF($B186="","",SUMPRODUCT(('系统实绩导入'!$B$4:$B$1500=$B186)*('系统实绩导入'!$C$4:$C$1500=$C186)*('系统实绩导入'!$D$4:$D$1500=$D186)*('系统实绩导入'!$F$4:$F$1500="实绩销售额")*('系统实绩导入'!$G$3:$R$3=$F$1)*'系统实绩导入'!$G$4:$R$1500))</f>
        <v/>
      </c>
      <c r="F186" s="38">
        <f>IF($B186="","",SUMPRODUCT(('系统实绩导入'!$B$4:$B$1500=$B186)*('系统实绩导入'!$C$4:$C$1500=$C186)*('系统实绩导入'!$D$4:$D$1500=$D186)*('系统实绩导入'!$F$4:$F$1500="实绩毛利")*('系统实绩导入'!$G$3:$R$3=$F$1)*'系统实绩导入'!$G$4:$R$1500))</f>
        <v/>
      </c>
      <c r="G186" s="39">
        <f>IF($B186="","",IFERROR(F186/E186,""))</f>
        <v/>
      </c>
      <c r="H186" s="38">
        <f>IF($B186="","",SUMPRODUCT(('目标填报'!$B$4:$B$1500=$B186)*('目标填报'!$C$4:$C$1500=$C186)*('目标填报'!$D$4:$D$1500=$D186)*('目标填报'!$F$4:$F$1500="销售目标额")*('目标填报'!$G$3:$R$3=$F$1)*'目标填报'!$G$4:$R$1500))</f>
        <v/>
      </c>
      <c r="I186" s="39">
        <f>IF($B186="","",IFERROR(E186/H186,""))</f>
        <v/>
      </c>
      <c r="J186" s="38">
        <f>IF($B186="","",SUMPRODUCT(('系统实绩导入'!$B$4:$B$1500=$B186)*('系统实绩导入'!$C$4:$C$1500=$C186)*('系统实绩导入'!$D$4:$D$1500=$D186)*('系统实绩导入'!$F$4:$F$1500="实绩销售额")*('系统实绩导入'!$G$3:$R$3&lt;=$F$1)*'系统实绩导入'!$G$4:$R$1500))</f>
        <v/>
      </c>
      <c r="K186" s="38">
        <f>IF($B186="","",SUMPRODUCT(('系统实绩导入'!$B$4:$B$1500=$B186)*('系统实绩导入'!$C$4:$C$1500=$C186)*('系统实绩导入'!$D$4:$D$1500=$D186)*('系统实绩导入'!$F$4:$F$1500="实绩毛利")*('系统实绩导入'!$G$3:$R$3&lt;=$F$1)*'系统实绩导入'!$G$4:$R$1500))</f>
        <v/>
      </c>
      <c r="L186" s="39">
        <f>IF($B186="","",IFERROR(K186/J186,""))</f>
        <v/>
      </c>
      <c r="M186" s="38">
        <f>IF($B186="","",SUMIFS('目标填报'!$S$4:$S$1500,'目标填报'!$B$4:$B$1500,$B186,'目标填报'!$C$4:$C$1500,$C186,'目标填报'!$D$4:$D$1500,$D186,'目标填报'!$F$4:$F$1500,"销售目标额"))</f>
        <v/>
      </c>
      <c r="N186" s="39">
        <f>IF($B186="","",IFERROR(J186/M186,""))</f>
        <v/>
      </c>
      <c r="O186" s="40">
        <f>IF($B186="","",J186-M186)</f>
        <v/>
      </c>
      <c r="P186" s="38">
        <f>IF($B186="","",SUMPRODUCT(('目标填报'!$B$4:$B$1500=$B186)*('目标填报'!$C$4:$C$1500=$C186)*('目标填报'!$D$4:$D$1500=$D186)*('目标填报'!$F$4:$F$1500="在手订单")*('目标填报'!$G$3:$R$3=$F$1)*'目标填报'!$G$4:$R$1500))</f>
        <v/>
      </c>
      <c r="Q186" s="38">
        <f>IF($B186="","",SUMPRODUCT(('目标填报'!$B$4:$B$1500=$B186)*('目标填报'!$C$4:$C$1500=$C186)*('目标填报'!$D$4:$D$1500=$D186)*('目标填报'!$F$4:$F$1500="在手订单目标")*('目标填报'!$G$3:$R$3=$F$1)*'目标填报'!$G$4:$R$1500))</f>
        <v/>
      </c>
      <c r="R186" s="39">
        <f>IF($B186="","",IFERROR(P186/Q186,""))</f>
        <v/>
      </c>
      <c r="S186" s="38">
        <f>IF($B186="","",SUMPRODUCT(('目标填报'!$B$4:$B$1500=$B186)*('目标填报'!$C$4:$C$1500=$C186)*('目标填报'!$D$4:$D$1500=$D186)*('目标填报'!$F$4:$F$1500="目标客户机会")*('目标填报'!$G$3:$R$3=$F$1)*'目标填报'!$G$4:$R$1500))</f>
        <v/>
      </c>
      <c r="T186" s="38">
        <f>IF($B186="","",SUMPRODUCT(('目标填报'!$B$4:$B$1500=$B186)*('目标填报'!$C$4:$C$1500=$C186)*('目标填报'!$D$4:$D$1500=$D186)*('目标填报'!$F$4:$F$1500="目标客户机会目标")*('目标填报'!$G$3:$R$3=$F$1)*'目标填报'!$G$4:$R$1500))</f>
        <v/>
      </c>
      <c r="U186" s="39">
        <f>IF($B186="","",IFERROR(S186/T186,""))</f>
        <v/>
      </c>
      <c r="V186" s="38">
        <f>IF($B186="","",P186+S186)</f>
        <v/>
      </c>
      <c r="W186" s="38">
        <f>IF($B186="","",M186-J186)</f>
        <v/>
      </c>
      <c r="X186" s="39">
        <f>IF($B186="","",IFERROR(V186/W186,""))</f>
        <v/>
      </c>
      <c r="Y186" s="40">
        <f>IF($B186="","",V186-W186)</f>
        <v/>
      </c>
    </row>
    <row r="187">
      <c r="A187" s="37">
        <f>IF($B187="","",ROW()-3)</f>
        <v/>
      </c>
      <c r="B187" s="13">
        <f>IF(183+1&gt;COUNTA('维度字典'!$C$2:$C$200)*COUNTA('维度字典'!$A$2:$A$200)*COUNTA('维度字典'!$E$2:$E$200),"",INDEX('维度字典'!$C$2:$C$200,MOD(INT(183/(COUNTA('维度字典'!$E$2:$E$200)*COUNTA('维度字典'!$A$2:$A$200))),COUNTA('维度字典'!$C$2:$C$200))+1))</f>
        <v/>
      </c>
      <c r="C187" s="13">
        <f>IF($B187="","",INDEX('维度字典'!$A$2:$A$200,MOD(INT(183/COUNTA('维度字典'!$E$2:$E$200)),COUNTA('维度字典'!$A$2:$A$200))+1))</f>
        <v/>
      </c>
      <c r="D187" s="13">
        <f>IF($B187="","",INDEX('维度字典'!$E$2:$E$200,MOD(183,COUNTA('维度字典'!$E$2:$E$200))+1))</f>
        <v/>
      </c>
      <c r="E187" s="38">
        <f>IF($B187="","",SUMPRODUCT(('系统实绩导入'!$B$4:$B$1500=$B187)*('系统实绩导入'!$C$4:$C$1500=$C187)*('系统实绩导入'!$D$4:$D$1500=$D187)*('系统实绩导入'!$F$4:$F$1500="实绩销售额")*('系统实绩导入'!$G$3:$R$3=$F$1)*'系统实绩导入'!$G$4:$R$1500))</f>
        <v/>
      </c>
      <c r="F187" s="38">
        <f>IF($B187="","",SUMPRODUCT(('系统实绩导入'!$B$4:$B$1500=$B187)*('系统实绩导入'!$C$4:$C$1500=$C187)*('系统实绩导入'!$D$4:$D$1500=$D187)*('系统实绩导入'!$F$4:$F$1500="实绩毛利")*('系统实绩导入'!$G$3:$R$3=$F$1)*'系统实绩导入'!$G$4:$R$1500))</f>
        <v/>
      </c>
      <c r="G187" s="39">
        <f>IF($B187="","",IFERROR(F187/E187,""))</f>
        <v/>
      </c>
      <c r="H187" s="38">
        <f>IF($B187="","",SUMPRODUCT(('目标填报'!$B$4:$B$1500=$B187)*('目标填报'!$C$4:$C$1500=$C187)*('目标填报'!$D$4:$D$1500=$D187)*('目标填报'!$F$4:$F$1500="销售目标额")*('目标填报'!$G$3:$R$3=$F$1)*'目标填报'!$G$4:$R$1500))</f>
        <v/>
      </c>
      <c r="I187" s="39">
        <f>IF($B187="","",IFERROR(E187/H187,""))</f>
        <v/>
      </c>
      <c r="J187" s="38">
        <f>IF($B187="","",SUMPRODUCT(('系统实绩导入'!$B$4:$B$1500=$B187)*('系统实绩导入'!$C$4:$C$1500=$C187)*('系统实绩导入'!$D$4:$D$1500=$D187)*('系统实绩导入'!$F$4:$F$1500="实绩销售额")*('系统实绩导入'!$G$3:$R$3&lt;=$F$1)*'系统实绩导入'!$G$4:$R$1500))</f>
        <v/>
      </c>
      <c r="K187" s="38">
        <f>IF($B187="","",SUMPRODUCT(('系统实绩导入'!$B$4:$B$1500=$B187)*('系统实绩导入'!$C$4:$C$1500=$C187)*('系统实绩导入'!$D$4:$D$1500=$D187)*('系统实绩导入'!$F$4:$F$1500="实绩毛利")*('系统实绩导入'!$G$3:$R$3&lt;=$F$1)*'系统实绩导入'!$G$4:$R$1500))</f>
        <v/>
      </c>
      <c r="L187" s="39">
        <f>IF($B187="","",IFERROR(K187/J187,""))</f>
        <v/>
      </c>
      <c r="M187" s="38">
        <f>IF($B187="","",SUMIFS('目标填报'!$S$4:$S$1500,'目标填报'!$B$4:$B$1500,$B187,'目标填报'!$C$4:$C$1500,$C187,'目标填报'!$D$4:$D$1500,$D187,'目标填报'!$F$4:$F$1500,"销售目标额"))</f>
        <v/>
      </c>
      <c r="N187" s="39">
        <f>IF($B187="","",IFERROR(J187/M187,""))</f>
        <v/>
      </c>
      <c r="O187" s="40">
        <f>IF($B187="","",J187-M187)</f>
        <v/>
      </c>
      <c r="P187" s="38">
        <f>IF($B187="","",SUMPRODUCT(('目标填报'!$B$4:$B$1500=$B187)*('目标填报'!$C$4:$C$1500=$C187)*('目标填报'!$D$4:$D$1500=$D187)*('目标填报'!$F$4:$F$1500="在手订单")*('目标填报'!$G$3:$R$3=$F$1)*'目标填报'!$G$4:$R$1500))</f>
        <v/>
      </c>
      <c r="Q187" s="38">
        <f>IF($B187="","",SUMPRODUCT(('目标填报'!$B$4:$B$1500=$B187)*('目标填报'!$C$4:$C$1500=$C187)*('目标填报'!$D$4:$D$1500=$D187)*('目标填报'!$F$4:$F$1500="在手订单目标")*('目标填报'!$G$3:$R$3=$F$1)*'目标填报'!$G$4:$R$1500))</f>
        <v/>
      </c>
      <c r="R187" s="39">
        <f>IF($B187="","",IFERROR(P187/Q187,""))</f>
        <v/>
      </c>
      <c r="S187" s="38">
        <f>IF($B187="","",SUMPRODUCT(('目标填报'!$B$4:$B$1500=$B187)*('目标填报'!$C$4:$C$1500=$C187)*('目标填报'!$D$4:$D$1500=$D187)*('目标填报'!$F$4:$F$1500="目标客户机会")*('目标填报'!$G$3:$R$3=$F$1)*'目标填报'!$G$4:$R$1500))</f>
        <v/>
      </c>
      <c r="T187" s="38">
        <f>IF($B187="","",SUMPRODUCT(('目标填报'!$B$4:$B$1500=$B187)*('目标填报'!$C$4:$C$1500=$C187)*('目标填报'!$D$4:$D$1500=$D187)*('目标填报'!$F$4:$F$1500="目标客户机会目标")*('目标填报'!$G$3:$R$3=$F$1)*'目标填报'!$G$4:$R$1500))</f>
        <v/>
      </c>
      <c r="U187" s="39">
        <f>IF($B187="","",IFERROR(S187/T187,""))</f>
        <v/>
      </c>
      <c r="V187" s="38">
        <f>IF($B187="","",P187+S187)</f>
        <v/>
      </c>
      <c r="W187" s="38">
        <f>IF($B187="","",M187-J187)</f>
        <v/>
      </c>
      <c r="X187" s="39">
        <f>IF($B187="","",IFERROR(V187/W187,""))</f>
        <v/>
      </c>
      <c r="Y187" s="40">
        <f>IF($B187="","",V187-W187)</f>
        <v/>
      </c>
    </row>
    <row r="188">
      <c r="A188" s="37">
        <f>IF($B188="","",ROW()-3)</f>
        <v/>
      </c>
      <c r="B188" s="13">
        <f>IF(184+1&gt;COUNTA('维度字典'!$C$2:$C$200)*COUNTA('维度字典'!$A$2:$A$200)*COUNTA('维度字典'!$E$2:$E$200),"",INDEX('维度字典'!$C$2:$C$200,MOD(INT(184/(COUNTA('维度字典'!$E$2:$E$200)*COUNTA('维度字典'!$A$2:$A$200))),COUNTA('维度字典'!$C$2:$C$200))+1))</f>
        <v/>
      </c>
      <c r="C188" s="13">
        <f>IF($B188="","",INDEX('维度字典'!$A$2:$A$200,MOD(INT(184/COUNTA('维度字典'!$E$2:$E$200)),COUNTA('维度字典'!$A$2:$A$200))+1))</f>
        <v/>
      </c>
      <c r="D188" s="13">
        <f>IF($B188="","",INDEX('维度字典'!$E$2:$E$200,MOD(184,COUNTA('维度字典'!$E$2:$E$200))+1))</f>
        <v/>
      </c>
      <c r="E188" s="38">
        <f>IF($B188="","",SUMPRODUCT(('系统实绩导入'!$B$4:$B$1500=$B188)*('系统实绩导入'!$C$4:$C$1500=$C188)*('系统实绩导入'!$D$4:$D$1500=$D188)*('系统实绩导入'!$F$4:$F$1500="实绩销售额")*('系统实绩导入'!$G$3:$R$3=$F$1)*'系统实绩导入'!$G$4:$R$1500))</f>
        <v/>
      </c>
      <c r="F188" s="38">
        <f>IF($B188="","",SUMPRODUCT(('系统实绩导入'!$B$4:$B$1500=$B188)*('系统实绩导入'!$C$4:$C$1500=$C188)*('系统实绩导入'!$D$4:$D$1500=$D188)*('系统实绩导入'!$F$4:$F$1500="实绩毛利")*('系统实绩导入'!$G$3:$R$3=$F$1)*'系统实绩导入'!$G$4:$R$1500))</f>
        <v/>
      </c>
      <c r="G188" s="39">
        <f>IF($B188="","",IFERROR(F188/E188,""))</f>
        <v/>
      </c>
      <c r="H188" s="38">
        <f>IF($B188="","",SUMPRODUCT(('目标填报'!$B$4:$B$1500=$B188)*('目标填报'!$C$4:$C$1500=$C188)*('目标填报'!$D$4:$D$1500=$D188)*('目标填报'!$F$4:$F$1500="销售目标额")*('目标填报'!$G$3:$R$3=$F$1)*'目标填报'!$G$4:$R$1500))</f>
        <v/>
      </c>
      <c r="I188" s="39">
        <f>IF($B188="","",IFERROR(E188/H188,""))</f>
        <v/>
      </c>
      <c r="J188" s="38">
        <f>IF($B188="","",SUMPRODUCT(('系统实绩导入'!$B$4:$B$1500=$B188)*('系统实绩导入'!$C$4:$C$1500=$C188)*('系统实绩导入'!$D$4:$D$1500=$D188)*('系统实绩导入'!$F$4:$F$1500="实绩销售额")*('系统实绩导入'!$G$3:$R$3&lt;=$F$1)*'系统实绩导入'!$G$4:$R$1500))</f>
        <v/>
      </c>
      <c r="K188" s="38">
        <f>IF($B188="","",SUMPRODUCT(('系统实绩导入'!$B$4:$B$1500=$B188)*('系统实绩导入'!$C$4:$C$1500=$C188)*('系统实绩导入'!$D$4:$D$1500=$D188)*('系统实绩导入'!$F$4:$F$1500="实绩毛利")*('系统实绩导入'!$G$3:$R$3&lt;=$F$1)*'系统实绩导入'!$G$4:$R$1500))</f>
        <v/>
      </c>
      <c r="L188" s="39">
        <f>IF($B188="","",IFERROR(K188/J188,""))</f>
        <v/>
      </c>
      <c r="M188" s="38">
        <f>IF($B188="","",SUMIFS('目标填报'!$S$4:$S$1500,'目标填报'!$B$4:$B$1500,$B188,'目标填报'!$C$4:$C$1500,$C188,'目标填报'!$D$4:$D$1500,$D188,'目标填报'!$F$4:$F$1500,"销售目标额"))</f>
        <v/>
      </c>
      <c r="N188" s="39">
        <f>IF($B188="","",IFERROR(J188/M188,""))</f>
        <v/>
      </c>
      <c r="O188" s="40">
        <f>IF($B188="","",J188-M188)</f>
        <v/>
      </c>
      <c r="P188" s="38">
        <f>IF($B188="","",SUMPRODUCT(('目标填报'!$B$4:$B$1500=$B188)*('目标填报'!$C$4:$C$1500=$C188)*('目标填报'!$D$4:$D$1500=$D188)*('目标填报'!$F$4:$F$1500="在手订单")*('目标填报'!$G$3:$R$3=$F$1)*'目标填报'!$G$4:$R$1500))</f>
        <v/>
      </c>
      <c r="Q188" s="38">
        <f>IF($B188="","",SUMPRODUCT(('目标填报'!$B$4:$B$1500=$B188)*('目标填报'!$C$4:$C$1500=$C188)*('目标填报'!$D$4:$D$1500=$D188)*('目标填报'!$F$4:$F$1500="在手订单目标")*('目标填报'!$G$3:$R$3=$F$1)*'目标填报'!$G$4:$R$1500))</f>
        <v/>
      </c>
      <c r="R188" s="39">
        <f>IF($B188="","",IFERROR(P188/Q188,""))</f>
        <v/>
      </c>
      <c r="S188" s="38">
        <f>IF($B188="","",SUMPRODUCT(('目标填报'!$B$4:$B$1500=$B188)*('目标填报'!$C$4:$C$1500=$C188)*('目标填报'!$D$4:$D$1500=$D188)*('目标填报'!$F$4:$F$1500="目标客户机会")*('目标填报'!$G$3:$R$3=$F$1)*'目标填报'!$G$4:$R$1500))</f>
        <v/>
      </c>
      <c r="T188" s="38">
        <f>IF($B188="","",SUMPRODUCT(('目标填报'!$B$4:$B$1500=$B188)*('目标填报'!$C$4:$C$1500=$C188)*('目标填报'!$D$4:$D$1500=$D188)*('目标填报'!$F$4:$F$1500="目标客户机会目标")*('目标填报'!$G$3:$R$3=$F$1)*'目标填报'!$G$4:$R$1500))</f>
        <v/>
      </c>
      <c r="U188" s="39">
        <f>IF($B188="","",IFERROR(S188/T188,""))</f>
        <v/>
      </c>
      <c r="V188" s="38">
        <f>IF($B188="","",P188+S188)</f>
        <v/>
      </c>
      <c r="W188" s="38">
        <f>IF($B188="","",M188-J188)</f>
        <v/>
      </c>
      <c r="X188" s="39">
        <f>IF($B188="","",IFERROR(V188/W188,""))</f>
        <v/>
      </c>
      <c r="Y188" s="40">
        <f>IF($B188="","",V188-W188)</f>
        <v/>
      </c>
    </row>
    <row r="189">
      <c r="A189" s="37">
        <f>IF($B189="","",ROW()-3)</f>
        <v/>
      </c>
      <c r="B189" s="13">
        <f>IF(185+1&gt;COUNTA('维度字典'!$C$2:$C$200)*COUNTA('维度字典'!$A$2:$A$200)*COUNTA('维度字典'!$E$2:$E$200),"",INDEX('维度字典'!$C$2:$C$200,MOD(INT(185/(COUNTA('维度字典'!$E$2:$E$200)*COUNTA('维度字典'!$A$2:$A$200))),COUNTA('维度字典'!$C$2:$C$200))+1))</f>
        <v/>
      </c>
      <c r="C189" s="13">
        <f>IF($B189="","",INDEX('维度字典'!$A$2:$A$200,MOD(INT(185/COUNTA('维度字典'!$E$2:$E$200)),COUNTA('维度字典'!$A$2:$A$200))+1))</f>
        <v/>
      </c>
      <c r="D189" s="13">
        <f>IF($B189="","",INDEX('维度字典'!$E$2:$E$200,MOD(185,COUNTA('维度字典'!$E$2:$E$200))+1))</f>
        <v/>
      </c>
      <c r="E189" s="38">
        <f>IF($B189="","",SUMPRODUCT(('系统实绩导入'!$B$4:$B$1500=$B189)*('系统实绩导入'!$C$4:$C$1500=$C189)*('系统实绩导入'!$D$4:$D$1500=$D189)*('系统实绩导入'!$F$4:$F$1500="实绩销售额")*('系统实绩导入'!$G$3:$R$3=$F$1)*'系统实绩导入'!$G$4:$R$1500))</f>
        <v/>
      </c>
      <c r="F189" s="38">
        <f>IF($B189="","",SUMPRODUCT(('系统实绩导入'!$B$4:$B$1500=$B189)*('系统实绩导入'!$C$4:$C$1500=$C189)*('系统实绩导入'!$D$4:$D$1500=$D189)*('系统实绩导入'!$F$4:$F$1500="实绩毛利")*('系统实绩导入'!$G$3:$R$3=$F$1)*'系统实绩导入'!$G$4:$R$1500))</f>
        <v/>
      </c>
      <c r="G189" s="39">
        <f>IF($B189="","",IFERROR(F189/E189,""))</f>
        <v/>
      </c>
      <c r="H189" s="38">
        <f>IF($B189="","",SUMPRODUCT(('目标填报'!$B$4:$B$1500=$B189)*('目标填报'!$C$4:$C$1500=$C189)*('目标填报'!$D$4:$D$1500=$D189)*('目标填报'!$F$4:$F$1500="销售目标额")*('目标填报'!$G$3:$R$3=$F$1)*'目标填报'!$G$4:$R$1500))</f>
        <v/>
      </c>
      <c r="I189" s="39">
        <f>IF($B189="","",IFERROR(E189/H189,""))</f>
        <v/>
      </c>
      <c r="J189" s="38">
        <f>IF($B189="","",SUMPRODUCT(('系统实绩导入'!$B$4:$B$1500=$B189)*('系统实绩导入'!$C$4:$C$1500=$C189)*('系统实绩导入'!$D$4:$D$1500=$D189)*('系统实绩导入'!$F$4:$F$1500="实绩销售额")*('系统实绩导入'!$G$3:$R$3&lt;=$F$1)*'系统实绩导入'!$G$4:$R$1500))</f>
        <v/>
      </c>
      <c r="K189" s="38">
        <f>IF($B189="","",SUMPRODUCT(('系统实绩导入'!$B$4:$B$1500=$B189)*('系统实绩导入'!$C$4:$C$1500=$C189)*('系统实绩导入'!$D$4:$D$1500=$D189)*('系统实绩导入'!$F$4:$F$1500="实绩毛利")*('系统实绩导入'!$G$3:$R$3&lt;=$F$1)*'系统实绩导入'!$G$4:$R$1500))</f>
        <v/>
      </c>
      <c r="L189" s="39">
        <f>IF($B189="","",IFERROR(K189/J189,""))</f>
        <v/>
      </c>
      <c r="M189" s="38">
        <f>IF($B189="","",SUMIFS('目标填报'!$S$4:$S$1500,'目标填报'!$B$4:$B$1500,$B189,'目标填报'!$C$4:$C$1500,$C189,'目标填报'!$D$4:$D$1500,$D189,'目标填报'!$F$4:$F$1500,"销售目标额"))</f>
        <v/>
      </c>
      <c r="N189" s="39">
        <f>IF($B189="","",IFERROR(J189/M189,""))</f>
        <v/>
      </c>
      <c r="O189" s="40">
        <f>IF($B189="","",J189-M189)</f>
        <v/>
      </c>
      <c r="P189" s="38">
        <f>IF($B189="","",SUMPRODUCT(('目标填报'!$B$4:$B$1500=$B189)*('目标填报'!$C$4:$C$1500=$C189)*('目标填报'!$D$4:$D$1500=$D189)*('目标填报'!$F$4:$F$1500="在手订单")*('目标填报'!$G$3:$R$3=$F$1)*'目标填报'!$G$4:$R$1500))</f>
        <v/>
      </c>
      <c r="Q189" s="38">
        <f>IF($B189="","",SUMPRODUCT(('目标填报'!$B$4:$B$1500=$B189)*('目标填报'!$C$4:$C$1500=$C189)*('目标填报'!$D$4:$D$1500=$D189)*('目标填报'!$F$4:$F$1500="在手订单目标")*('目标填报'!$G$3:$R$3=$F$1)*'目标填报'!$G$4:$R$1500))</f>
        <v/>
      </c>
      <c r="R189" s="39">
        <f>IF($B189="","",IFERROR(P189/Q189,""))</f>
        <v/>
      </c>
      <c r="S189" s="38">
        <f>IF($B189="","",SUMPRODUCT(('目标填报'!$B$4:$B$1500=$B189)*('目标填报'!$C$4:$C$1500=$C189)*('目标填报'!$D$4:$D$1500=$D189)*('目标填报'!$F$4:$F$1500="目标客户机会")*('目标填报'!$G$3:$R$3=$F$1)*'目标填报'!$G$4:$R$1500))</f>
        <v/>
      </c>
      <c r="T189" s="38">
        <f>IF($B189="","",SUMPRODUCT(('目标填报'!$B$4:$B$1500=$B189)*('目标填报'!$C$4:$C$1500=$C189)*('目标填报'!$D$4:$D$1500=$D189)*('目标填报'!$F$4:$F$1500="目标客户机会目标")*('目标填报'!$G$3:$R$3=$F$1)*'目标填报'!$G$4:$R$1500))</f>
        <v/>
      </c>
      <c r="U189" s="39">
        <f>IF($B189="","",IFERROR(S189/T189,""))</f>
        <v/>
      </c>
      <c r="V189" s="38">
        <f>IF($B189="","",P189+S189)</f>
        <v/>
      </c>
      <c r="W189" s="38">
        <f>IF($B189="","",M189-J189)</f>
        <v/>
      </c>
      <c r="X189" s="39">
        <f>IF($B189="","",IFERROR(V189/W189,""))</f>
        <v/>
      </c>
      <c r="Y189" s="40">
        <f>IF($B189="","",V189-W189)</f>
        <v/>
      </c>
    </row>
    <row r="190">
      <c r="A190" s="37">
        <f>IF($B190="","",ROW()-3)</f>
        <v/>
      </c>
      <c r="B190" s="13">
        <f>IF(186+1&gt;COUNTA('维度字典'!$C$2:$C$200)*COUNTA('维度字典'!$A$2:$A$200)*COUNTA('维度字典'!$E$2:$E$200),"",INDEX('维度字典'!$C$2:$C$200,MOD(INT(186/(COUNTA('维度字典'!$E$2:$E$200)*COUNTA('维度字典'!$A$2:$A$200))),COUNTA('维度字典'!$C$2:$C$200))+1))</f>
        <v/>
      </c>
      <c r="C190" s="13">
        <f>IF($B190="","",INDEX('维度字典'!$A$2:$A$200,MOD(INT(186/COUNTA('维度字典'!$E$2:$E$200)),COUNTA('维度字典'!$A$2:$A$200))+1))</f>
        <v/>
      </c>
      <c r="D190" s="13">
        <f>IF($B190="","",INDEX('维度字典'!$E$2:$E$200,MOD(186,COUNTA('维度字典'!$E$2:$E$200))+1))</f>
        <v/>
      </c>
      <c r="E190" s="38">
        <f>IF($B190="","",SUMPRODUCT(('系统实绩导入'!$B$4:$B$1500=$B190)*('系统实绩导入'!$C$4:$C$1500=$C190)*('系统实绩导入'!$D$4:$D$1500=$D190)*('系统实绩导入'!$F$4:$F$1500="实绩销售额")*('系统实绩导入'!$G$3:$R$3=$F$1)*'系统实绩导入'!$G$4:$R$1500))</f>
        <v/>
      </c>
      <c r="F190" s="38">
        <f>IF($B190="","",SUMPRODUCT(('系统实绩导入'!$B$4:$B$1500=$B190)*('系统实绩导入'!$C$4:$C$1500=$C190)*('系统实绩导入'!$D$4:$D$1500=$D190)*('系统实绩导入'!$F$4:$F$1500="实绩毛利")*('系统实绩导入'!$G$3:$R$3=$F$1)*'系统实绩导入'!$G$4:$R$1500))</f>
        <v/>
      </c>
      <c r="G190" s="39">
        <f>IF($B190="","",IFERROR(F190/E190,""))</f>
        <v/>
      </c>
      <c r="H190" s="38">
        <f>IF($B190="","",SUMPRODUCT(('目标填报'!$B$4:$B$1500=$B190)*('目标填报'!$C$4:$C$1500=$C190)*('目标填报'!$D$4:$D$1500=$D190)*('目标填报'!$F$4:$F$1500="销售目标额")*('目标填报'!$G$3:$R$3=$F$1)*'目标填报'!$G$4:$R$1500))</f>
        <v/>
      </c>
      <c r="I190" s="39">
        <f>IF($B190="","",IFERROR(E190/H190,""))</f>
        <v/>
      </c>
      <c r="J190" s="38">
        <f>IF($B190="","",SUMPRODUCT(('系统实绩导入'!$B$4:$B$1500=$B190)*('系统实绩导入'!$C$4:$C$1500=$C190)*('系统实绩导入'!$D$4:$D$1500=$D190)*('系统实绩导入'!$F$4:$F$1500="实绩销售额")*('系统实绩导入'!$G$3:$R$3&lt;=$F$1)*'系统实绩导入'!$G$4:$R$1500))</f>
        <v/>
      </c>
      <c r="K190" s="38">
        <f>IF($B190="","",SUMPRODUCT(('系统实绩导入'!$B$4:$B$1500=$B190)*('系统实绩导入'!$C$4:$C$1500=$C190)*('系统实绩导入'!$D$4:$D$1500=$D190)*('系统实绩导入'!$F$4:$F$1500="实绩毛利")*('系统实绩导入'!$G$3:$R$3&lt;=$F$1)*'系统实绩导入'!$G$4:$R$1500))</f>
        <v/>
      </c>
      <c r="L190" s="39">
        <f>IF($B190="","",IFERROR(K190/J190,""))</f>
        <v/>
      </c>
      <c r="M190" s="38">
        <f>IF($B190="","",SUMIFS('目标填报'!$S$4:$S$1500,'目标填报'!$B$4:$B$1500,$B190,'目标填报'!$C$4:$C$1500,$C190,'目标填报'!$D$4:$D$1500,$D190,'目标填报'!$F$4:$F$1500,"销售目标额"))</f>
        <v/>
      </c>
      <c r="N190" s="39">
        <f>IF($B190="","",IFERROR(J190/M190,""))</f>
        <v/>
      </c>
      <c r="O190" s="40">
        <f>IF($B190="","",J190-M190)</f>
        <v/>
      </c>
      <c r="P190" s="38">
        <f>IF($B190="","",SUMPRODUCT(('目标填报'!$B$4:$B$1500=$B190)*('目标填报'!$C$4:$C$1500=$C190)*('目标填报'!$D$4:$D$1500=$D190)*('目标填报'!$F$4:$F$1500="在手订单")*('目标填报'!$G$3:$R$3=$F$1)*'目标填报'!$G$4:$R$1500))</f>
        <v/>
      </c>
      <c r="Q190" s="38">
        <f>IF($B190="","",SUMPRODUCT(('目标填报'!$B$4:$B$1500=$B190)*('目标填报'!$C$4:$C$1500=$C190)*('目标填报'!$D$4:$D$1500=$D190)*('目标填报'!$F$4:$F$1500="在手订单目标")*('目标填报'!$G$3:$R$3=$F$1)*'目标填报'!$G$4:$R$1500))</f>
        <v/>
      </c>
      <c r="R190" s="39">
        <f>IF($B190="","",IFERROR(P190/Q190,""))</f>
        <v/>
      </c>
      <c r="S190" s="38">
        <f>IF($B190="","",SUMPRODUCT(('目标填报'!$B$4:$B$1500=$B190)*('目标填报'!$C$4:$C$1500=$C190)*('目标填报'!$D$4:$D$1500=$D190)*('目标填报'!$F$4:$F$1500="目标客户机会")*('目标填报'!$G$3:$R$3=$F$1)*'目标填报'!$G$4:$R$1500))</f>
        <v/>
      </c>
      <c r="T190" s="38">
        <f>IF($B190="","",SUMPRODUCT(('目标填报'!$B$4:$B$1500=$B190)*('目标填报'!$C$4:$C$1500=$C190)*('目标填报'!$D$4:$D$1500=$D190)*('目标填报'!$F$4:$F$1500="目标客户机会目标")*('目标填报'!$G$3:$R$3=$F$1)*'目标填报'!$G$4:$R$1500))</f>
        <v/>
      </c>
      <c r="U190" s="39">
        <f>IF($B190="","",IFERROR(S190/T190,""))</f>
        <v/>
      </c>
      <c r="V190" s="38">
        <f>IF($B190="","",P190+S190)</f>
        <v/>
      </c>
      <c r="W190" s="38">
        <f>IF($B190="","",M190-J190)</f>
        <v/>
      </c>
      <c r="X190" s="39">
        <f>IF($B190="","",IFERROR(V190/W190,""))</f>
        <v/>
      </c>
      <c r="Y190" s="40">
        <f>IF($B190="","",V190-W190)</f>
        <v/>
      </c>
    </row>
    <row r="191">
      <c r="A191" s="37">
        <f>IF($B191="","",ROW()-3)</f>
        <v/>
      </c>
      <c r="B191" s="13">
        <f>IF(187+1&gt;COUNTA('维度字典'!$C$2:$C$200)*COUNTA('维度字典'!$A$2:$A$200)*COUNTA('维度字典'!$E$2:$E$200),"",INDEX('维度字典'!$C$2:$C$200,MOD(INT(187/(COUNTA('维度字典'!$E$2:$E$200)*COUNTA('维度字典'!$A$2:$A$200))),COUNTA('维度字典'!$C$2:$C$200))+1))</f>
        <v/>
      </c>
      <c r="C191" s="13">
        <f>IF($B191="","",INDEX('维度字典'!$A$2:$A$200,MOD(INT(187/COUNTA('维度字典'!$E$2:$E$200)),COUNTA('维度字典'!$A$2:$A$200))+1))</f>
        <v/>
      </c>
      <c r="D191" s="13">
        <f>IF($B191="","",INDEX('维度字典'!$E$2:$E$200,MOD(187,COUNTA('维度字典'!$E$2:$E$200))+1))</f>
        <v/>
      </c>
      <c r="E191" s="38">
        <f>IF($B191="","",SUMPRODUCT(('系统实绩导入'!$B$4:$B$1500=$B191)*('系统实绩导入'!$C$4:$C$1500=$C191)*('系统实绩导入'!$D$4:$D$1500=$D191)*('系统实绩导入'!$F$4:$F$1500="实绩销售额")*('系统实绩导入'!$G$3:$R$3=$F$1)*'系统实绩导入'!$G$4:$R$1500))</f>
        <v/>
      </c>
      <c r="F191" s="38">
        <f>IF($B191="","",SUMPRODUCT(('系统实绩导入'!$B$4:$B$1500=$B191)*('系统实绩导入'!$C$4:$C$1500=$C191)*('系统实绩导入'!$D$4:$D$1500=$D191)*('系统实绩导入'!$F$4:$F$1500="实绩毛利")*('系统实绩导入'!$G$3:$R$3=$F$1)*'系统实绩导入'!$G$4:$R$1500))</f>
        <v/>
      </c>
      <c r="G191" s="39">
        <f>IF($B191="","",IFERROR(F191/E191,""))</f>
        <v/>
      </c>
      <c r="H191" s="38">
        <f>IF($B191="","",SUMPRODUCT(('目标填报'!$B$4:$B$1500=$B191)*('目标填报'!$C$4:$C$1500=$C191)*('目标填报'!$D$4:$D$1500=$D191)*('目标填报'!$F$4:$F$1500="销售目标额")*('目标填报'!$G$3:$R$3=$F$1)*'目标填报'!$G$4:$R$1500))</f>
        <v/>
      </c>
      <c r="I191" s="39">
        <f>IF($B191="","",IFERROR(E191/H191,""))</f>
        <v/>
      </c>
      <c r="J191" s="38">
        <f>IF($B191="","",SUMPRODUCT(('系统实绩导入'!$B$4:$B$1500=$B191)*('系统实绩导入'!$C$4:$C$1500=$C191)*('系统实绩导入'!$D$4:$D$1500=$D191)*('系统实绩导入'!$F$4:$F$1500="实绩销售额")*('系统实绩导入'!$G$3:$R$3&lt;=$F$1)*'系统实绩导入'!$G$4:$R$1500))</f>
        <v/>
      </c>
      <c r="K191" s="38">
        <f>IF($B191="","",SUMPRODUCT(('系统实绩导入'!$B$4:$B$1500=$B191)*('系统实绩导入'!$C$4:$C$1500=$C191)*('系统实绩导入'!$D$4:$D$1500=$D191)*('系统实绩导入'!$F$4:$F$1500="实绩毛利")*('系统实绩导入'!$G$3:$R$3&lt;=$F$1)*'系统实绩导入'!$G$4:$R$1500))</f>
        <v/>
      </c>
      <c r="L191" s="39">
        <f>IF($B191="","",IFERROR(K191/J191,""))</f>
        <v/>
      </c>
      <c r="M191" s="38">
        <f>IF($B191="","",SUMIFS('目标填报'!$S$4:$S$1500,'目标填报'!$B$4:$B$1500,$B191,'目标填报'!$C$4:$C$1500,$C191,'目标填报'!$D$4:$D$1500,$D191,'目标填报'!$F$4:$F$1500,"销售目标额"))</f>
        <v/>
      </c>
      <c r="N191" s="39">
        <f>IF($B191="","",IFERROR(J191/M191,""))</f>
        <v/>
      </c>
      <c r="O191" s="40">
        <f>IF($B191="","",J191-M191)</f>
        <v/>
      </c>
      <c r="P191" s="38">
        <f>IF($B191="","",SUMPRODUCT(('目标填报'!$B$4:$B$1500=$B191)*('目标填报'!$C$4:$C$1500=$C191)*('目标填报'!$D$4:$D$1500=$D191)*('目标填报'!$F$4:$F$1500="在手订单")*('目标填报'!$G$3:$R$3=$F$1)*'目标填报'!$G$4:$R$1500))</f>
        <v/>
      </c>
      <c r="Q191" s="38">
        <f>IF($B191="","",SUMPRODUCT(('目标填报'!$B$4:$B$1500=$B191)*('目标填报'!$C$4:$C$1500=$C191)*('目标填报'!$D$4:$D$1500=$D191)*('目标填报'!$F$4:$F$1500="在手订单目标")*('目标填报'!$G$3:$R$3=$F$1)*'目标填报'!$G$4:$R$1500))</f>
        <v/>
      </c>
      <c r="R191" s="39">
        <f>IF($B191="","",IFERROR(P191/Q191,""))</f>
        <v/>
      </c>
      <c r="S191" s="38">
        <f>IF($B191="","",SUMPRODUCT(('目标填报'!$B$4:$B$1500=$B191)*('目标填报'!$C$4:$C$1500=$C191)*('目标填报'!$D$4:$D$1500=$D191)*('目标填报'!$F$4:$F$1500="目标客户机会")*('目标填报'!$G$3:$R$3=$F$1)*'目标填报'!$G$4:$R$1500))</f>
        <v/>
      </c>
      <c r="T191" s="38">
        <f>IF($B191="","",SUMPRODUCT(('目标填报'!$B$4:$B$1500=$B191)*('目标填报'!$C$4:$C$1500=$C191)*('目标填报'!$D$4:$D$1500=$D191)*('目标填报'!$F$4:$F$1500="目标客户机会目标")*('目标填报'!$G$3:$R$3=$F$1)*'目标填报'!$G$4:$R$1500))</f>
        <v/>
      </c>
      <c r="U191" s="39">
        <f>IF($B191="","",IFERROR(S191/T191,""))</f>
        <v/>
      </c>
      <c r="V191" s="38">
        <f>IF($B191="","",P191+S191)</f>
        <v/>
      </c>
      <c r="W191" s="38">
        <f>IF($B191="","",M191-J191)</f>
        <v/>
      </c>
      <c r="X191" s="39">
        <f>IF($B191="","",IFERROR(V191/W191,""))</f>
        <v/>
      </c>
      <c r="Y191" s="40">
        <f>IF($B191="","",V191-W191)</f>
        <v/>
      </c>
    </row>
    <row r="192">
      <c r="A192" s="37">
        <f>IF($B192="","",ROW()-3)</f>
        <v/>
      </c>
      <c r="B192" s="13">
        <f>IF(188+1&gt;COUNTA('维度字典'!$C$2:$C$200)*COUNTA('维度字典'!$A$2:$A$200)*COUNTA('维度字典'!$E$2:$E$200),"",INDEX('维度字典'!$C$2:$C$200,MOD(INT(188/(COUNTA('维度字典'!$E$2:$E$200)*COUNTA('维度字典'!$A$2:$A$200))),COUNTA('维度字典'!$C$2:$C$200))+1))</f>
        <v/>
      </c>
      <c r="C192" s="13">
        <f>IF($B192="","",INDEX('维度字典'!$A$2:$A$200,MOD(INT(188/COUNTA('维度字典'!$E$2:$E$200)),COUNTA('维度字典'!$A$2:$A$200))+1))</f>
        <v/>
      </c>
      <c r="D192" s="13">
        <f>IF($B192="","",INDEX('维度字典'!$E$2:$E$200,MOD(188,COUNTA('维度字典'!$E$2:$E$200))+1))</f>
        <v/>
      </c>
      <c r="E192" s="38">
        <f>IF($B192="","",SUMPRODUCT(('系统实绩导入'!$B$4:$B$1500=$B192)*('系统实绩导入'!$C$4:$C$1500=$C192)*('系统实绩导入'!$D$4:$D$1500=$D192)*('系统实绩导入'!$F$4:$F$1500="实绩销售额")*('系统实绩导入'!$G$3:$R$3=$F$1)*'系统实绩导入'!$G$4:$R$1500))</f>
        <v/>
      </c>
      <c r="F192" s="38">
        <f>IF($B192="","",SUMPRODUCT(('系统实绩导入'!$B$4:$B$1500=$B192)*('系统实绩导入'!$C$4:$C$1500=$C192)*('系统实绩导入'!$D$4:$D$1500=$D192)*('系统实绩导入'!$F$4:$F$1500="实绩毛利")*('系统实绩导入'!$G$3:$R$3=$F$1)*'系统实绩导入'!$G$4:$R$1500))</f>
        <v/>
      </c>
      <c r="G192" s="39">
        <f>IF($B192="","",IFERROR(F192/E192,""))</f>
        <v/>
      </c>
      <c r="H192" s="38">
        <f>IF($B192="","",SUMPRODUCT(('目标填报'!$B$4:$B$1500=$B192)*('目标填报'!$C$4:$C$1500=$C192)*('目标填报'!$D$4:$D$1500=$D192)*('目标填报'!$F$4:$F$1500="销售目标额")*('目标填报'!$G$3:$R$3=$F$1)*'目标填报'!$G$4:$R$1500))</f>
        <v/>
      </c>
      <c r="I192" s="39">
        <f>IF($B192="","",IFERROR(E192/H192,""))</f>
        <v/>
      </c>
      <c r="J192" s="38">
        <f>IF($B192="","",SUMPRODUCT(('系统实绩导入'!$B$4:$B$1500=$B192)*('系统实绩导入'!$C$4:$C$1500=$C192)*('系统实绩导入'!$D$4:$D$1500=$D192)*('系统实绩导入'!$F$4:$F$1500="实绩销售额")*('系统实绩导入'!$G$3:$R$3&lt;=$F$1)*'系统实绩导入'!$G$4:$R$1500))</f>
        <v/>
      </c>
      <c r="K192" s="38">
        <f>IF($B192="","",SUMPRODUCT(('系统实绩导入'!$B$4:$B$1500=$B192)*('系统实绩导入'!$C$4:$C$1500=$C192)*('系统实绩导入'!$D$4:$D$1500=$D192)*('系统实绩导入'!$F$4:$F$1500="实绩毛利")*('系统实绩导入'!$G$3:$R$3&lt;=$F$1)*'系统实绩导入'!$G$4:$R$1500))</f>
        <v/>
      </c>
      <c r="L192" s="39">
        <f>IF($B192="","",IFERROR(K192/J192,""))</f>
        <v/>
      </c>
      <c r="M192" s="38">
        <f>IF($B192="","",SUMIFS('目标填报'!$S$4:$S$1500,'目标填报'!$B$4:$B$1500,$B192,'目标填报'!$C$4:$C$1500,$C192,'目标填报'!$D$4:$D$1500,$D192,'目标填报'!$F$4:$F$1500,"销售目标额"))</f>
        <v/>
      </c>
      <c r="N192" s="39">
        <f>IF($B192="","",IFERROR(J192/M192,""))</f>
        <v/>
      </c>
      <c r="O192" s="40">
        <f>IF($B192="","",J192-M192)</f>
        <v/>
      </c>
      <c r="P192" s="38">
        <f>IF($B192="","",SUMPRODUCT(('目标填报'!$B$4:$B$1500=$B192)*('目标填报'!$C$4:$C$1500=$C192)*('目标填报'!$D$4:$D$1500=$D192)*('目标填报'!$F$4:$F$1500="在手订单")*('目标填报'!$G$3:$R$3=$F$1)*'目标填报'!$G$4:$R$1500))</f>
        <v/>
      </c>
      <c r="Q192" s="38">
        <f>IF($B192="","",SUMPRODUCT(('目标填报'!$B$4:$B$1500=$B192)*('目标填报'!$C$4:$C$1500=$C192)*('目标填报'!$D$4:$D$1500=$D192)*('目标填报'!$F$4:$F$1500="在手订单目标")*('目标填报'!$G$3:$R$3=$F$1)*'目标填报'!$G$4:$R$1500))</f>
        <v/>
      </c>
      <c r="R192" s="39">
        <f>IF($B192="","",IFERROR(P192/Q192,""))</f>
        <v/>
      </c>
      <c r="S192" s="38">
        <f>IF($B192="","",SUMPRODUCT(('目标填报'!$B$4:$B$1500=$B192)*('目标填报'!$C$4:$C$1500=$C192)*('目标填报'!$D$4:$D$1500=$D192)*('目标填报'!$F$4:$F$1500="目标客户机会")*('目标填报'!$G$3:$R$3=$F$1)*'目标填报'!$G$4:$R$1500))</f>
        <v/>
      </c>
      <c r="T192" s="38">
        <f>IF($B192="","",SUMPRODUCT(('目标填报'!$B$4:$B$1500=$B192)*('目标填报'!$C$4:$C$1500=$C192)*('目标填报'!$D$4:$D$1500=$D192)*('目标填报'!$F$4:$F$1500="目标客户机会目标")*('目标填报'!$G$3:$R$3=$F$1)*'目标填报'!$G$4:$R$1500))</f>
        <v/>
      </c>
      <c r="U192" s="39">
        <f>IF($B192="","",IFERROR(S192/T192,""))</f>
        <v/>
      </c>
      <c r="V192" s="38">
        <f>IF($B192="","",P192+S192)</f>
        <v/>
      </c>
      <c r="W192" s="38">
        <f>IF($B192="","",M192-J192)</f>
        <v/>
      </c>
      <c r="X192" s="39">
        <f>IF($B192="","",IFERROR(V192/W192,""))</f>
        <v/>
      </c>
      <c r="Y192" s="40">
        <f>IF($B192="","",V192-W192)</f>
        <v/>
      </c>
    </row>
    <row r="193">
      <c r="A193" s="37">
        <f>IF($B193="","",ROW()-3)</f>
        <v/>
      </c>
      <c r="B193" s="13">
        <f>IF(189+1&gt;COUNTA('维度字典'!$C$2:$C$200)*COUNTA('维度字典'!$A$2:$A$200)*COUNTA('维度字典'!$E$2:$E$200),"",INDEX('维度字典'!$C$2:$C$200,MOD(INT(189/(COUNTA('维度字典'!$E$2:$E$200)*COUNTA('维度字典'!$A$2:$A$200))),COUNTA('维度字典'!$C$2:$C$200))+1))</f>
        <v/>
      </c>
      <c r="C193" s="13">
        <f>IF($B193="","",INDEX('维度字典'!$A$2:$A$200,MOD(INT(189/COUNTA('维度字典'!$E$2:$E$200)),COUNTA('维度字典'!$A$2:$A$200))+1))</f>
        <v/>
      </c>
      <c r="D193" s="13">
        <f>IF($B193="","",INDEX('维度字典'!$E$2:$E$200,MOD(189,COUNTA('维度字典'!$E$2:$E$200))+1))</f>
        <v/>
      </c>
      <c r="E193" s="38">
        <f>IF($B193="","",SUMPRODUCT(('系统实绩导入'!$B$4:$B$1500=$B193)*('系统实绩导入'!$C$4:$C$1500=$C193)*('系统实绩导入'!$D$4:$D$1500=$D193)*('系统实绩导入'!$F$4:$F$1500="实绩销售额")*('系统实绩导入'!$G$3:$R$3=$F$1)*'系统实绩导入'!$G$4:$R$1500))</f>
        <v/>
      </c>
      <c r="F193" s="38">
        <f>IF($B193="","",SUMPRODUCT(('系统实绩导入'!$B$4:$B$1500=$B193)*('系统实绩导入'!$C$4:$C$1500=$C193)*('系统实绩导入'!$D$4:$D$1500=$D193)*('系统实绩导入'!$F$4:$F$1500="实绩毛利")*('系统实绩导入'!$G$3:$R$3=$F$1)*'系统实绩导入'!$G$4:$R$1500))</f>
        <v/>
      </c>
      <c r="G193" s="39">
        <f>IF($B193="","",IFERROR(F193/E193,""))</f>
        <v/>
      </c>
      <c r="H193" s="38">
        <f>IF($B193="","",SUMPRODUCT(('目标填报'!$B$4:$B$1500=$B193)*('目标填报'!$C$4:$C$1500=$C193)*('目标填报'!$D$4:$D$1500=$D193)*('目标填报'!$F$4:$F$1500="销售目标额")*('目标填报'!$G$3:$R$3=$F$1)*'目标填报'!$G$4:$R$1500))</f>
        <v/>
      </c>
      <c r="I193" s="39">
        <f>IF($B193="","",IFERROR(E193/H193,""))</f>
        <v/>
      </c>
      <c r="J193" s="38">
        <f>IF($B193="","",SUMPRODUCT(('系统实绩导入'!$B$4:$B$1500=$B193)*('系统实绩导入'!$C$4:$C$1500=$C193)*('系统实绩导入'!$D$4:$D$1500=$D193)*('系统实绩导入'!$F$4:$F$1500="实绩销售额")*('系统实绩导入'!$G$3:$R$3&lt;=$F$1)*'系统实绩导入'!$G$4:$R$1500))</f>
        <v/>
      </c>
      <c r="K193" s="38">
        <f>IF($B193="","",SUMPRODUCT(('系统实绩导入'!$B$4:$B$1500=$B193)*('系统实绩导入'!$C$4:$C$1500=$C193)*('系统实绩导入'!$D$4:$D$1500=$D193)*('系统实绩导入'!$F$4:$F$1500="实绩毛利")*('系统实绩导入'!$G$3:$R$3&lt;=$F$1)*'系统实绩导入'!$G$4:$R$1500))</f>
        <v/>
      </c>
      <c r="L193" s="39">
        <f>IF($B193="","",IFERROR(K193/J193,""))</f>
        <v/>
      </c>
      <c r="M193" s="38">
        <f>IF($B193="","",SUMIFS('目标填报'!$S$4:$S$1500,'目标填报'!$B$4:$B$1500,$B193,'目标填报'!$C$4:$C$1500,$C193,'目标填报'!$D$4:$D$1500,$D193,'目标填报'!$F$4:$F$1500,"销售目标额"))</f>
        <v/>
      </c>
      <c r="N193" s="39">
        <f>IF($B193="","",IFERROR(J193/M193,""))</f>
        <v/>
      </c>
      <c r="O193" s="40">
        <f>IF($B193="","",J193-M193)</f>
        <v/>
      </c>
      <c r="P193" s="38">
        <f>IF($B193="","",SUMPRODUCT(('目标填报'!$B$4:$B$1500=$B193)*('目标填报'!$C$4:$C$1500=$C193)*('目标填报'!$D$4:$D$1500=$D193)*('目标填报'!$F$4:$F$1500="在手订单")*('目标填报'!$G$3:$R$3=$F$1)*'目标填报'!$G$4:$R$1500))</f>
        <v/>
      </c>
      <c r="Q193" s="38">
        <f>IF($B193="","",SUMPRODUCT(('目标填报'!$B$4:$B$1500=$B193)*('目标填报'!$C$4:$C$1500=$C193)*('目标填报'!$D$4:$D$1500=$D193)*('目标填报'!$F$4:$F$1500="在手订单目标")*('目标填报'!$G$3:$R$3=$F$1)*'目标填报'!$G$4:$R$1500))</f>
        <v/>
      </c>
      <c r="R193" s="39">
        <f>IF($B193="","",IFERROR(P193/Q193,""))</f>
        <v/>
      </c>
      <c r="S193" s="38">
        <f>IF($B193="","",SUMPRODUCT(('目标填报'!$B$4:$B$1500=$B193)*('目标填报'!$C$4:$C$1500=$C193)*('目标填报'!$D$4:$D$1500=$D193)*('目标填报'!$F$4:$F$1500="目标客户机会")*('目标填报'!$G$3:$R$3=$F$1)*'目标填报'!$G$4:$R$1500))</f>
        <v/>
      </c>
      <c r="T193" s="38">
        <f>IF($B193="","",SUMPRODUCT(('目标填报'!$B$4:$B$1500=$B193)*('目标填报'!$C$4:$C$1500=$C193)*('目标填报'!$D$4:$D$1500=$D193)*('目标填报'!$F$4:$F$1500="目标客户机会目标")*('目标填报'!$G$3:$R$3=$F$1)*'目标填报'!$G$4:$R$1500))</f>
        <v/>
      </c>
      <c r="U193" s="39">
        <f>IF($B193="","",IFERROR(S193/T193,""))</f>
        <v/>
      </c>
      <c r="V193" s="38">
        <f>IF($B193="","",P193+S193)</f>
        <v/>
      </c>
      <c r="W193" s="38">
        <f>IF($B193="","",M193-J193)</f>
        <v/>
      </c>
      <c r="X193" s="39">
        <f>IF($B193="","",IFERROR(V193/W193,""))</f>
        <v/>
      </c>
      <c r="Y193" s="40">
        <f>IF($B193="","",V193-W193)</f>
        <v/>
      </c>
    </row>
    <row r="194">
      <c r="A194" s="37">
        <f>IF($B194="","",ROW()-3)</f>
        <v/>
      </c>
      <c r="B194" s="13">
        <f>IF(190+1&gt;COUNTA('维度字典'!$C$2:$C$200)*COUNTA('维度字典'!$A$2:$A$200)*COUNTA('维度字典'!$E$2:$E$200),"",INDEX('维度字典'!$C$2:$C$200,MOD(INT(190/(COUNTA('维度字典'!$E$2:$E$200)*COUNTA('维度字典'!$A$2:$A$200))),COUNTA('维度字典'!$C$2:$C$200))+1))</f>
        <v/>
      </c>
      <c r="C194" s="13">
        <f>IF($B194="","",INDEX('维度字典'!$A$2:$A$200,MOD(INT(190/COUNTA('维度字典'!$E$2:$E$200)),COUNTA('维度字典'!$A$2:$A$200))+1))</f>
        <v/>
      </c>
      <c r="D194" s="13">
        <f>IF($B194="","",INDEX('维度字典'!$E$2:$E$200,MOD(190,COUNTA('维度字典'!$E$2:$E$200))+1))</f>
        <v/>
      </c>
      <c r="E194" s="38">
        <f>IF($B194="","",SUMPRODUCT(('系统实绩导入'!$B$4:$B$1500=$B194)*('系统实绩导入'!$C$4:$C$1500=$C194)*('系统实绩导入'!$D$4:$D$1500=$D194)*('系统实绩导入'!$F$4:$F$1500="实绩销售额")*('系统实绩导入'!$G$3:$R$3=$F$1)*'系统实绩导入'!$G$4:$R$1500))</f>
        <v/>
      </c>
      <c r="F194" s="38">
        <f>IF($B194="","",SUMPRODUCT(('系统实绩导入'!$B$4:$B$1500=$B194)*('系统实绩导入'!$C$4:$C$1500=$C194)*('系统实绩导入'!$D$4:$D$1500=$D194)*('系统实绩导入'!$F$4:$F$1500="实绩毛利")*('系统实绩导入'!$G$3:$R$3=$F$1)*'系统实绩导入'!$G$4:$R$1500))</f>
        <v/>
      </c>
      <c r="G194" s="39">
        <f>IF($B194="","",IFERROR(F194/E194,""))</f>
        <v/>
      </c>
      <c r="H194" s="38">
        <f>IF($B194="","",SUMPRODUCT(('目标填报'!$B$4:$B$1500=$B194)*('目标填报'!$C$4:$C$1500=$C194)*('目标填报'!$D$4:$D$1500=$D194)*('目标填报'!$F$4:$F$1500="销售目标额")*('目标填报'!$G$3:$R$3=$F$1)*'目标填报'!$G$4:$R$1500))</f>
        <v/>
      </c>
      <c r="I194" s="39">
        <f>IF($B194="","",IFERROR(E194/H194,""))</f>
        <v/>
      </c>
      <c r="J194" s="38">
        <f>IF($B194="","",SUMPRODUCT(('系统实绩导入'!$B$4:$B$1500=$B194)*('系统实绩导入'!$C$4:$C$1500=$C194)*('系统实绩导入'!$D$4:$D$1500=$D194)*('系统实绩导入'!$F$4:$F$1500="实绩销售额")*('系统实绩导入'!$G$3:$R$3&lt;=$F$1)*'系统实绩导入'!$G$4:$R$1500))</f>
        <v/>
      </c>
      <c r="K194" s="38">
        <f>IF($B194="","",SUMPRODUCT(('系统实绩导入'!$B$4:$B$1500=$B194)*('系统实绩导入'!$C$4:$C$1500=$C194)*('系统实绩导入'!$D$4:$D$1500=$D194)*('系统实绩导入'!$F$4:$F$1500="实绩毛利")*('系统实绩导入'!$G$3:$R$3&lt;=$F$1)*'系统实绩导入'!$G$4:$R$1500))</f>
        <v/>
      </c>
      <c r="L194" s="39">
        <f>IF($B194="","",IFERROR(K194/J194,""))</f>
        <v/>
      </c>
      <c r="M194" s="38">
        <f>IF($B194="","",SUMIFS('目标填报'!$S$4:$S$1500,'目标填报'!$B$4:$B$1500,$B194,'目标填报'!$C$4:$C$1500,$C194,'目标填报'!$D$4:$D$1500,$D194,'目标填报'!$F$4:$F$1500,"销售目标额"))</f>
        <v/>
      </c>
      <c r="N194" s="39">
        <f>IF($B194="","",IFERROR(J194/M194,""))</f>
        <v/>
      </c>
      <c r="O194" s="40">
        <f>IF($B194="","",J194-M194)</f>
        <v/>
      </c>
      <c r="P194" s="38">
        <f>IF($B194="","",SUMPRODUCT(('目标填报'!$B$4:$B$1500=$B194)*('目标填报'!$C$4:$C$1500=$C194)*('目标填报'!$D$4:$D$1500=$D194)*('目标填报'!$F$4:$F$1500="在手订单")*('目标填报'!$G$3:$R$3=$F$1)*'目标填报'!$G$4:$R$1500))</f>
        <v/>
      </c>
      <c r="Q194" s="38">
        <f>IF($B194="","",SUMPRODUCT(('目标填报'!$B$4:$B$1500=$B194)*('目标填报'!$C$4:$C$1500=$C194)*('目标填报'!$D$4:$D$1500=$D194)*('目标填报'!$F$4:$F$1500="在手订单目标")*('目标填报'!$G$3:$R$3=$F$1)*'目标填报'!$G$4:$R$1500))</f>
        <v/>
      </c>
      <c r="R194" s="39">
        <f>IF($B194="","",IFERROR(P194/Q194,""))</f>
        <v/>
      </c>
      <c r="S194" s="38">
        <f>IF($B194="","",SUMPRODUCT(('目标填报'!$B$4:$B$1500=$B194)*('目标填报'!$C$4:$C$1500=$C194)*('目标填报'!$D$4:$D$1500=$D194)*('目标填报'!$F$4:$F$1500="目标客户机会")*('目标填报'!$G$3:$R$3=$F$1)*'目标填报'!$G$4:$R$1500))</f>
        <v/>
      </c>
      <c r="T194" s="38">
        <f>IF($B194="","",SUMPRODUCT(('目标填报'!$B$4:$B$1500=$B194)*('目标填报'!$C$4:$C$1500=$C194)*('目标填报'!$D$4:$D$1500=$D194)*('目标填报'!$F$4:$F$1500="目标客户机会目标")*('目标填报'!$G$3:$R$3=$F$1)*'目标填报'!$G$4:$R$1500))</f>
        <v/>
      </c>
      <c r="U194" s="39">
        <f>IF($B194="","",IFERROR(S194/T194,""))</f>
        <v/>
      </c>
      <c r="V194" s="38">
        <f>IF($B194="","",P194+S194)</f>
        <v/>
      </c>
      <c r="W194" s="38">
        <f>IF($B194="","",M194-J194)</f>
        <v/>
      </c>
      <c r="X194" s="39">
        <f>IF($B194="","",IFERROR(V194/W194,""))</f>
        <v/>
      </c>
      <c r="Y194" s="40">
        <f>IF($B194="","",V194-W194)</f>
        <v/>
      </c>
    </row>
    <row r="195">
      <c r="A195" s="37">
        <f>IF($B195="","",ROW()-3)</f>
        <v/>
      </c>
      <c r="B195" s="13">
        <f>IF(191+1&gt;COUNTA('维度字典'!$C$2:$C$200)*COUNTA('维度字典'!$A$2:$A$200)*COUNTA('维度字典'!$E$2:$E$200),"",INDEX('维度字典'!$C$2:$C$200,MOD(INT(191/(COUNTA('维度字典'!$E$2:$E$200)*COUNTA('维度字典'!$A$2:$A$200))),COUNTA('维度字典'!$C$2:$C$200))+1))</f>
        <v/>
      </c>
      <c r="C195" s="13">
        <f>IF($B195="","",INDEX('维度字典'!$A$2:$A$200,MOD(INT(191/COUNTA('维度字典'!$E$2:$E$200)),COUNTA('维度字典'!$A$2:$A$200))+1))</f>
        <v/>
      </c>
      <c r="D195" s="13">
        <f>IF($B195="","",INDEX('维度字典'!$E$2:$E$200,MOD(191,COUNTA('维度字典'!$E$2:$E$200))+1))</f>
        <v/>
      </c>
      <c r="E195" s="38">
        <f>IF($B195="","",SUMPRODUCT(('系统实绩导入'!$B$4:$B$1500=$B195)*('系统实绩导入'!$C$4:$C$1500=$C195)*('系统实绩导入'!$D$4:$D$1500=$D195)*('系统实绩导入'!$F$4:$F$1500="实绩销售额")*('系统实绩导入'!$G$3:$R$3=$F$1)*'系统实绩导入'!$G$4:$R$1500))</f>
        <v/>
      </c>
      <c r="F195" s="38">
        <f>IF($B195="","",SUMPRODUCT(('系统实绩导入'!$B$4:$B$1500=$B195)*('系统实绩导入'!$C$4:$C$1500=$C195)*('系统实绩导入'!$D$4:$D$1500=$D195)*('系统实绩导入'!$F$4:$F$1500="实绩毛利")*('系统实绩导入'!$G$3:$R$3=$F$1)*'系统实绩导入'!$G$4:$R$1500))</f>
        <v/>
      </c>
      <c r="G195" s="39">
        <f>IF($B195="","",IFERROR(F195/E195,""))</f>
        <v/>
      </c>
      <c r="H195" s="38">
        <f>IF($B195="","",SUMPRODUCT(('目标填报'!$B$4:$B$1500=$B195)*('目标填报'!$C$4:$C$1500=$C195)*('目标填报'!$D$4:$D$1500=$D195)*('目标填报'!$F$4:$F$1500="销售目标额")*('目标填报'!$G$3:$R$3=$F$1)*'目标填报'!$G$4:$R$1500))</f>
        <v/>
      </c>
      <c r="I195" s="39">
        <f>IF($B195="","",IFERROR(E195/H195,""))</f>
        <v/>
      </c>
      <c r="J195" s="38">
        <f>IF($B195="","",SUMPRODUCT(('系统实绩导入'!$B$4:$B$1500=$B195)*('系统实绩导入'!$C$4:$C$1500=$C195)*('系统实绩导入'!$D$4:$D$1500=$D195)*('系统实绩导入'!$F$4:$F$1500="实绩销售额")*('系统实绩导入'!$G$3:$R$3&lt;=$F$1)*'系统实绩导入'!$G$4:$R$1500))</f>
        <v/>
      </c>
      <c r="K195" s="38">
        <f>IF($B195="","",SUMPRODUCT(('系统实绩导入'!$B$4:$B$1500=$B195)*('系统实绩导入'!$C$4:$C$1500=$C195)*('系统实绩导入'!$D$4:$D$1500=$D195)*('系统实绩导入'!$F$4:$F$1500="实绩毛利")*('系统实绩导入'!$G$3:$R$3&lt;=$F$1)*'系统实绩导入'!$G$4:$R$1500))</f>
        <v/>
      </c>
      <c r="L195" s="39">
        <f>IF($B195="","",IFERROR(K195/J195,""))</f>
        <v/>
      </c>
      <c r="M195" s="38">
        <f>IF($B195="","",SUMIFS('目标填报'!$S$4:$S$1500,'目标填报'!$B$4:$B$1500,$B195,'目标填报'!$C$4:$C$1500,$C195,'目标填报'!$D$4:$D$1500,$D195,'目标填报'!$F$4:$F$1500,"销售目标额"))</f>
        <v/>
      </c>
      <c r="N195" s="39">
        <f>IF($B195="","",IFERROR(J195/M195,""))</f>
        <v/>
      </c>
      <c r="O195" s="40">
        <f>IF($B195="","",J195-M195)</f>
        <v/>
      </c>
      <c r="P195" s="38">
        <f>IF($B195="","",SUMPRODUCT(('目标填报'!$B$4:$B$1500=$B195)*('目标填报'!$C$4:$C$1500=$C195)*('目标填报'!$D$4:$D$1500=$D195)*('目标填报'!$F$4:$F$1500="在手订单")*('目标填报'!$G$3:$R$3=$F$1)*'目标填报'!$G$4:$R$1500))</f>
        <v/>
      </c>
      <c r="Q195" s="38">
        <f>IF($B195="","",SUMPRODUCT(('目标填报'!$B$4:$B$1500=$B195)*('目标填报'!$C$4:$C$1500=$C195)*('目标填报'!$D$4:$D$1500=$D195)*('目标填报'!$F$4:$F$1500="在手订单目标")*('目标填报'!$G$3:$R$3=$F$1)*'目标填报'!$G$4:$R$1500))</f>
        <v/>
      </c>
      <c r="R195" s="39">
        <f>IF($B195="","",IFERROR(P195/Q195,""))</f>
        <v/>
      </c>
      <c r="S195" s="38">
        <f>IF($B195="","",SUMPRODUCT(('目标填报'!$B$4:$B$1500=$B195)*('目标填报'!$C$4:$C$1500=$C195)*('目标填报'!$D$4:$D$1500=$D195)*('目标填报'!$F$4:$F$1500="目标客户机会")*('目标填报'!$G$3:$R$3=$F$1)*'目标填报'!$G$4:$R$1500))</f>
        <v/>
      </c>
      <c r="T195" s="38">
        <f>IF($B195="","",SUMPRODUCT(('目标填报'!$B$4:$B$1500=$B195)*('目标填报'!$C$4:$C$1500=$C195)*('目标填报'!$D$4:$D$1500=$D195)*('目标填报'!$F$4:$F$1500="目标客户机会目标")*('目标填报'!$G$3:$R$3=$F$1)*'目标填报'!$G$4:$R$1500))</f>
        <v/>
      </c>
      <c r="U195" s="39">
        <f>IF($B195="","",IFERROR(S195/T195,""))</f>
        <v/>
      </c>
      <c r="V195" s="38">
        <f>IF($B195="","",P195+S195)</f>
        <v/>
      </c>
      <c r="W195" s="38">
        <f>IF($B195="","",M195-J195)</f>
        <v/>
      </c>
      <c r="X195" s="39">
        <f>IF($B195="","",IFERROR(V195/W195,""))</f>
        <v/>
      </c>
      <c r="Y195" s="40">
        <f>IF($B195="","",V195-W195)</f>
        <v/>
      </c>
    </row>
    <row r="196">
      <c r="A196" s="37">
        <f>IF($B196="","",ROW()-3)</f>
        <v/>
      </c>
      <c r="B196" s="13">
        <f>IF(192+1&gt;COUNTA('维度字典'!$C$2:$C$200)*COUNTA('维度字典'!$A$2:$A$200)*COUNTA('维度字典'!$E$2:$E$200),"",INDEX('维度字典'!$C$2:$C$200,MOD(INT(192/(COUNTA('维度字典'!$E$2:$E$200)*COUNTA('维度字典'!$A$2:$A$200))),COUNTA('维度字典'!$C$2:$C$200))+1))</f>
        <v/>
      </c>
      <c r="C196" s="13">
        <f>IF($B196="","",INDEX('维度字典'!$A$2:$A$200,MOD(INT(192/COUNTA('维度字典'!$E$2:$E$200)),COUNTA('维度字典'!$A$2:$A$200))+1))</f>
        <v/>
      </c>
      <c r="D196" s="13">
        <f>IF($B196="","",INDEX('维度字典'!$E$2:$E$200,MOD(192,COUNTA('维度字典'!$E$2:$E$200))+1))</f>
        <v/>
      </c>
      <c r="E196" s="38">
        <f>IF($B196="","",SUMPRODUCT(('系统实绩导入'!$B$4:$B$1500=$B196)*('系统实绩导入'!$C$4:$C$1500=$C196)*('系统实绩导入'!$D$4:$D$1500=$D196)*('系统实绩导入'!$F$4:$F$1500="实绩销售额")*('系统实绩导入'!$G$3:$R$3=$F$1)*'系统实绩导入'!$G$4:$R$1500))</f>
        <v/>
      </c>
      <c r="F196" s="38">
        <f>IF($B196="","",SUMPRODUCT(('系统实绩导入'!$B$4:$B$1500=$B196)*('系统实绩导入'!$C$4:$C$1500=$C196)*('系统实绩导入'!$D$4:$D$1500=$D196)*('系统实绩导入'!$F$4:$F$1500="实绩毛利")*('系统实绩导入'!$G$3:$R$3=$F$1)*'系统实绩导入'!$G$4:$R$1500))</f>
        <v/>
      </c>
      <c r="G196" s="39">
        <f>IF($B196="","",IFERROR(F196/E196,""))</f>
        <v/>
      </c>
      <c r="H196" s="38">
        <f>IF($B196="","",SUMPRODUCT(('目标填报'!$B$4:$B$1500=$B196)*('目标填报'!$C$4:$C$1500=$C196)*('目标填报'!$D$4:$D$1500=$D196)*('目标填报'!$F$4:$F$1500="销售目标额")*('目标填报'!$G$3:$R$3=$F$1)*'目标填报'!$G$4:$R$1500))</f>
        <v/>
      </c>
      <c r="I196" s="39">
        <f>IF($B196="","",IFERROR(E196/H196,""))</f>
        <v/>
      </c>
      <c r="J196" s="38">
        <f>IF($B196="","",SUMPRODUCT(('系统实绩导入'!$B$4:$B$1500=$B196)*('系统实绩导入'!$C$4:$C$1500=$C196)*('系统实绩导入'!$D$4:$D$1500=$D196)*('系统实绩导入'!$F$4:$F$1500="实绩销售额")*('系统实绩导入'!$G$3:$R$3&lt;=$F$1)*'系统实绩导入'!$G$4:$R$1500))</f>
        <v/>
      </c>
      <c r="K196" s="38">
        <f>IF($B196="","",SUMPRODUCT(('系统实绩导入'!$B$4:$B$1500=$B196)*('系统实绩导入'!$C$4:$C$1500=$C196)*('系统实绩导入'!$D$4:$D$1500=$D196)*('系统实绩导入'!$F$4:$F$1500="实绩毛利")*('系统实绩导入'!$G$3:$R$3&lt;=$F$1)*'系统实绩导入'!$G$4:$R$1500))</f>
        <v/>
      </c>
      <c r="L196" s="39">
        <f>IF($B196="","",IFERROR(K196/J196,""))</f>
        <v/>
      </c>
      <c r="M196" s="38">
        <f>IF($B196="","",SUMIFS('目标填报'!$S$4:$S$1500,'目标填报'!$B$4:$B$1500,$B196,'目标填报'!$C$4:$C$1500,$C196,'目标填报'!$D$4:$D$1500,$D196,'目标填报'!$F$4:$F$1500,"销售目标额"))</f>
        <v/>
      </c>
      <c r="N196" s="39">
        <f>IF($B196="","",IFERROR(J196/M196,""))</f>
        <v/>
      </c>
      <c r="O196" s="40">
        <f>IF($B196="","",J196-M196)</f>
        <v/>
      </c>
      <c r="P196" s="38">
        <f>IF($B196="","",SUMPRODUCT(('目标填报'!$B$4:$B$1500=$B196)*('目标填报'!$C$4:$C$1500=$C196)*('目标填报'!$D$4:$D$1500=$D196)*('目标填报'!$F$4:$F$1500="在手订单")*('目标填报'!$G$3:$R$3=$F$1)*'目标填报'!$G$4:$R$1500))</f>
        <v/>
      </c>
      <c r="Q196" s="38">
        <f>IF($B196="","",SUMPRODUCT(('目标填报'!$B$4:$B$1500=$B196)*('目标填报'!$C$4:$C$1500=$C196)*('目标填报'!$D$4:$D$1500=$D196)*('目标填报'!$F$4:$F$1500="在手订单目标")*('目标填报'!$G$3:$R$3=$F$1)*'目标填报'!$G$4:$R$1500))</f>
        <v/>
      </c>
      <c r="R196" s="39">
        <f>IF($B196="","",IFERROR(P196/Q196,""))</f>
        <v/>
      </c>
      <c r="S196" s="38">
        <f>IF($B196="","",SUMPRODUCT(('目标填报'!$B$4:$B$1500=$B196)*('目标填报'!$C$4:$C$1500=$C196)*('目标填报'!$D$4:$D$1500=$D196)*('目标填报'!$F$4:$F$1500="目标客户机会")*('目标填报'!$G$3:$R$3=$F$1)*'目标填报'!$G$4:$R$1500))</f>
        <v/>
      </c>
      <c r="T196" s="38">
        <f>IF($B196="","",SUMPRODUCT(('目标填报'!$B$4:$B$1500=$B196)*('目标填报'!$C$4:$C$1500=$C196)*('目标填报'!$D$4:$D$1500=$D196)*('目标填报'!$F$4:$F$1500="目标客户机会目标")*('目标填报'!$G$3:$R$3=$F$1)*'目标填报'!$G$4:$R$1500))</f>
        <v/>
      </c>
      <c r="U196" s="39">
        <f>IF($B196="","",IFERROR(S196/T196,""))</f>
        <v/>
      </c>
      <c r="V196" s="38">
        <f>IF($B196="","",P196+S196)</f>
        <v/>
      </c>
      <c r="W196" s="38">
        <f>IF($B196="","",M196-J196)</f>
        <v/>
      </c>
      <c r="X196" s="39">
        <f>IF($B196="","",IFERROR(V196/W196,""))</f>
        <v/>
      </c>
      <c r="Y196" s="40">
        <f>IF($B196="","",V196-W196)</f>
        <v/>
      </c>
    </row>
    <row r="197">
      <c r="A197" s="37">
        <f>IF($B197="","",ROW()-3)</f>
        <v/>
      </c>
      <c r="B197" s="13">
        <f>IF(193+1&gt;COUNTA('维度字典'!$C$2:$C$200)*COUNTA('维度字典'!$A$2:$A$200)*COUNTA('维度字典'!$E$2:$E$200),"",INDEX('维度字典'!$C$2:$C$200,MOD(INT(193/(COUNTA('维度字典'!$E$2:$E$200)*COUNTA('维度字典'!$A$2:$A$200))),COUNTA('维度字典'!$C$2:$C$200))+1))</f>
        <v/>
      </c>
      <c r="C197" s="13">
        <f>IF($B197="","",INDEX('维度字典'!$A$2:$A$200,MOD(INT(193/COUNTA('维度字典'!$E$2:$E$200)),COUNTA('维度字典'!$A$2:$A$200))+1))</f>
        <v/>
      </c>
      <c r="D197" s="13">
        <f>IF($B197="","",INDEX('维度字典'!$E$2:$E$200,MOD(193,COUNTA('维度字典'!$E$2:$E$200))+1))</f>
        <v/>
      </c>
      <c r="E197" s="38">
        <f>IF($B197="","",SUMPRODUCT(('系统实绩导入'!$B$4:$B$1500=$B197)*('系统实绩导入'!$C$4:$C$1500=$C197)*('系统实绩导入'!$D$4:$D$1500=$D197)*('系统实绩导入'!$F$4:$F$1500="实绩销售额")*('系统实绩导入'!$G$3:$R$3=$F$1)*'系统实绩导入'!$G$4:$R$1500))</f>
        <v/>
      </c>
      <c r="F197" s="38">
        <f>IF($B197="","",SUMPRODUCT(('系统实绩导入'!$B$4:$B$1500=$B197)*('系统实绩导入'!$C$4:$C$1500=$C197)*('系统实绩导入'!$D$4:$D$1500=$D197)*('系统实绩导入'!$F$4:$F$1500="实绩毛利")*('系统实绩导入'!$G$3:$R$3=$F$1)*'系统实绩导入'!$G$4:$R$1500))</f>
        <v/>
      </c>
      <c r="G197" s="39">
        <f>IF($B197="","",IFERROR(F197/E197,""))</f>
        <v/>
      </c>
      <c r="H197" s="38">
        <f>IF($B197="","",SUMPRODUCT(('目标填报'!$B$4:$B$1500=$B197)*('目标填报'!$C$4:$C$1500=$C197)*('目标填报'!$D$4:$D$1500=$D197)*('目标填报'!$F$4:$F$1500="销售目标额")*('目标填报'!$G$3:$R$3=$F$1)*'目标填报'!$G$4:$R$1500))</f>
        <v/>
      </c>
      <c r="I197" s="39">
        <f>IF($B197="","",IFERROR(E197/H197,""))</f>
        <v/>
      </c>
      <c r="J197" s="38">
        <f>IF($B197="","",SUMPRODUCT(('系统实绩导入'!$B$4:$B$1500=$B197)*('系统实绩导入'!$C$4:$C$1500=$C197)*('系统实绩导入'!$D$4:$D$1500=$D197)*('系统实绩导入'!$F$4:$F$1500="实绩销售额")*('系统实绩导入'!$G$3:$R$3&lt;=$F$1)*'系统实绩导入'!$G$4:$R$1500))</f>
        <v/>
      </c>
      <c r="K197" s="38">
        <f>IF($B197="","",SUMPRODUCT(('系统实绩导入'!$B$4:$B$1500=$B197)*('系统实绩导入'!$C$4:$C$1500=$C197)*('系统实绩导入'!$D$4:$D$1500=$D197)*('系统实绩导入'!$F$4:$F$1500="实绩毛利")*('系统实绩导入'!$G$3:$R$3&lt;=$F$1)*'系统实绩导入'!$G$4:$R$1500))</f>
        <v/>
      </c>
      <c r="L197" s="39">
        <f>IF($B197="","",IFERROR(K197/J197,""))</f>
        <v/>
      </c>
      <c r="M197" s="38">
        <f>IF($B197="","",SUMIFS('目标填报'!$S$4:$S$1500,'目标填报'!$B$4:$B$1500,$B197,'目标填报'!$C$4:$C$1500,$C197,'目标填报'!$D$4:$D$1500,$D197,'目标填报'!$F$4:$F$1500,"销售目标额"))</f>
        <v/>
      </c>
      <c r="N197" s="39">
        <f>IF($B197="","",IFERROR(J197/M197,""))</f>
        <v/>
      </c>
      <c r="O197" s="40">
        <f>IF($B197="","",J197-M197)</f>
        <v/>
      </c>
      <c r="P197" s="38">
        <f>IF($B197="","",SUMPRODUCT(('目标填报'!$B$4:$B$1500=$B197)*('目标填报'!$C$4:$C$1500=$C197)*('目标填报'!$D$4:$D$1500=$D197)*('目标填报'!$F$4:$F$1500="在手订单")*('目标填报'!$G$3:$R$3=$F$1)*'目标填报'!$G$4:$R$1500))</f>
        <v/>
      </c>
      <c r="Q197" s="38">
        <f>IF($B197="","",SUMPRODUCT(('目标填报'!$B$4:$B$1500=$B197)*('目标填报'!$C$4:$C$1500=$C197)*('目标填报'!$D$4:$D$1500=$D197)*('目标填报'!$F$4:$F$1500="在手订单目标")*('目标填报'!$G$3:$R$3=$F$1)*'目标填报'!$G$4:$R$1500))</f>
        <v/>
      </c>
      <c r="R197" s="39">
        <f>IF($B197="","",IFERROR(P197/Q197,""))</f>
        <v/>
      </c>
      <c r="S197" s="38">
        <f>IF($B197="","",SUMPRODUCT(('目标填报'!$B$4:$B$1500=$B197)*('目标填报'!$C$4:$C$1500=$C197)*('目标填报'!$D$4:$D$1500=$D197)*('目标填报'!$F$4:$F$1500="目标客户机会")*('目标填报'!$G$3:$R$3=$F$1)*'目标填报'!$G$4:$R$1500))</f>
        <v/>
      </c>
      <c r="T197" s="38">
        <f>IF($B197="","",SUMPRODUCT(('目标填报'!$B$4:$B$1500=$B197)*('目标填报'!$C$4:$C$1500=$C197)*('目标填报'!$D$4:$D$1500=$D197)*('目标填报'!$F$4:$F$1500="目标客户机会目标")*('目标填报'!$G$3:$R$3=$F$1)*'目标填报'!$G$4:$R$1500))</f>
        <v/>
      </c>
      <c r="U197" s="39">
        <f>IF($B197="","",IFERROR(S197/T197,""))</f>
        <v/>
      </c>
      <c r="V197" s="38">
        <f>IF($B197="","",P197+S197)</f>
        <v/>
      </c>
      <c r="W197" s="38">
        <f>IF($B197="","",M197-J197)</f>
        <v/>
      </c>
      <c r="X197" s="39">
        <f>IF($B197="","",IFERROR(V197/W197,""))</f>
        <v/>
      </c>
      <c r="Y197" s="40">
        <f>IF($B197="","",V197-W197)</f>
        <v/>
      </c>
    </row>
    <row r="198">
      <c r="A198" s="37">
        <f>IF($B198="","",ROW()-3)</f>
        <v/>
      </c>
      <c r="B198" s="13">
        <f>IF(194+1&gt;COUNTA('维度字典'!$C$2:$C$200)*COUNTA('维度字典'!$A$2:$A$200)*COUNTA('维度字典'!$E$2:$E$200),"",INDEX('维度字典'!$C$2:$C$200,MOD(INT(194/(COUNTA('维度字典'!$E$2:$E$200)*COUNTA('维度字典'!$A$2:$A$200))),COUNTA('维度字典'!$C$2:$C$200))+1))</f>
        <v/>
      </c>
      <c r="C198" s="13">
        <f>IF($B198="","",INDEX('维度字典'!$A$2:$A$200,MOD(INT(194/COUNTA('维度字典'!$E$2:$E$200)),COUNTA('维度字典'!$A$2:$A$200))+1))</f>
        <v/>
      </c>
      <c r="D198" s="13">
        <f>IF($B198="","",INDEX('维度字典'!$E$2:$E$200,MOD(194,COUNTA('维度字典'!$E$2:$E$200))+1))</f>
        <v/>
      </c>
      <c r="E198" s="38">
        <f>IF($B198="","",SUMPRODUCT(('系统实绩导入'!$B$4:$B$1500=$B198)*('系统实绩导入'!$C$4:$C$1500=$C198)*('系统实绩导入'!$D$4:$D$1500=$D198)*('系统实绩导入'!$F$4:$F$1500="实绩销售额")*('系统实绩导入'!$G$3:$R$3=$F$1)*'系统实绩导入'!$G$4:$R$1500))</f>
        <v/>
      </c>
      <c r="F198" s="38">
        <f>IF($B198="","",SUMPRODUCT(('系统实绩导入'!$B$4:$B$1500=$B198)*('系统实绩导入'!$C$4:$C$1500=$C198)*('系统实绩导入'!$D$4:$D$1500=$D198)*('系统实绩导入'!$F$4:$F$1500="实绩毛利")*('系统实绩导入'!$G$3:$R$3=$F$1)*'系统实绩导入'!$G$4:$R$1500))</f>
        <v/>
      </c>
      <c r="G198" s="39">
        <f>IF($B198="","",IFERROR(F198/E198,""))</f>
        <v/>
      </c>
      <c r="H198" s="38">
        <f>IF($B198="","",SUMPRODUCT(('目标填报'!$B$4:$B$1500=$B198)*('目标填报'!$C$4:$C$1500=$C198)*('目标填报'!$D$4:$D$1500=$D198)*('目标填报'!$F$4:$F$1500="销售目标额")*('目标填报'!$G$3:$R$3=$F$1)*'目标填报'!$G$4:$R$1500))</f>
        <v/>
      </c>
      <c r="I198" s="39">
        <f>IF($B198="","",IFERROR(E198/H198,""))</f>
        <v/>
      </c>
      <c r="J198" s="38">
        <f>IF($B198="","",SUMPRODUCT(('系统实绩导入'!$B$4:$B$1500=$B198)*('系统实绩导入'!$C$4:$C$1500=$C198)*('系统实绩导入'!$D$4:$D$1500=$D198)*('系统实绩导入'!$F$4:$F$1500="实绩销售额")*('系统实绩导入'!$G$3:$R$3&lt;=$F$1)*'系统实绩导入'!$G$4:$R$1500))</f>
        <v/>
      </c>
      <c r="K198" s="38">
        <f>IF($B198="","",SUMPRODUCT(('系统实绩导入'!$B$4:$B$1500=$B198)*('系统实绩导入'!$C$4:$C$1500=$C198)*('系统实绩导入'!$D$4:$D$1500=$D198)*('系统实绩导入'!$F$4:$F$1500="实绩毛利")*('系统实绩导入'!$G$3:$R$3&lt;=$F$1)*'系统实绩导入'!$G$4:$R$1500))</f>
        <v/>
      </c>
      <c r="L198" s="39">
        <f>IF($B198="","",IFERROR(K198/J198,""))</f>
        <v/>
      </c>
      <c r="M198" s="38">
        <f>IF($B198="","",SUMIFS('目标填报'!$S$4:$S$1500,'目标填报'!$B$4:$B$1500,$B198,'目标填报'!$C$4:$C$1500,$C198,'目标填报'!$D$4:$D$1500,$D198,'目标填报'!$F$4:$F$1500,"销售目标额"))</f>
        <v/>
      </c>
      <c r="N198" s="39">
        <f>IF($B198="","",IFERROR(J198/M198,""))</f>
        <v/>
      </c>
      <c r="O198" s="40">
        <f>IF($B198="","",J198-M198)</f>
        <v/>
      </c>
      <c r="P198" s="38">
        <f>IF($B198="","",SUMPRODUCT(('目标填报'!$B$4:$B$1500=$B198)*('目标填报'!$C$4:$C$1500=$C198)*('目标填报'!$D$4:$D$1500=$D198)*('目标填报'!$F$4:$F$1500="在手订单")*('目标填报'!$G$3:$R$3=$F$1)*'目标填报'!$G$4:$R$1500))</f>
        <v/>
      </c>
      <c r="Q198" s="38">
        <f>IF($B198="","",SUMPRODUCT(('目标填报'!$B$4:$B$1500=$B198)*('目标填报'!$C$4:$C$1500=$C198)*('目标填报'!$D$4:$D$1500=$D198)*('目标填报'!$F$4:$F$1500="在手订单目标")*('目标填报'!$G$3:$R$3=$F$1)*'目标填报'!$G$4:$R$1500))</f>
        <v/>
      </c>
      <c r="R198" s="39">
        <f>IF($B198="","",IFERROR(P198/Q198,""))</f>
        <v/>
      </c>
      <c r="S198" s="38">
        <f>IF($B198="","",SUMPRODUCT(('目标填报'!$B$4:$B$1500=$B198)*('目标填报'!$C$4:$C$1500=$C198)*('目标填报'!$D$4:$D$1500=$D198)*('目标填报'!$F$4:$F$1500="目标客户机会")*('目标填报'!$G$3:$R$3=$F$1)*'目标填报'!$G$4:$R$1500))</f>
        <v/>
      </c>
      <c r="T198" s="38">
        <f>IF($B198="","",SUMPRODUCT(('目标填报'!$B$4:$B$1500=$B198)*('目标填报'!$C$4:$C$1500=$C198)*('目标填报'!$D$4:$D$1500=$D198)*('目标填报'!$F$4:$F$1500="目标客户机会目标")*('目标填报'!$G$3:$R$3=$F$1)*'目标填报'!$G$4:$R$1500))</f>
        <v/>
      </c>
      <c r="U198" s="39">
        <f>IF($B198="","",IFERROR(S198/T198,""))</f>
        <v/>
      </c>
      <c r="V198" s="38">
        <f>IF($B198="","",P198+S198)</f>
        <v/>
      </c>
      <c r="W198" s="38">
        <f>IF($B198="","",M198-J198)</f>
        <v/>
      </c>
      <c r="X198" s="39">
        <f>IF($B198="","",IFERROR(V198/W198,""))</f>
        <v/>
      </c>
      <c r="Y198" s="40">
        <f>IF($B198="","",V198-W198)</f>
        <v/>
      </c>
    </row>
    <row r="199">
      <c r="A199" s="37">
        <f>IF($B199="","",ROW()-3)</f>
        <v/>
      </c>
      <c r="B199" s="13">
        <f>IF(195+1&gt;COUNTA('维度字典'!$C$2:$C$200)*COUNTA('维度字典'!$A$2:$A$200)*COUNTA('维度字典'!$E$2:$E$200),"",INDEX('维度字典'!$C$2:$C$200,MOD(INT(195/(COUNTA('维度字典'!$E$2:$E$200)*COUNTA('维度字典'!$A$2:$A$200))),COUNTA('维度字典'!$C$2:$C$200))+1))</f>
        <v/>
      </c>
      <c r="C199" s="13">
        <f>IF($B199="","",INDEX('维度字典'!$A$2:$A$200,MOD(INT(195/COUNTA('维度字典'!$E$2:$E$200)),COUNTA('维度字典'!$A$2:$A$200))+1))</f>
        <v/>
      </c>
      <c r="D199" s="13">
        <f>IF($B199="","",INDEX('维度字典'!$E$2:$E$200,MOD(195,COUNTA('维度字典'!$E$2:$E$200))+1))</f>
        <v/>
      </c>
      <c r="E199" s="38">
        <f>IF($B199="","",SUMPRODUCT(('系统实绩导入'!$B$4:$B$1500=$B199)*('系统实绩导入'!$C$4:$C$1500=$C199)*('系统实绩导入'!$D$4:$D$1500=$D199)*('系统实绩导入'!$F$4:$F$1500="实绩销售额")*('系统实绩导入'!$G$3:$R$3=$F$1)*'系统实绩导入'!$G$4:$R$1500))</f>
        <v/>
      </c>
      <c r="F199" s="38">
        <f>IF($B199="","",SUMPRODUCT(('系统实绩导入'!$B$4:$B$1500=$B199)*('系统实绩导入'!$C$4:$C$1500=$C199)*('系统实绩导入'!$D$4:$D$1500=$D199)*('系统实绩导入'!$F$4:$F$1500="实绩毛利")*('系统实绩导入'!$G$3:$R$3=$F$1)*'系统实绩导入'!$G$4:$R$1500))</f>
        <v/>
      </c>
      <c r="G199" s="39">
        <f>IF($B199="","",IFERROR(F199/E199,""))</f>
        <v/>
      </c>
      <c r="H199" s="38">
        <f>IF($B199="","",SUMPRODUCT(('目标填报'!$B$4:$B$1500=$B199)*('目标填报'!$C$4:$C$1500=$C199)*('目标填报'!$D$4:$D$1500=$D199)*('目标填报'!$F$4:$F$1500="销售目标额")*('目标填报'!$G$3:$R$3=$F$1)*'目标填报'!$G$4:$R$1500))</f>
        <v/>
      </c>
      <c r="I199" s="39">
        <f>IF($B199="","",IFERROR(E199/H199,""))</f>
        <v/>
      </c>
      <c r="J199" s="38">
        <f>IF($B199="","",SUMPRODUCT(('系统实绩导入'!$B$4:$B$1500=$B199)*('系统实绩导入'!$C$4:$C$1500=$C199)*('系统实绩导入'!$D$4:$D$1500=$D199)*('系统实绩导入'!$F$4:$F$1500="实绩销售额")*('系统实绩导入'!$G$3:$R$3&lt;=$F$1)*'系统实绩导入'!$G$4:$R$1500))</f>
        <v/>
      </c>
      <c r="K199" s="38">
        <f>IF($B199="","",SUMPRODUCT(('系统实绩导入'!$B$4:$B$1500=$B199)*('系统实绩导入'!$C$4:$C$1500=$C199)*('系统实绩导入'!$D$4:$D$1500=$D199)*('系统实绩导入'!$F$4:$F$1500="实绩毛利")*('系统实绩导入'!$G$3:$R$3&lt;=$F$1)*'系统实绩导入'!$G$4:$R$1500))</f>
        <v/>
      </c>
      <c r="L199" s="39">
        <f>IF($B199="","",IFERROR(K199/J199,""))</f>
        <v/>
      </c>
      <c r="M199" s="38">
        <f>IF($B199="","",SUMIFS('目标填报'!$S$4:$S$1500,'目标填报'!$B$4:$B$1500,$B199,'目标填报'!$C$4:$C$1500,$C199,'目标填报'!$D$4:$D$1500,$D199,'目标填报'!$F$4:$F$1500,"销售目标额"))</f>
        <v/>
      </c>
      <c r="N199" s="39">
        <f>IF($B199="","",IFERROR(J199/M199,""))</f>
        <v/>
      </c>
      <c r="O199" s="40">
        <f>IF($B199="","",J199-M199)</f>
        <v/>
      </c>
      <c r="P199" s="38">
        <f>IF($B199="","",SUMPRODUCT(('目标填报'!$B$4:$B$1500=$B199)*('目标填报'!$C$4:$C$1500=$C199)*('目标填报'!$D$4:$D$1500=$D199)*('目标填报'!$F$4:$F$1500="在手订单")*('目标填报'!$G$3:$R$3=$F$1)*'目标填报'!$G$4:$R$1500))</f>
        <v/>
      </c>
      <c r="Q199" s="38">
        <f>IF($B199="","",SUMPRODUCT(('目标填报'!$B$4:$B$1500=$B199)*('目标填报'!$C$4:$C$1500=$C199)*('目标填报'!$D$4:$D$1500=$D199)*('目标填报'!$F$4:$F$1500="在手订单目标")*('目标填报'!$G$3:$R$3=$F$1)*'目标填报'!$G$4:$R$1500))</f>
        <v/>
      </c>
      <c r="R199" s="39">
        <f>IF($B199="","",IFERROR(P199/Q199,""))</f>
        <v/>
      </c>
      <c r="S199" s="38">
        <f>IF($B199="","",SUMPRODUCT(('目标填报'!$B$4:$B$1500=$B199)*('目标填报'!$C$4:$C$1500=$C199)*('目标填报'!$D$4:$D$1500=$D199)*('目标填报'!$F$4:$F$1500="目标客户机会")*('目标填报'!$G$3:$R$3=$F$1)*'目标填报'!$G$4:$R$1500))</f>
        <v/>
      </c>
      <c r="T199" s="38">
        <f>IF($B199="","",SUMPRODUCT(('目标填报'!$B$4:$B$1500=$B199)*('目标填报'!$C$4:$C$1500=$C199)*('目标填报'!$D$4:$D$1500=$D199)*('目标填报'!$F$4:$F$1500="目标客户机会目标")*('目标填报'!$G$3:$R$3=$F$1)*'目标填报'!$G$4:$R$1500))</f>
        <v/>
      </c>
      <c r="U199" s="39">
        <f>IF($B199="","",IFERROR(S199/T199,""))</f>
        <v/>
      </c>
      <c r="V199" s="38">
        <f>IF($B199="","",P199+S199)</f>
        <v/>
      </c>
      <c r="W199" s="38">
        <f>IF($B199="","",M199-J199)</f>
        <v/>
      </c>
      <c r="X199" s="39">
        <f>IF($B199="","",IFERROR(V199/W199,""))</f>
        <v/>
      </c>
      <c r="Y199" s="40">
        <f>IF($B199="","",V199-W199)</f>
        <v/>
      </c>
    </row>
    <row r="200">
      <c r="A200" s="37">
        <f>IF($B200="","",ROW()-3)</f>
        <v/>
      </c>
      <c r="B200" s="13">
        <f>IF(196+1&gt;COUNTA('维度字典'!$C$2:$C$200)*COUNTA('维度字典'!$A$2:$A$200)*COUNTA('维度字典'!$E$2:$E$200),"",INDEX('维度字典'!$C$2:$C$200,MOD(INT(196/(COUNTA('维度字典'!$E$2:$E$200)*COUNTA('维度字典'!$A$2:$A$200))),COUNTA('维度字典'!$C$2:$C$200))+1))</f>
        <v/>
      </c>
      <c r="C200" s="13">
        <f>IF($B200="","",INDEX('维度字典'!$A$2:$A$200,MOD(INT(196/COUNTA('维度字典'!$E$2:$E$200)),COUNTA('维度字典'!$A$2:$A$200))+1))</f>
        <v/>
      </c>
      <c r="D200" s="13">
        <f>IF($B200="","",INDEX('维度字典'!$E$2:$E$200,MOD(196,COUNTA('维度字典'!$E$2:$E$200))+1))</f>
        <v/>
      </c>
      <c r="E200" s="38">
        <f>IF($B200="","",SUMPRODUCT(('系统实绩导入'!$B$4:$B$1500=$B200)*('系统实绩导入'!$C$4:$C$1500=$C200)*('系统实绩导入'!$D$4:$D$1500=$D200)*('系统实绩导入'!$F$4:$F$1500="实绩销售额")*('系统实绩导入'!$G$3:$R$3=$F$1)*'系统实绩导入'!$G$4:$R$1500))</f>
        <v/>
      </c>
      <c r="F200" s="38">
        <f>IF($B200="","",SUMPRODUCT(('系统实绩导入'!$B$4:$B$1500=$B200)*('系统实绩导入'!$C$4:$C$1500=$C200)*('系统实绩导入'!$D$4:$D$1500=$D200)*('系统实绩导入'!$F$4:$F$1500="实绩毛利")*('系统实绩导入'!$G$3:$R$3=$F$1)*'系统实绩导入'!$G$4:$R$1500))</f>
        <v/>
      </c>
      <c r="G200" s="39">
        <f>IF($B200="","",IFERROR(F200/E200,""))</f>
        <v/>
      </c>
      <c r="H200" s="38">
        <f>IF($B200="","",SUMPRODUCT(('目标填报'!$B$4:$B$1500=$B200)*('目标填报'!$C$4:$C$1500=$C200)*('目标填报'!$D$4:$D$1500=$D200)*('目标填报'!$F$4:$F$1500="销售目标额")*('目标填报'!$G$3:$R$3=$F$1)*'目标填报'!$G$4:$R$1500))</f>
        <v/>
      </c>
      <c r="I200" s="39">
        <f>IF($B200="","",IFERROR(E200/H200,""))</f>
        <v/>
      </c>
      <c r="J200" s="38">
        <f>IF($B200="","",SUMPRODUCT(('系统实绩导入'!$B$4:$B$1500=$B200)*('系统实绩导入'!$C$4:$C$1500=$C200)*('系统实绩导入'!$D$4:$D$1500=$D200)*('系统实绩导入'!$F$4:$F$1500="实绩销售额")*('系统实绩导入'!$G$3:$R$3&lt;=$F$1)*'系统实绩导入'!$G$4:$R$1500))</f>
        <v/>
      </c>
      <c r="K200" s="38">
        <f>IF($B200="","",SUMPRODUCT(('系统实绩导入'!$B$4:$B$1500=$B200)*('系统实绩导入'!$C$4:$C$1500=$C200)*('系统实绩导入'!$D$4:$D$1500=$D200)*('系统实绩导入'!$F$4:$F$1500="实绩毛利")*('系统实绩导入'!$G$3:$R$3&lt;=$F$1)*'系统实绩导入'!$G$4:$R$1500))</f>
        <v/>
      </c>
      <c r="L200" s="39">
        <f>IF($B200="","",IFERROR(K200/J200,""))</f>
        <v/>
      </c>
      <c r="M200" s="38">
        <f>IF($B200="","",SUMIFS('目标填报'!$S$4:$S$1500,'目标填报'!$B$4:$B$1500,$B200,'目标填报'!$C$4:$C$1500,$C200,'目标填报'!$D$4:$D$1500,$D200,'目标填报'!$F$4:$F$1500,"销售目标额"))</f>
        <v/>
      </c>
      <c r="N200" s="39">
        <f>IF($B200="","",IFERROR(J200/M200,""))</f>
        <v/>
      </c>
      <c r="O200" s="40">
        <f>IF($B200="","",J200-M200)</f>
        <v/>
      </c>
      <c r="P200" s="38">
        <f>IF($B200="","",SUMPRODUCT(('目标填报'!$B$4:$B$1500=$B200)*('目标填报'!$C$4:$C$1500=$C200)*('目标填报'!$D$4:$D$1500=$D200)*('目标填报'!$F$4:$F$1500="在手订单")*('目标填报'!$G$3:$R$3=$F$1)*'目标填报'!$G$4:$R$1500))</f>
        <v/>
      </c>
      <c r="Q200" s="38">
        <f>IF($B200="","",SUMPRODUCT(('目标填报'!$B$4:$B$1500=$B200)*('目标填报'!$C$4:$C$1500=$C200)*('目标填报'!$D$4:$D$1500=$D200)*('目标填报'!$F$4:$F$1500="在手订单目标")*('目标填报'!$G$3:$R$3=$F$1)*'目标填报'!$G$4:$R$1500))</f>
        <v/>
      </c>
      <c r="R200" s="39">
        <f>IF($B200="","",IFERROR(P200/Q200,""))</f>
        <v/>
      </c>
      <c r="S200" s="38">
        <f>IF($B200="","",SUMPRODUCT(('目标填报'!$B$4:$B$1500=$B200)*('目标填报'!$C$4:$C$1500=$C200)*('目标填报'!$D$4:$D$1500=$D200)*('目标填报'!$F$4:$F$1500="目标客户机会")*('目标填报'!$G$3:$R$3=$F$1)*'目标填报'!$G$4:$R$1500))</f>
        <v/>
      </c>
      <c r="T200" s="38">
        <f>IF($B200="","",SUMPRODUCT(('目标填报'!$B$4:$B$1500=$B200)*('目标填报'!$C$4:$C$1500=$C200)*('目标填报'!$D$4:$D$1500=$D200)*('目标填报'!$F$4:$F$1500="目标客户机会目标")*('目标填报'!$G$3:$R$3=$F$1)*'目标填报'!$G$4:$R$1500))</f>
        <v/>
      </c>
      <c r="U200" s="39">
        <f>IF($B200="","",IFERROR(S200/T200,""))</f>
        <v/>
      </c>
      <c r="V200" s="38">
        <f>IF($B200="","",P200+S200)</f>
        <v/>
      </c>
      <c r="W200" s="38">
        <f>IF($B200="","",M200-J200)</f>
        <v/>
      </c>
      <c r="X200" s="39">
        <f>IF($B200="","",IFERROR(V200/W200,""))</f>
        <v/>
      </c>
      <c r="Y200" s="40">
        <f>IF($B200="","",V200-W200)</f>
        <v/>
      </c>
    </row>
    <row r="201">
      <c r="A201" s="37">
        <f>IF($B201="","",ROW()-3)</f>
        <v/>
      </c>
      <c r="B201" s="13">
        <f>IF(197+1&gt;COUNTA('维度字典'!$C$2:$C$200)*COUNTA('维度字典'!$A$2:$A$200)*COUNTA('维度字典'!$E$2:$E$200),"",INDEX('维度字典'!$C$2:$C$200,MOD(INT(197/(COUNTA('维度字典'!$E$2:$E$200)*COUNTA('维度字典'!$A$2:$A$200))),COUNTA('维度字典'!$C$2:$C$200))+1))</f>
        <v/>
      </c>
      <c r="C201" s="13">
        <f>IF($B201="","",INDEX('维度字典'!$A$2:$A$200,MOD(INT(197/COUNTA('维度字典'!$E$2:$E$200)),COUNTA('维度字典'!$A$2:$A$200))+1))</f>
        <v/>
      </c>
      <c r="D201" s="13">
        <f>IF($B201="","",INDEX('维度字典'!$E$2:$E$200,MOD(197,COUNTA('维度字典'!$E$2:$E$200))+1))</f>
        <v/>
      </c>
      <c r="E201" s="38">
        <f>IF($B201="","",SUMPRODUCT(('系统实绩导入'!$B$4:$B$1500=$B201)*('系统实绩导入'!$C$4:$C$1500=$C201)*('系统实绩导入'!$D$4:$D$1500=$D201)*('系统实绩导入'!$F$4:$F$1500="实绩销售额")*('系统实绩导入'!$G$3:$R$3=$F$1)*'系统实绩导入'!$G$4:$R$1500))</f>
        <v/>
      </c>
      <c r="F201" s="38">
        <f>IF($B201="","",SUMPRODUCT(('系统实绩导入'!$B$4:$B$1500=$B201)*('系统实绩导入'!$C$4:$C$1500=$C201)*('系统实绩导入'!$D$4:$D$1500=$D201)*('系统实绩导入'!$F$4:$F$1500="实绩毛利")*('系统实绩导入'!$G$3:$R$3=$F$1)*'系统实绩导入'!$G$4:$R$1500))</f>
        <v/>
      </c>
      <c r="G201" s="39">
        <f>IF($B201="","",IFERROR(F201/E201,""))</f>
        <v/>
      </c>
      <c r="H201" s="38">
        <f>IF($B201="","",SUMPRODUCT(('目标填报'!$B$4:$B$1500=$B201)*('目标填报'!$C$4:$C$1500=$C201)*('目标填报'!$D$4:$D$1500=$D201)*('目标填报'!$F$4:$F$1500="销售目标额")*('目标填报'!$G$3:$R$3=$F$1)*'目标填报'!$G$4:$R$1500))</f>
        <v/>
      </c>
      <c r="I201" s="39">
        <f>IF($B201="","",IFERROR(E201/H201,""))</f>
        <v/>
      </c>
      <c r="J201" s="38">
        <f>IF($B201="","",SUMPRODUCT(('系统实绩导入'!$B$4:$B$1500=$B201)*('系统实绩导入'!$C$4:$C$1500=$C201)*('系统实绩导入'!$D$4:$D$1500=$D201)*('系统实绩导入'!$F$4:$F$1500="实绩销售额")*('系统实绩导入'!$G$3:$R$3&lt;=$F$1)*'系统实绩导入'!$G$4:$R$1500))</f>
        <v/>
      </c>
      <c r="K201" s="38">
        <f>IF($B201="","",SUMPRODUCT(('系统实绩导入'!$B$4:$B$1500=$B201)*('系统实绩导入'!$C$4:$C$1500=$C201)*('系统实绩导入'!$D$4:$D$1500=$D201)*('系统实绩导入'!$F$4:$F$1500="实绩毛利")*('系统实绩导入'!$G$3:$R$3&lt;=$F$1)*'系统实绩导入'!$G$4:$R$1500))</f>
        <v/>
      </c>
      <c r="L201" s="39">
        <f>IF($B201="","",IFERROR(K201/J201,""))</f>
        <v/>
      </c>
      <c r="M201" s="38">
        <f>IF($B201="","",SUMIFS('目标填报'!$S$4:$S$1500,'目标填报'!$B$4:$B$1500,$B201,'目标填报'!$C$4:$C$1500,$C201,'目标填报'!$D$4:$D$1500,$D201,'目标填报'!$F$4:$F$1500,"销售目标额"))</f>
        <v/>
      </c>
      <c r="N201" s="39">
        <f>IF($B201="","",IFERROR(J201/M201,""))</f>
        <v/>
      </c>
      <c r="O201" s="40">
        <f>IF($B201="","",J201-M201)</f>
        <v/>
      </c>
      <c r="P201" s="38">
        <f>IF($B201="","",SUMPRODUCT(('目标填报'!$B$4:$B$1500=$B201)*('目标填报'!$C$4:$C$1500=$C201)*('目标填报'!$D$4:$D$1500=$D201)*('目标填报'!$F$4:$F$1500="在手订单")*('目标填报'!$G$3:$R$3=$F$1)*'目标填报'!$G$4:$R$1500))</f>
        <v/>
      </c>
      <c r="Q201" s="38">
        <f>IF($B201="","",SUMPRODUCT(('目标填报'!$B$4:$B$1500=$B201)*('目标填报'!$C$4:$C$1500=$C201)*('目标填报'!$D$4:$D$1500=$D201)*('目标填报'!$F$4:$F$1500="在手订单目标")*('目标填报'!$G$3:$R$3=$F$1)*'目标填报'!$G$4:$R$1500))</f>
        <v/>
      </c>
      <c r="R201" s="39">
        <f>IF($B201="","",IFERROR(P201/Q201,""))</f>
        <v/>
      </c>
      <c r="S201" s="38">
        <f>IF($B201="","",SUMPRODUCT(('目标填报'!$B$4:$B$1500=$B201)*('目标填报'!$C$4:$C$1500=$C201)*('目标填报'!$D$4:$D$1500=$D201)*('目标填报'!$F$4:$F$1500="目标客户机会")*('目标填报'!$G$3:$R$3=$F$1)*'目标填报'!$G$4:$R$1500))</f>
        <v/>
      </c>
      <c r="T201" s="38">
        <f>IF($B201="","",SUMPRODUCT(('目标填报'!$B$4:$B$1500=$B201)*('目标填报'!$C$4:$C$1500=$C201)*('目标填报'!$D$4:$D$1500=$D201)*('目标填报'!$F$4:$F$1500="目标客户机会目标")*('目标填报'!$G$3:$R$3=$F$1)*'目标填报'!$G$4:$R$1500))</f>
        <v/>
      </c>
      <c r="U201" s="39">
        <f>IF($B201="","",IFERROR(S201/T201,""))</f>
        <v/>
      </c>
      <c r="V201" s="38">
        <f>IF($B201="","",P201+S201)</f>
        <v/>
      </c>
      <c r="W201" s="38">
        <f>IF($B201="","",M201-J201)</f>
        <v/>
      </c>
      <c r="X201" s="39">
        <f>IF($B201="","",IFERROR(V201/W201,""))</f>
        <v/>
      </c>
      <c r="Y201" s="40">
        <f>IF($B201="","",V201-W201)</f>
        <v/>
      </c>
    </row>
    <row r="202">
      <c r="A202" s="37">
        <f>IF($B202="","",ROW()-3)</f>
        <v/>
      </c>
      <c r="B202" s="13">
        <f>IF(198+1&gt;COUNTA('维度字典'!$C$2:$C$200)*COUNTA('维度字典'!$A$2:$A$200)*COUNTA('维度字典'!$E$2:$E$200),"",INDEX('维度字典'!$C$2:$C$200,MOD(INT(198/(COUNTA('维度字典'!$E$2:$E$200)*COUNTA('维度字典'!$A$2:$A$200))),COUNTA('维度字典'!$C$2:$C$200))+1))</f>
        <v/>
      </c>
      <c r="C202" s="13">
        <f>IF($B202="","",INDEX('维度字典'!$A$2:$A$200,MOD(INT(198/COUNTA('维度字典'!$E$2:$E$200)),COUNTA('维度字典'!$A$2:$A$200))+1))</f>
        <v/>
      </c>
      <c r="D202" s="13">
        <f>IF($B202="","",INDEX('维度字典'!$E$2:$E$200,MOD(198,COUNTA('维度字典'!$E$2:$E$200))+1))</f>
        <v/>
      </c>
      <c r="E202" s="38">
        <f>IF($B202="","",SUMPRODUCT(('系统实绩导入'!$B$4:$B$1500=$B202)*('系统实绩导入'!$C$4:$C$1500=$C202)*('系统实绩导入'!$D$4:$D$1500=$D202)*('系统实绩导入'!$F$4:$F$1500="实绩销售额")*('系统实绩导入'!$G$3:$R$3=$F$1)*'系统实绩导入'!$G$4:$R$1500))</f>
        <v/>
      </c>
      <c r="F202" s="38">
        <f>IF($B202="","",SUMPRODUCT(('系统实绩导入'!$B$4:$B$1500=$B202)*('系统实绩导入'!$C$4:$C$1500=$C202)*('系统实绩导入'!$D$4:$D$1500=$D202)*('系统实绩导入'!$F$4:$F$1500="实绩毛利")*('系统实绩导入'!$G$3:$R$3=$F$1)*'系统实绩导入'!$G$4:$R$1500))</f>
        <v/>
      </c>
      <c r="G202" s="39">
        <f>IF($B202="","",IFERROR(F202/E202,""))</f>
        <v/>
      </c>
      <c r="H202" s="38">
        <f>IF($B202="","",SUMPRODUCT(('目标填报'!$B$4:$B$1500=$B202)*('目标填报'!$C$4:$C$1500=$C202)*('目标填报'!$D$4:$D$1500=$D202)*('目标填报'!$F$4:$F$1500="销售目标额")*('目标填报'!$G$3:$R$3=$F$1)*'目标填报'!$G$4:$R$1500))</f>
        <v/>
      </c>
      <c r="I202" s="39">
        <f>IF($B202="","",IFERROR(E202/H202,""))</f>
        <v/>
      </c>
      <c r="J202" s="38">
        <f>IF($B202="","",SUMPRODUCT(('系统实绩导入'!$B$4:$B$1500=$B202)*('系统实绩导入'!$C$4:$C$1500=$C202)*('系统实绩导入'!$D$4:$D$1500=$D202)*('系统实绩导入'!$F$4:$F$1500="实绩销售额")*('系统实绩导入'!$G$3:$R$3&lt;=$F$1)*'系统实绩导入'!$G$4:$R$1500))</f>
        <v/>
      </c>
      <c r="K202" s="38">
        <f>IF($B202="","",SUMPRODUCT(('系统实绩导入'!$B$4:$B$1500=$B202)*('系统实绩导入'!$C$4:$C$1500=$C202)*('系统实绩导入'!$D$4:$D$1500=$D202)*('系统实绩导入'!$F$4:$F$1500="实绩毛利")*('系统实绩导入'!$G$3:$R$3&lt;=$F$1)*'系统实绩导入'!$G$4:$R$1500))</f>
        <v/>
      </c>
      <c r="L202" s="39">
        <f>IF($B202="","",IFERROR(K202/J202,""))</f>
        <v/>
      </c>
      <c r="M202" s="38">
        <f>IF($B202="","",SUMIFS('目标填报'!$S$4:$S$1500,'目标填报'!$B$4:$B$1500,$B202,'目标填报'!$C$4:$C$1500,$C202,'目标填报'!$D$4:$D$1500,$D202,'目标填报'!$F$4:$F$1500,"销售目标额"))</f>
        <v/>
      </c>
      <c r="N202" s="39">
        <f>IF($B202="","",IFERROR(J202/M202,""))</f>
        <v/>
      </c>
      <c r="O202" s="40">
        <f>IF($B202="","",J202-M202)</f>
        <v/>
      </c>
      <c r="P202" s="38">
        <f>IF($B202="","",SUMPRODUCT(('目标填报'!$B$4:$B$1500=$B202)*('目标填报'!$C$4:$C$1500=$C202)*('目标填报'!$D$4:$D$1500=$D202)*('目标填报'!$F$4:$F$1500="在手订单")*('目标填报'!$G$3:$R$3=$F$1)*'目标填报'!$G$4:$R$1500))</f>
        <v/>
      </c>
      <c r="Q202" s="38">
        <f>IF($B202="","",SUMPRODUCT(('目标填报'!$B$4:$B$1500=$B202)*('目标填报'!$C$4:$C$1500=$C202)*('目标填报'!$D$4:$D$1500=$D202)*('目标填报'!$F$4:$F$1500="在手订单目标")*('目标填报'!$G$3:$R$3=$F$1)*'目标填报'!$G$4:$R$1500))</f>
        <v/>
      </c>
      <c r="R202" s="39">
        <f>IF($B202="","",IFERROR(P202/Q202,""))</f>
        <v/>
      </c>
      <c r="S202" s="38">
        <f>IF($B202="","",SUMPRODUCT(('目标填报'!$B$4:$B$1500=$B202)*('目标填报'!$C$4:$C$1500=$C202)*('目标填报'!$D$4:$D$1500=$D202)*('目标填报'!$F$4:$F$1500="目标客户机会")*('目标填报'!$G$3:$R$3=$F$1)*'目标填报'!$G$4:$R$1500))</f>
        <v/>
      </c>
      <c r="T202" s="38">
        <f>IF($B202="","",SUMPRODUCT(('目标填报'!$B$4:$B$1500=$B202)*('目标填报'!$C$4:$C$1500=$C202)*('目标填报'!$D$4:$D$1500=$D202)*('目标填报'!$F$4:$F$1500="目标客户机会目标")*('目标填报'!$G$3:$R$3=$F$1)*'目标填报'!$G$4:$R$1500))</f>
        <v/>
      </c>
      <c r="U202" s="39">
        <f>IF($B202="","",IFERROR(S202/T202,""))</f>
        <v/>
      </c>
      <c r="V202" s="38">
        <f>IF($B202="","",P202+S202)</f>
        <v/>
      </c>
      <c r="W202" s="38">
        <f>IF($B202="","",M202-J202)</f>
        <v/>
      </c>
      <c r="X202" s="39">
        <f>IF($B202="","",IFERROR(V202/W202,""))</f>
        <v/>
      </c>
      <c r="Y202" s="40">
        <f>IF($B202="","",V202-W202)</f>
        <v/>
      </c>
    </row>
    <row r="203">
      <c r="A203" s="37">
        <f>IF($B203="","",ROW()-3)</f>
        <v/>
      </c>
      <c r="B203" s="13">
        <f>IF(199+1&gt;COUNTA('维度字典'!$C$2:$C$200)*COUNTA('维度字典'!$A$2:$A$200)*COUNTA('维度字典'!$E$2:$E$200),"",INDEX('维度字典'!$C$2:$C$200,MOD(INT(199/(COUNTA('维度字典'!$E$2:$E$200)*COUNTA('维度字典'!$A$2:$A$200))),COUNTA('维度字典'!$C$2:$C$200))+1))</f>
        <v/>
      </c>
      <c r="C203" s="13">
        <f>IF($B203="","",INDEX('维度字典'!$A$2:$A$200,MOD(INT(199/COUNTA('维度字典'!$E$2:$E$200)),COUNTA('维度字典'!$A$2:$A$200))+1))</f>
        <v/>
      </c>
      <c r="D203" s="13">
        <f>IF($B203="","",INDEX('维度字典'!$E$2:$E$200,MOD(199,COUNTA('维度字典'!$E$2:$E$200))+1))</f>
        <v/>
      </c>
      <c r="E203" s="38">
        <f>IF($B203="","",SUMPRODUCT(('系统实绩导入'!$B$4:$B$1500=$B203)*('系统实绩导入'!$C$4:$C$1500=$C203)*('系统实绩导入'!$D$4:$D$1500=$D203)*('系统实绩导入'!$F$4:$F$1500="实绩销售额")*('系统实绩导入'!$G$3:$R$3=$F$1)*'系统实绩导入'!$G$4:$R$1500))</f>
        <v/>
      </c>
      <c r="F203" s="38">
        <f>IF($B203="","",SUMPRODUCT(('系统实绩导入'!$B$4:$B$1500=$B203)*('系统实绩导入'!$C$4:$C$1500=$C203)*('系统实绩导入'!$D$4:$D$1500=$D203)*('系统实绩导入'!$F$4:$F$1500="实绩毛利")*('系统实绩导入'!$G$3:$R$3=$F$1)*'系统实绩导入'!$G$4:$R$1500))</f>
        <v/>
      </c>
      <c r="G203" s="39">
        <f>IF($B203="","",IFERROR(F203/E203,""))</f>
        <v/>
      </c>
      <c r="H203" s="38">
        <f>IF($B203="","",SUMPRODUCT(('目标填报'!$B$4:$B$1500=$B203)*('目标填报'!$C$4:$C$1500=$C203)*('目标填报'!$D$4:$D$1500=$D203)*('目标填报'!$F$4:$F$1500="销售目标额")*('目标填报'!$G$3:$R$3=$F$1)*'目标填报'!$G$4:$R$1500))</f>
        <v/>
      </c>
      <c r="I203" s="39">
        <f>IF($B203="","",IFERROR(E203/H203,""))</f>
        <v/>
      </c>
      <c r="J203" s="38">
        <f>IF($B203="","",SUMPRODUCT(('系统实绩导入'!$B$4:$B$1500=$B203)*('系统实绩导入'!$C$4:$C$1500=$C203)*('系统实绩导入'!$D$4:$D$1500=$D203)*('系统实绩导入'!$F$4:$F$1500="实绩销售额")*('系统实绩导入'!$G$3:$R$3&lt;=$F$1)*'系统实绩导入'!$G$4:$R$1500))</f>
        <v/>
      </c>
      <c r="K203" s="38">
        <f>IF($B203="","",SUMPRODUCT(('系统实绩导入'!$B$4:$B$1500=$B203)*('系统实绩导入'!$C$4:$C$1500=$C203)*('系统实绩导入'!$D$4:$D$1500=$D203)*('系统实绩导入'!$F$4:$F$1500="实绩毛利")*('系统实绩导入'!$G$3:$R$3&lt;=$F$1)*'系统实绩导入'!$G$4:$R$1500))</f>
        <v/>
      </c>
      <c r="L203" s="39">
        <f>IF($B203="","",IFERROR(K203/J203,""))</f>
        <v/>
      </c>
      <c r="M203" s="38">
        <f>IF($B203="","",SUMIFS('目标填报'!$S$4:$S$1500,'目标填报'!$B$4:$B$1500,$B203,'目标填报'!$C$4:$C$1500,$C203,'目标填报'!$D$4:$D$1500,$D203,'目标填报'!$F$4:$F$1500,"销售目标额"))</f>
        <v/>
      </c>
      <c r="N203" s="39">
        <f>IF($B203="","",IFERROR(J203/M203,""))</f>
        <v/>
      </c>
      <c r="O203" s="40">
        <f>IF($B203="","",J203-M203)</f>
        <v/>
      </c>
      <c r="P203" s="38">
        <f>IF($B203="","",SUMPRODUCT(('目标填报'!$B$4:$B$1500=$B203)*('目标填报'!$C$4:$C$1500=$C203)*('目标填报'!$D$4:$D$1500=$D203)*('目标填报'!$F$4:$F$1500="在手订单")*('目标填报'!$G$3:$R$3=$F$1)*'目标填报'!$G$4:$R$1500))</f>
        <v/>
      </c>
      <c r="Q203" s="38">
        <f>IF($B203="","",SUMPRODUCT(('目标填报'!$B$4:$B$1500=$B203)*('目标填报'!$C$4:$C$1500=$C203)*('目标填报'!$D$4:$D$1500=$D203)*('目标填报'!$F$4:$F$1500="在手订单目标")*('目标填报'!$G$3:$R$3=$F$1)*'目标填报'!$G$4:$R$1500))</f>
        <v/>
      </c>
      <c r="R203" s="39">
        <f>IF($B203="","",IFERROR(P203/Q203,""))</f>
        <v/>
      </c>
      <c r="S203" s="38">
        <f>IF($B203="","",SUMPRODUCT(('目标填报'!$B$4:$B$1500=$B203)*('目标填报'!$C$4:$C$1500=$C203)*('目标填报'!$D$4:$D$1500=$D203)*('目标填报'!$F$4:$F$1500="目标客户机会")*('目标填报'!$G$3:$R$3=$F$1)*'目标填报'!$G$4:$R$1500))</f>
        <v/>
      </c>
      <c r="T203" s="38">
        <f>IF($B203="","",SUMPRODUCT(('目标填报'!$B$4:$B$1500=$B203)*('目标填报'!$C$4:$C$1500=$C203)*('目标填报'!$D$4:$D$1500=$D203)*('目标填报'!$F$4:$F$1500="目标客户机会目标")*('目标填报'!$G$3:$R$3=$F$1)*'目标填报'!$G$4:$R$1500))</f>
        <v/>
      </c>
      <c r="U203" s="39">
        <f>IF($B203="","",IFERROR(S203/T203,""))</f>
        <v/>
      </c>
      <c r="V203" s="38">
        <f>IF($B203="","",P203+S203)</f>
        <v/>
      </c>
      <c r="W203" s="38">
        <f>IF($B203="","",M203-J203)</f>
        <v/>
      </c>
      <c r="X203" s="39">
        <f>IF($B203="","",IFERROR(V203/W203,""))</f>
        <v/>
      </c>
      <c r="Y203" s="40">
        <f>IF($B203="","",V203-W203)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">
    <mergeCell ref="A1:D1"/>
    <mergeCell ref="P2:U2"/>
    <mergeCell ref="J2:O2"/>
    <mergeCell ref="E2:I2"/>
    <mergeCell ref="V2:Y2"/>
    <mergeCell ref="A2:D2"/>
  </mergeCells>
  <conditionalFormatting sqref="I4:I203">
    <cfRule type="cellIs" priority="1" operator="lessThan" dxfId="1" stopIfTrue="0">
      <formula>'维度字典'!$S$3</formula>
    </cfRule>
    <cfRule type="cellIs" priority="2" operator="between" dxfId="2" stopIfTrue="0">
      <formula>'维度字典'!$S$3</formula>
      <formula>'维度字典'!$S$4</formula>
    </cfRule>
    <cfRule type="cellIs" priority="3" operator="greaterThan" dxfId="3" stopIfTrue="0">
      <formula>'维度字典'!$S$4</formula>
    </cfRule>
  </conditionalFormatting>
  <conditionalFormatting sqref="N4:N203">
    <cfRule type="cellIs" priority="4" operator="lessThan" dxfId="1" stopIfTrue="0">
      <formula>'维度字典'!$S$3</formula>
    </cfRule>
    <cfRule type="cellIs" priority="5" operator="between" dxfId="2" stopIfTrue="0">
      <formula>'维度字典'!$S$3</formula>
      <formula>'维度字典'!$S$4</formula>
    </cfRule>
    <cfRule type="cellIs" priority="6" operator="greaterThan" dxfId="3" stopIfTrue="0">
      <formula>'维度字典'!$S$4</formula>
    </cfRule>
  </conditionalFormatting>
  <conditionalFormatting sqref="R4:R203">
    <cfRule type="cellIs" priority="7" operator="lessThan" dxfId="1" stopIfTrue="0">
      <formula>'维度字典'!$S$3</formula>
    </cfRule>
    <cfRule type="cellIs" priority="8" operator="between" dxfId="2" stopIfTrue="0">
      <formula>'维度字典'!$S$3</formula>
      <formula>'维度字典'!$S$4</formula>
    </cfRule>
    <cfRule type="cellIs" priority="9" operator="greaterThan" dxfId="3" stopIfTrue="0">
      <formula>'维度字典'!$S$4</formula>
    </cfRule>
  </conditionalFormatting>
  <conditionalFormatting sqref="U4:U203">
    <cfRule type="cellIs" priority="10" operator="lessThan" dxfId="1" stopIfTrue="0">
      <formula>'维度字典'!$S$3</formula>
    </cfRule>
    <cfRule type="cellIs" priority="11" operator="between" dxfId="2" stopIfTrue="0">
      <formula>'维度字典'!$S$3</formula>
      <formula>'维度字典'!$S$4</formula>
    </cfRule>
    <cfRule type="cellIs" priority="12" operator="greaterThan" dxfId="3" stopIfTrue="0">
      <formula>'维度字典'!$S$4</formula>
    </cfRule>
  </conditionalFormatting>
  <conditionalFormatting sqref="X4:X203">
    <cfRule type="cellIs" priority="13" operator="lessThan" dxfId="1" stopIfTrue="0">
      <formula>'维度字典'!$S$3</formula>
    </cfRule>
    <cfRule type="cellIs" priority="14" operator="between" dxfId="2" stopIfTrue="0">
      <formula>'维度字典'!$S$3</formula>
      <formula>'维度字典'!$S$4</formula>
    </cfRule>
    <cfRule type="cellIs" priority="15" operator="greaterThan" dxfId="3" stopIfTrue="0">
      <formula>'维度字典'!$S$4</formula>
    </cfRule>
  </conditionalFormatting>
  <dataValidations count="1">
    <dataValidation sqref="F1" showDropDown="0" showInputMessage="0" showErrorMessage="1" allowBlank="0" error="请选择 1~12 的统计月份" type="list">
      <formula1>LIST_MONTH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</cols>
  <sheetData>
    <row r="1">
      <c r="A1" s="3" t="inlineStr">
        <is>
          <t>① 产品 × 应用行业 实绩销售额（万元）—— 全年合计</t>
        </is>
      </c>
    </row>
    <row r="2">
      <c r="B2" s="19" t="inlineStr">
        <is>
          <t>维度</t>
        </is>
      </c>
      <c r="C2" s="19">
        <f>IF('维度字典'!A2="","",'维度字典'!A2)</f>
        <v/>
      </c>
      <c r="D2" s="19">
        <f>IF('维度字典'!A3="","",'维度字典'!A3)</f>
        <v/>
      </c>
      <c r="E2" s="19">
        <f>IF('维度字典'!A4="","",'维度字典'!A4)</f>
        <v/>
      </c>
      <c r="F2" s="19">
        <f>IF('维度字典'!A5="","",'维度字典'!A5)</f>
        <v/>
      </c>
      <c r="G2" s="19">
        <f>IF('维度字典'!A6="","",'维度字典'!A6)</f>
        <v/>
      </c>
      <c r="H2" s="19" t="inlineStr">
        <is>
          <t>合计</t>
        </is>
      </c>
    </row>
    <row r="3">
      <c r="B3" s="41">
        <f>IF('维度字典'!E2="","",'维度字典'!E2)</f>
        <v/>
      </c>
      <c r="C3" s="42">
        <f>IF($B3="","",SUMIFS('系统实绩导入'!$S$4:$S$1500,'系统实绩导入'!$C$4:$C$1500,'维度字典'!$A$2,'系统实绩导入'!$D$4:$D$1500,'维度字典'!$E$2,'系统实绩导入'!$F$4:$F$1500,"实绩销售额"))</f>
        <v/>
      </c>
      <c r="D3" s="42">
        <f>IF($B3="","",SUMIFS('系统实绩导入'!$S$4:$S$1500,'系统实绩导入'!$C$4:$C$1500,'维度字典'!$A$3,'系统实绩导入'!$D$4:$D$1500,'维度字典'!$E$2,'系统实绩导入'!$F$4:$F$1500,"实绩销售额"))</f>
        <v/>
      </c>
      <c r="E3" s="42">
        <f>IF($B3="","",SUMIFS('系统实绩导入'!$S$4:$S$1500,'系统实绩导入'!$C$4:$C$1500,'维度字典'!$A$4,'系统实绩导入'!$D$4:$D$1500,'维度字典'!$E$2,'系统实绩导入'!$F$4:$F$1500,"实绩销售额"))</f>
        <v/>
      </c>
      <c r="F3" s="42">
        <f>IF($B3="","",SUMIFS('系统实绩导入'!$S$4:$S$1500,'系统实绩导入'!$C$4:$C$1500,'维度字典'!$A$5,'系统实绩导入'!$D$4:$D$1500,'维度字典'!$E$2,'系统实绩导入'!$F$4:$F$1500,"实绩销售额"))</f>
        <v/>
      </c>
      <c r="G3" s="42">
        <f>IF($B3="","",SUMIFS('系统实绩导入'!$S$4:$S$1500,'系统实绩导入'!$C$4:$C$1500,'维度字典'!$A$6,'系统实绩导入'!$D$4:$D$1500,'维度字典'!$E$2,'系统实绩导入'!$F$4:$F$1500,"实绩销售额"))</f>
        <v/>
      </c>
      <c r="H3" s="43">
        <f>IF($B3="","",SUM(C3:G3))</f>
        <v/>
      </c>
    </row>
    <row r="4">
      <c r="B4" s="41">
        <f>IF('维度字典'!E3="","",'维度字典'!E3)</f>
        <v/>
      </c>
      <c r="C4" s="42">
        <f>IF($B4="","",SUMIFS('系统实绩导入'!$S$4:$S$1500,'系统实绩导入'!$C$4:$C$1500,'维度字典'!$A$2,'系统实绩导入'!$D$4:$D$1500,'维度字典'!$E$3,'系统实绩导入'!$F$4:$F$1500,"实绩销售额"))</f>
        <v/>
      </c>
      <c r="D4" s="42">
        <f>IF($B4="","",SUMIFS('系统实绩导入'!$S$4:$S$1500,'系统实绩导入'!$C$4:$C$1500,'维度字典'!$A$3,'系统实绩导入'!$D$4:$D$1500,'维度字典'!$E$3,'系统实绩导入'!$F$4:$F$1500,"实绩销售额"))</f>
        <v/>
      </c>
      <c r="E4" s="42">
        <f>IF($B4="","",SUMIFS('系统实绩导入'!$S$4:$S$1500,'系统实绩导入'!$C$4:$C$1500,'维度字典'!$A$4,'系统实绩导入'!$D$4:$D$1500,'维度字典'!$E$3,'系统实绩导入'!$F$4:$F$1500,"实绩销售额"))</f>
        <v/>
      </c>
      <c r="F4" s="42">
        <f>IF($B4="","",SUMIFS('系统实绩导入'!$S$4:$S$1500,'系统实绩导入'!$C$4:$C$1500,'维度字典'!$A$5,'系统实绩导入'!$D$4:$D$1500,'维度字典'!$E$3,'系统实绩导入'!$F$4:$F$1500,"实绩销售额"))</f>
        <v/>
      </c>
      <c r="G4" s="42">
        <f>IF($B4="","",SUMIFS('系统实绩导入'!$S$4:$S$1500,'系统实绩导入'!$C$4:$C$1500,'维度字典'!$A$6,'系统实绩导入'!$D$4:$D$1500,'维度字典'!$E$3,'系统实绩导入'!$F$4:$F$1500,"实绩销售额"))</f>
        <v/>
      </c>
      <c r="H4" s="43">
        <f>IF($B4="","",SUM(C4:G4))</f>
        <v/>
      </c>
    </row>
    <row r="5">
      <c r="B5" s="41">
        <f>IF('维度字典'!E4="","",'维度字典'!E4)</f>
        <v/>
      </c>
      <c r="C5" s="42">
        <f>IF($B5="","",SUMIFS('系统实绩导入'!$S$4:$S$1500,'系统实绩导入'!$C$4:$C$1500,'维度字典'!$A$2,'系统实绩导入'!$D$4:$D$1500,'维度字典'!$E$4,'系统实绩导入'!$F$4:$F$1500,"实绩销售额"))</f>
        <v/>
      </c>
      <c r="D5" s="42">
        <f>IF($B5="","",SUMIFS('系统实绩导入'!$S$4:$S$1500,'系统实绩导入'!$C$4:$C$1500,'维度字典'!$A$3,'系统实绩导入'!$D$4:$D$1500,'维度字典'!$E$4,'系统实绩导入'!$F$4:$F$1500,"实绩销售额"))</f>
        <v/>
      </c>
      <c r="E5" s="42">
        <f>IF($B5="","",SUMIFS('系统实绩导入'!$S$4:$S$1500,'系统实绩导入'!$C$4:$C$1500,'维度字典'!$A$4,'系统实绩导入'!$D$4:$D$1500,'维度字典'!$E$4,'系统实绩导入'!$F$4:$F$1500,"实绩销售额"))</f>
        <v/>
      </c>
      <c r="F5" s="42">
        <f>IF($B5="","",SUMIFS('系统实绩导入'!$S$4:$S$1500,'系统实绩导入'!$C$4:$C$1500,'维度字典'!$A$5,'系统实绩导入'!$D$4:$D$1500,'维度字典'!$E$4,'系统实绩导入'!$F$4:$F$1500,"实绩销售额"))</f>
        <v/>
      </c>
      <c r="G5" s="42">
        <f>IF($B5="","",SUMIFS('系统实绩导入'!$S$4:$S$1500,'系统实绩导入'!$C$4:$C$1500,'维度字典'!$A$6,'系统实绩导入'!$D$4:$D$1500,'维度字典'!$E$4,'系统实绩导入'!$F$4:$F$1500,"实绩销售额"))</f>
        <v/>
      </c>
      <c r="H5" s="43">
        <f>IF($B5="","",SUM(C5:G5))</f>
        <v/>
      </c>
    </row>
    <row r="6">
      <c r="B6" s="41">
        <f>IF('维度字典'!E5="","",'维度字典'!E5)</f>
        <v/>
      </c>
      <c r="C6" s="42">
        <f>IF($B6="","",SUMIFS('系统实绩导入'!$S$4:$S$1500,'系统实绩导入'!$C$4:$C$1500,'维度字典'!$A$2,'系统实绩导入'!$D$4:$D$1500,'维度字典'!$E$5,'系统实绩导入'!$F$4:$F$1500,"实绩销售额"))</f>
        <v/>
      </c>
      <c r="D6" s="42">
        <f>IF($B6="","",SUMIFS('系统实绩导入'!$S$4:$S$1500,'系统实绩导入'!$C$4:$C$1500,'维度字典'!$A$3,'系统实绩导入'!$D$4:$D$1500,'维度字典'!$E$5,'系统实绩导入'!$F$4:$F$1500,"实绩销售额"))</f>
        <v/>
      </c>
      <c r="E6" s="42">
        <f>IF($B6="","",SUMIFS('系统实绩导入'!$S$4:$S$1500,'系统实绩导入'!$C$4:$C$1500,'维度字典'!$A$4,'系统实绩导入'!$D$4:$D$1500,'维度字典'!$E$5,'系统实绩导入'!$F$4:$F$1500,"实绩销售额"))</f>
        <v/>
      </c>
      <c r="F6" s="42">
        <f>IF($B6="","",SUMIFS('系统实绩导入'!$S$4:$S$1500,'系统实绩导入'!$C$4:$C$1500,'维度字典'!$A$5,'系统实绩导入'!$D$4:$D$1500,'维度字典'!$E$5,'系统实绩导入'!$F$4:$F$1500,"实绩销售额"))</f>
        <v/>
      </c>
      <c r="G6" s="42">
        <f>IF($B6="","",SUMIFS('系统实绩导入'!$S$4:$S$1500,'系统实绩导入'!$C$4:$C$1500,'维度字典'!$A$6,'系统实绩导入'!$D$4:$D$1500,'维度字典'!$E$5,'系统实绩导入'!$F$4:$F$1500,"实绩销售额"))</f>
        <v/>
      </c>
      <c r="H6" s="43">
        <f>IF($B6="","",SUM(C6:G6))</f>
        <v/>
      </c>
    </row>
    <row r="7">
      <c r="B7" s="41">
        <f>IF('维度字典'!E6="","",'维度字典'!E6)</f>
        <v/>
      </c>
      <c r="C7" s="42">
        <f>IF($B7="","",SUMIFS('系统实绩导入'!$S$4:$S$1500,'系统实绩导入'!$C$4:$C$1500,'维度字典'!$A$2,'系统实绩导入'!$D$4:$D$1500,'维度字典'!$E$6,'系统实绩导入'!$F$4:$F$1500,"实绩销售额"))</f>
        <v/>
      </c>
      <c r="D7" s="42">
        <f>IF($B7="","",SUMIFS('系统实绩导入'!$S$4:$S$1500,'系统实绩导入'!$C$4:$C$1500,'维度字典'!$A$3,'系统实绩导入'!$D$4:$D$1500,'维度字典'!$E$6,'系统实绩导入'!$F$4:$F$1500,"实绩销售额"))</f>
        <v/>
      </c>
      <c r="E7" s="42">
        <f>IF($B7="","",SUMIFS('系统实绩导入'!$S$4:$S$1500,'系统实绩导入'!$C$4:$C$1500,'维度字典'!$A$4,'系统实绩导入'!$D$4:$D$1500,'维度字典'!$E$6,'系统实绩导入'!$F$4:$F$1500,"实绩销售额"))</f>
        <v/>
      </c>
      <c r="F7" s="42">
        <f>IF($B7="","",SUMIFS('系统实绩导入'!$S$4:$S$1500,'系统实绩导入'!$C$4:$C$1500,'维度字典'!$A$5,'系统实绩导入'!$D$4:$D$1500,'维度字典'!$E$6,'系统实绩导入'!$F$4:$F$1500,"实绩销售额"))</f>
        <v/>
      </c>
      <c r="G7" s="42">
        <f>IF($B7="","",SUMIFS('系统实绩导入'!$S$4:$S$1500,'系统实绩导入'!$C$4:$C$1500,'维度字典'!$A$6,'系统实绩导入'!$D$4:$D$1500,'维度字典'!$E$6,'系统实绩导入'!$F$4:$F$1500,"实绩销售额"))</f>
        <v/>
      </c>
      <c r="H7" s="43">
        <f>IF($B7="","",SUM(C7:G7))</f>
        <v/>
      </c>
    </row>
    <row r="8">
      <c r="B8" s="41">
        <f>IF('维度字典'!E7="","",'维度字典'!E7)</f>
        <v/>
      </c>
      <c r="C8" s="42">
        <f>IF($B8="","",SUMIFS('系统实绩导入'!$S$4:$S$1500,'系统实绩导入'!$C$4:$C$1500,'维度字典'!$A$2,'系统实绩导入'!$D$4:$D$1500,'维度字典'!$E$7,'系统实绩导入'!$F$4:$F$1500,"实绩销售额"))</f>
        <v/>
      </c>
      <c r="D8" s="42">
        <f>IF($B8="","",SUMIFS('系统实绩导入'!$S$4:$S$1500,'系统实绩导入'!$C$4:$C$1500,'维度字典'!$A$3,'系统实绩导入'!$D$4:$D$1500,'维度字典'!$E$7,'系统实绩导入'!$F$4:$F$1500,"实绩销售额"))</f>
        <v/>
      </c>
      <c r="E8" s="42">
        <f>IF($B8="","",SUMIFS('系统实绩导入'!$S$4:$S$1500,'系统实绩导入'!$C$4:$C$1500,'维度字典'!$A$4,'系统实绩导入'!$D$4:$D$1500,'维度字典'!$E$7,'系统实绩导入'!$F$4:$F$1500,"实绩销售额"))</f>
        <v/>
      </c>
      <c r="F8" s="42">
        <f>IF($B8="","",SUMIFS('系统实绩导入'!$S$4:$S$1500,'系统实绩导入'!$C$4:$C$1500,'维度字典'!$A$5,'系统实绩导入'!$D$4:$D$1500,'维度字典'!$E$7,'系统实绩导入'!$F$4:$F$1500,"实绩销售额"))</f>
        <v/>
      </c>
      <c r="G8" s="42">
        <f>IF($B8="","",SUMIFS('系统实绩导入'!$S$4:$S$1500,'系统实绩导入'!$C$4:$C$1500,'维度字典'!$A$6,'系统实绩导入'!$D$4:$D$1500,'维度字典'!$E$7,'系统实绩导入'!$F$4:$F$1500,"实绩销售额"))</f>
        <v/>
      </c>
      <c r="H8" s="43">
        <f>IF($B8="","",SUM(C8:G8))</f>
        <v/>
      </c>
    </row>
    <row r="9">
      <c r="B9" s="41" t="inlineStr">
        <is>
          <t>合计</t>
        </is>
      </c>
      <c r="C9" s="43">
        <f>SUM(C3:C8)</f>
        <v/>
      </c>
      <c r="D9" s="43">
        <f>SUM(D3:D8)</f>
        <v/>
      </c>
      <c r="E9" s="43">
        <f>SUM(E3:E8)</f>
        <v/>
      </c>
      <c r="F9" s="43">
        <f>SUM(F3:F8)</f>
        <v/>
      </c>
      <c r="G9" s="43">
        <f>SUM(G3:G8)</f>
        <v/>
      </c>
      <c r="H9" s="43">
        <f>SUM(G3:G8)</f>
        <v/>
      </c>
    </row>
    <row r="11">
      <c r="A11" s="3" t="inlineStr">
        <is>
          <t>② 业务员 × 产品 实绩销售额（万元）—— 全年合计</t>
        </is>
      </c>
    </row>
    <row r="12">
      <c r="B12" s="19" t="inlineStr">
        <is>
          <t>维度</t>
        </is>
      </c>
      <c r="C12" s="19">
        <f>IF('维度字典'!E2="","",'维度字典'!E2)</f>
        <v/>
      </c>
      <c r="D12" s="19">
        <f>IF('维度字典'!E3="","",'维度字典'!E3)</f>
        <v/>
      </c>
      <c r="E12" s="19">
        <f>IF('维度字典'!E4="","",'维度字典'!E4)</f>
        <v/>
      </c>
      <c r="F12" s="19">
        <f>IF('维度字典'!E5="","",'维度字典'!E5)</f>
        <v/>
      </c>
      <c r="G12" s="19">
        <f>IF('维度字典'!E6="","",'维度字典'!E6)</f>
        <v/>
      </c>
      <c r="H12" s="19">
        <f>IF('维度字典'!E7="","",'维度字典'!E7)</f>
        <v/>
      </c>
      <c r="I12" s="19" t="inlineStr">
        <is>
          <t>合计</t>
        </is>
      </c>
    </row>
    <row r="13">
      <c r="B13" s="41">
        <f>IF('维度字典'!C2="","",'维度字典'!C2)</f>
        <v/>
      </c>
      <c r="C13" s="42">
        <f>IF($B13="","",SUMIFS('系统实绩导入'!$S$4:$S$1500,'系统实绩导入'!$B$4:$B$1500,'维度字典'!$C$2,'系统实绩导入'!$D$4:$D$1500,'维度字典'!$E$2,'系统实绩导入'!$F$4:$F$1500,"实绩销售额"))</f>
        <v/>
      </c>
      <c r="D13" s="42">
        <f>IF($B13="","",SUMIFS('系统实绩导入'!$S$4:$S$1500,'系统实绩导入'!$B$4:$B$1500,'维度字典'!$C$2,'系统实绩导入'!$D$4:$D$1500,'维度字典'!$E$3,'系统实绩导入'!$F$4:$F$1500,"实绩销售额"))</f>
        <v/>
      </c>
      <c r="E13" s="42">
        <f>IF($B13="","",SUMIFS('系统实绩导入'!$S$4:$S$1500,'系统实绩导入'!$B$4:$B$1500,'维度字典'!$C$2,'系统实绩导入'!$D$4:$D$1500,'维度字典'!$E$4,'系统实绩导入'!$F$4:$F$1500,"实绩销售额"))</f>
        <v/>
      </c>
      <c r="F13" s="42">
        <f>IF($B13="","",SUMIFS('系统实绩导入'!$S$4:$S$1500,'系统实绩导入'!$B$4:$B$1500,'维度字典'!$C$2,'系统实绩导入'!$D$4:$D$1500,'维度字典'!$E$5,'系统实绩导入'!$F$4:$F$1500,"实绩销售额"))</f>
        <v/>
      </c>
      <c r="G13" s="42">
        <f>IF($B13="","",SUMIFS('系统实绩导入'!$S$4:$S$1500,'系统实绩导入'!$B$4:$B$1500,'维度字典'!$C$2,'系统实绩导入'!$D$4:$D$1500,'维度字典'!$E$6,'系统实绩导入'!$F$4:$F$1500,"实绩销售额"))</f>
        <v/>
      </c>
      <c r="H13" s="42">
        <f>IF($B13="","",SUMIFS('系统实绩导入'!$S$4:$S$1500,'系统实绩导入'!$B$4:$B$1500,'维度字典'!$C$2,'系统实绩导入'!$D$4:$D$1500,'维度字典'!$E$7,'系统实绩导入'!$F$4:$F$1500,"实绩销售额"))</f>
        <v/>
      </c>
      <c r="I13" s="43">
        <f>IF($B13="","",SUM(C13:H13))</f>
        <v/>
      </c>
    </row>
    <row r="14">
      <c r="B14" s="41">
        <f>IF('维度字典'!C3="","",'维度字典'!C3)</f>
        <v/>
      </c>
      <c r="C14" s="42">
        <f>IF($B14="","",SUMIFS('系统实绩导入'!$S$4:$S$1500,'系统实绩导入'!$B$4:$B$1500,'维度字典'!$C$3,'系统实绩导入'!$D$4:$D$1500,'维度字典'!$E$2,'系统实绩导入'!$F$4:$F$1500,"实绩销售额"))</f>
        <v/>
      </c>
      <c r="D14" s="42">
        <f>IF($B14="","",SUMIFS('系统实绩导入'!$S$4:$S$1500,'系统实绩导入'!$B$4:$B$1500,'维度字典'!$C$3,'系统实绩导入'!$D$4:$D$1500,'维度字典'!$E$3,'系统实绩导入'!$F$4:$F$1500,"实绩销售额"))</f>
        <v/>
      </c>
      <c r="E14" s="42">
        <f>IF($B14="","",SUMIFS('系统实绩导入'!$S$4:$S$1500,'系统实绩导入'!$B$4:$B$1500,'维度字典'!$C$3,'系统实绩导入'!$D$4:$D$1500,'维度字典'!$E$4,'系统实绩导入'!$F$4:$F$1500,"实绩销售额"))</f>
        <v/>
      </c>
      <c r="F14" s="42">
        <f>IF($B14="","",SUMIFS('系统实绩导入'!$S$4:$S$1500,'系统实绩导入'!$B$4:$B$1500,'维度字典'!$C$3,'系统实绩导入'!$D$4:$D$1500,'维度字典'!$E$5,'系统实绩导入'!$F$4:$F$1500,"实绩销售额"))</f>
        <v/>
      </c>
      <c r="G14" s="42">
        <f>IF($B14="","",SUMIFS('系统实绩导入'!$S$4:$S$1500,'系统实绩导入'!$B$4:$B$1500,'维度字典'!$C$3,'系统实绩导入'!$D$4:$D$1500,'维度字典'!$E$6,'系统实绩导入'!$F$4:$F$1500,"实绩销售额"))</f>
        <v/>
      </c>
      <c r="H14" s="42">
        <f>IF($B14="","",SUMIFS('系统实绩导入'!$S$4:$S$1500,'系统实绩导入'!$B$4:$B$1500,'维度字典'!$C$3,'系统实绩导入'!$D$4:$D$1500,'维度字典'!$E$7,'系统实绩导入'!$F$4:$F$1500,"实绩销售额"))</f>
        <v/>
      </c>
      <c r="I14" s="43">
        <f>IF($B14="","",SUM(C14:H14))</f>
        <v/>
      </c>
    </row>
    <row r="15">
      <c r="B15" s="41">
        <f>IF('维度字典'!C4="","",'维度字典'!C4)</f>
        <v/>
      </c>
      <c r="C15" s="42">
        <f>IF($B15="","",SUMIFS('系统实绩导入'!$S$4:$S$1500,'系统实绩导入'!$B$4:$B$1500,'维度字典'!$C$4,'系统实绩导入'!$D$4:$D$1500,'维度字典'!$E$2,'系统实绩导入'!$F$4:$F$1500,"实绩销售额"))</f>
        <v/>
      </c>
      <c r="D15" s="42">
        <f>IF($B15="","",SUMIFS('系统实绩导入'!$S$4:$S$1500,'系统实绩导入'!$B$4:$B$1500,'维度字典'!$C$4,'系统实绩导入'!$D$4:$D$1500,'维度字典'!$E$3,'系统实绩导入'!$F$4:$F$1500,"实绩销售额"))</f>
        <v/>
      </c>
      <c r="E15" s="42">
        <f>IF($B15="","",SUMIFS('系统实绩导入'!$S$4:$S$1500,'系统实绩导入'!$B$4:$B$1500,'维度字典'!$C$4,'系统实绩导入'!$D$4:$D$1500,'维度字典'!$E$4,'系统实绩导入'!$F$4:$F$1500,"实绩销售额"))</f>
        <v/>
      </c>
      <c r="F15" s="42">
        <f>IF($B15="","",SUMIFS('系统实绩导入'!$S$4:$S$1500,'系统实绩导入'!$B$4:$B$1500,'维度字典'!$C$4,'系统实绩导入'!$D$4:$D$1500,'维度字典'!$E$5,'系统实绩导入'!$F$4:$F$1500,"实绩销售额"))</f>
        <v/>
      </c>
      <c r="G15" s="42">
        <f>IF($B15="","",SUMIFS('系统实绩导入'!$S$4:$S$1500,'系统实绩导入'!$B$4:$B$1500,'维度字典'!$C$4,'系统实绩导入'!$D$4:$D$1500,'维度字典'!$E$6,'系统实绩导入'!$F$4:$F$1500,"实绩销售额"))</f>
        <v/>
      </c>
      <c r="H15" s="42">
        <f>IF($B15="","",SUMIFS('系统实绩导入'!$S$4:$S$1500,'系统实绩导入'!$B$4:$B$1500,'维度字典'!$C$4,'系统实绩导入'!$D$4:$D$1500,'维度字典'!$E$7,'系统实绩导入'!$F$4:$F$1500,"实绩销售额"))</f>
        <v/>
      </c>
      <c r="I15" s="43">
        <f>IF($B15="","",SUM(C15:H15))</f>
        <v/>
      </c>
    </row>
    <row r="16">
      <c r="B16" s="41">
        <f>IF('维度字典'!C5="","",'维度字典'!C5)</f>
        <v/>
      </c>
      <c r="C16" s="42">
        <f>IF($B16="","",SUMIFS('系统实绩导入'!$S$4:$S$1500,'系统实绩导入'!$B$4:$B$1500,'维度字典'!$C$5,'系统实绩导入'!$D$4:$D$1500,'维度字典'!$E$2,'系统实绩导入'!$F$4:$F$1500,"实绩销售额"))</f>
        <v/>
      </c>
      <c r="D16" s="42">
        <f>IF($B16="","",SUMIFS('系统实绩导入'!$S$4:$S$1500,'系统实绩导入'!$B$4:$B$1500,'维度字典'!$C$5,'系统实绩导入'!$D$4:$D$1500,'维度字典'!$E$3,'系统实绩导入'!$F$4:$F$1500,"实绩销售额"))</f>
        <v/>
      </c>
      <c r="E16" s="42">
        <f>IF($B16="","",SUMIFS('系统实绩导入'!$S$4:$S$1500,'系统实绩导入'!$B$4:$B$1500,'维度字典'!$C$5,'系统实绩导入'!$D$4:$D$1500,'维度字典'!$E$4,'系统实绩导入'!$F$4:$F$1500,"实绩销售额"))</f>
        <v/>
      </c>
      <c r="F16" s="42">
        <f>IF($B16="","",SUMIFS('系统实绩导入'!$S$4:$S$1500,'系统实绩导入'!$B$4:$B$1500,'维度字典'!$C$5,'系统实绩导入'!$D$4:$D$1500,'维度字典'!$E$5,'系统实绩导入'!$F$4:$F$1500,"实绩销售额"))</f>
        <v/>
      </c>
      <c r="G16" s="42">
        <f>IF($B16="","",SUMIFS('系统实绩导入'!$S$4:$S$1500,'系统实绩导入'!$B$4:$B$1500,'维度字典'!$C$5,'系统实绩导入'!$D$4:$D$1500,'维度字典'!$E$6,'系统实绩导入'!$F$4:$F$1500,"实绩销售额"))</f>
        <v/>
      </c>
      <c r="H16" s="42">
        <f>IF($B16="","",SUMIFS('系统实绩导入'!$S$4:$S$1500,'系统实绩导入'!$B$4:$B$1500,'维度字典'!$C$5,'系统实绩导入'!$D$4:$D$1500,'维度字典'!$E$7,'系统实绩导入'!$F$4:$F$1500,"实绩销售额"))</f>
        <v/>
      </c>
      <c r="I16" s="43">
        <f>IF($B16="","",SUM(C16:H16))</f>
        <v/>
      </c>
    </row>
    <row r="17">
      <c r="B17" s="41">
        <f>IF('维度字典'!C6="","",'维度字典'!C6)</f>
        <v/>
      </c>
      <c r="C17" s="42">
        <f>IF($B17="","",SUMIFS('系统实绩导入'!$S$4:$S$1500,'系统实绩导入'!$B$4:$B$1500,'维度字典'!$C$6,'系统实绩导入'!$D$4:$D$1500,'维度字典'!$E$2,'系统实绩导入'!$F$4:$F$1500,"实绩销售额"))</f>
        <v/>
      </c>
      <c r="D17" s="42">
        <f>IF($B17="","",SUMIFS('系统实绩导入'!$S$4:$S$1500,'系统实绩导入'!$B$4:$B$1500,'维度字典'!$C$6,'系统实绩导入'!$D$4:$D$1500,'维度字典'!$E$3,'系统实绩导入'!$F$4:$F$1500,"实绩销售额"))</f>
        <v/>
      </c>
      <c r="E17" s="42">
        <f>IF($B17="","",SUMIFS('系统实绩导入'!$S$4:$S$1500,'系统实绩导入'!$B$4:$B$1500,'维度字典'!$C$6,'系统实绩导入'!$D$4:$D$1500,'维度字典'!$E$4,'系统实绩导入'!$F$4:$F$1500,"实绩销售额"))</f>
        <v/>
      </c>
      <c r="F17" s="42">
        <f>IF($B17="","",SUMIFS('系统实绩导入'!$S$4:$S$1500,'系统实绩导入'!$B$4:$B$1500,'维度字典'!$C$6,'系统实绩导入'!$D$4:$D$1500,'维度字典'!$E$5,'系统实绩导入'!$F$4:$F$1500,"实绩销售额"))</f>
        <v/>
      </c>
      <c r="G17" s="42">
        <f>IF($B17="","",SUMIFS('系统实绩导入'!$S$4:$S$1500,'系统实绩导入'!$B$4:$B$1500,'维度字典'!$C$6,'系统实绩导入'!$D$4:$D$1500,'维度字典'!$E$6,'系统实绩导入'!$F$4:$F$1500,"实绩销售额"))</f>
        <v/>
      </c>
      <c r="H17" s="42">
        <f>IF($B17="","",SUMIFS('系统实绩导入'!$S$4:$S$1500,'系统实绩导入'!$B$4:$B$1500,'维度字典'!$C$6,'系统实绩导入'!$D$4:$D$1500,'维度字典'!$E$7,'系统实绩导入'!$F$4:$F$1500,"实绩销售额"))</f>
        <v/>
      </c>
      <c r="I17" s="43">
        <f>IF($B17="","",SUM(C17:H17))</f>
        <v/>
      </c>
    </row>
    <row r="18">
      <c r="B18" s="41">
        <f>IF('维度字典'!C7="","",'维度字典'!C7)</f>
        <v/>
      </c>
      <c r="C18" s="42">
        <f>IF($B18="","",SUMIFS('系统实绩导入'!$S$4:$S$1500,'系统实绩导入'!$B$4:$B$1500,'维度字典'!$C$7,'系统实绩导入'!$D$4:$D$1500,'维度字典'!$E$2,'系统实绩导入'!$F$4:$F$1500,"实绩销售额"))</f>
        <v/>
      </c>
      <c r="D18" s="42">
        <f>IF($B18="","",SUMIFS('系统实绩导入'!$S$4:$S$1500,'系统实绩导入'!$B$4:$B$1500,'维度字典'!$C$7,'系统实绩导入'!$D$4:$D$1500,'维度字典'!$E$3,'系统实绩导入'!$F$4:$F$1500,"实绩销售额"))</f>
        <v/>
      </c>
      <c r="E18" s="42">
        <f>IF($B18="","",SUMIFS('系统实绩导入'!$S$4:$S$1500,'系统实绩导入'!$B$4:$B$1500,'维度字典'!$C$7,'系统实绩导入'!$D$4:$D$1500,'维度字典'!$E$4,'系统实绩导入'!$F$4:$F$1500,"实绩销售额"))</f>
        <v/>
      </c>
      <c r="F18" s="42">
        <f>IF($B18="","",SUMIFS('系统实绩导入'!$S$4:$S$1500,'系统实绩导入'!$B$4:$B$1500,'维度字典'!$C$7,'系统实绩导入'!$D$4:$D$1500,'维度字典'!$E$5,'系统实绩导入'!$F$4:$F$1500,"实绩销售额"))</f>
        <v/>
      </c>
      <c r="G18" s="42">
        <f>IF($B18="","",SUMIFS('系统实绩导入'!$S$4:$S$1500,'系统实绩导入'!$B$4:$B$1500,'维度字典'!$C$7,'系统实绩导入'!$D$4:$D$1500,'维度字典'!$E$6,'系统实绩导入'!$F$4:$F$1500,"实绩销售额"))</f>
        <v/>
      </c>
      <c r="H18" s="42">
        <f>IF($B18="","",SUMIFS('系统实绩导入'!$S$4:$S$1500,'系统实绩导入'!$B$4:$B$1500,'维度字典'!$C$7,'系统实绩导入'!$D$4:$D$1500,'维度字典'!$E$7,'系统实绩导入'!$F$4:$F$1500,"实绩销售额"))</f>
        <v/>
      </c>
      <c r="I18" s="43">
        <f>IF($B18="","",SUM(C18:H18))</f>
        <v/>
      </c>
    </row>
    <row r="19">
      <c r="B19" s="41">
        <f>IF('维度字典'!C8="","",'维度字典'!C8)</f>
        <v/>
      </c>
      <c r="C19" s="42">
        <f>IF($B19="","",SUMIFS('系统实绩导入'!$S$4:$S$1500,'系统实绩导入'!$B$4:$B$1500,'维度字典'!$C$8,'系统实绩导入'!$D$4:$D$1500,'维度字典'!$E$2,'系统实绩导入'!$F$4:$F$1500,"实绩销售额"))</f>
        <v/>
      </c>
      <c r="D19" s="42">
        <f>IF($B19="","",SUMIFS('系统实绩导入'!$S$4:$S$1500,'系统实绩导入'!$B$4:$B$1500,'维度字典'!$C$8,'系统实绩导入'!$D$4:$D$1500,'维度字典'!$E$3,'系统实绩导入'!$F$4:$F$1500,"实绩销售额"))</f>
        <v/>
      </c>
      <c r="E19" s="42">
        <f>IF($B19="","",SUMIFS('系统实绩导入'!$S$4:$S$1500,'系统实绩导入'!$B$4:$B$1500,'维度字典'!$C$8,'系统实绩导入'!$D$4:$D$1500,'维度字典'!$E$4,'系统实绩导入'!$F$4:$F$1500,"实绩销售额"))</f>
        <v/>
      </c>
      <c r="F19" s="42">
        <f>IF($B19="","",SUMIFS('系统实绩导入'!$S$4:$S$1500,'系统实绩导入'!$B$4:$B$1500,'维度字典'!$C$8,'系统实绩导入'!$D$4:$D$1500,'维度字典'!$E$5,'系统实绩导入'!$F$4:$F$1500,"实绩销售额"))</f>
        <v/>
      </c>
      <c r="G19" s="42">
        <f>IF($B19="","",SUMIFS('系统实绩导入'!$S$4:$S$1500,'系统实绩导入'!$B$4:$B$1500,'维度字典'!$C$8,'系统实绩导入'!$D$4:$D$1500,'维度字典'!$E$6,'系统实绩导入'!$F$4:$F$1500,"实绩销售额"))</f>
        <v/>
      </c>
      <c r="H19" s="42">
        <f>IF($B19="","",SUMIFS('系统实绩导入'!$S$4:$S$1500,'系统实绩导入'!$B$4:$B$1500,'维度字典'!$C$8,'系统实绩导入'!$D$4:$D$1500,'维度字典'!$E$7,'系统实绩导入'!$F$4:$F$1500,"实绩销售额"))</f>
        <v/>
      </c>
      <c r="I19" s="43">
        <f>IF($B19="","",SUM(C19:H19))</f>
        <v/>
      </c>
    </row>
    <row r="20">
      <c r="B20" s="41">
        <f>IF('维度字典'!C9="","",'维度字典'!C9)</f>
        <v/>
      </c>
      <c r="C20" s="42">
        <f>IF($B20="","",SUMIFS('系统实绩导入'!$S$4:$S$1500,'系统实绩导入'!$B$4:$B$1500,'维度字典'!$C$9,'系统实绩导入'!$D$4:$D$1500,'维度字典'!$E$2,'系统实绩导入'!$F$4:$F$1500,"实绩销售额"))</f>
        <v/>
      </c>
      <c r="D20" s="42">
        <f>IF($B20="","",SUMIFS('系统实绩导入'!$S$4:$S$1500,'系统实绩导入'!$B$4:$B$1500,'维度字典'!$C$9,'系统实绩导入'!$D$4:$D$1500,'维度字典'!$E$3,'系统实绩导入'!$F$4:$F$1500,"实绩销售额"))</f>
        <v/>
      </c>
      <c r="E20" s="42">
        <f>IF($B20="","",SUMIFS('系统实绩导入'!$S$4:$S$1500,'系统实绩导入'!$B$4:$B$1500,'维度字典'!$C$9,'系统实绩导入'!$D$4:$D$1500,'维度字典'!$E$4,'系统实绩导入'!$F$4:$F$1500,"实绩销售额"))</f>
        <v/>
      </c>
      <c r="F20" s="42">
        <f>IF($B20="","",SUMIFS('系统实绩导入'!$S$4:$S$1500,'系统实绩导入'!$B$4:$B$1500,'维度字典'!$C$9,'系统实绩导入'!$D$4:$D$1500,'维度字典'!$E$5,'系统实绩导入'!$F$4:$F$1500,"实绩销售额"))</f>
        <v/>
      </c>
      <c r="G20" s="42">
        <f>IF($B20="","",SUMIFS('系统实绩导入'!$S$4:$S$1500,'系统实绩导入'!$B$4:$B$1500,'维度字典'!$C$9,'系统实绩导入'!$D$4:$D$1500,'维度字典'!$E$6,'系统实绩导入'!$F$4:$F$1500,"实绩销售额"))</f>
        <v/>
      </c>
      <c r="H20" s="42">
        <f>IF($B20="","",SUMIFS('系统实绩导入'!$S$4:$S$1500,'系统实绩导入'!$B$4:$B$1500,'维度字典'!$C$9,'系统实绩导入'!$D$4:$D$1500,'维度字典'!$E$7,'系统实绩导入'!$F$4:$F$1500,"实绩销售额"))</f>
        <v/>
      </c>
      <c r="I20" s="43">
        <f>IF($B20="","",SUM(C20:H20))</f>
        <v/>
      </c>
    </row>
    <row r="21">
      <c r="B21" s="41" t="inlineStr">
        <is>
          <t>合计</t>
        </is>
      </c>
      <c r="C21" s="43">
        <f>SUM(C13:C20)</f>
        <v/>
      </c>
      <c r="D21" s="43">
        <f>SUM(D13:D20)</f>
        <v/>
      </c>
      <c r="E21" s="43">
        <f>SUM(E13:E20)</f>
        <v/>
      </c>
      <c r="F21" s="43">
        <f>SUM(F13:F20)</f>
        <v/>
      </c>
      <c r="G21" s="43">
        <f>SUM(G13:G20)</f>
        <v/>
      </c>
      <c r="H21" s="43">
        <f>SUM(H13:H20)</f>
        <v/>
      </c>
      <c r="I21" s="43">
        <f>SUM(H13:H20)</f>
        <v/>
      </c>
    </row>
    <row r="23">
      <c r="A23" s="3" t="inlineStr">
        <is>
          <t>③ 产品 × 月份 实绩销售额（万元）—— 按月趋势</t>
        </is>
      </c>
    </row>
    <row r="24">
      <c r="B24" s="19" t="inlineStr">
        <is>
          <t>产品</t>
        </is>
      </c>
      <c r="C24" s="44" t="n">
        <v>1</v>
      </c>
      <c r="D24" s="44" t="n">
        <v>2</v>
      </c>
      <c r="E24" s="44" t="n">
        <v>3</v>
      </c>
      <c r="F24" s="44" t="n">
        <v>4</v>
      </c>
      <c r="G24" s="44" t="n">
        <v>5</v>
      </c>
      <c r="H24" s="44" t="n">
        <v>6</v>
      </c>
      <c r="I24" s="44" t="n">
        <v>7</v>
      </c>
      <c r="J24" s="44" t="n">
        <v>8</v>
      </c>
      <c r="K24" s="44" t="n">
        <v>9</v>
      </c>
      <c r="L24" s="44" t="n">
        <v>10</v>
      </c>
      <c r="M24" s="44" t="n">
        <v>11</v>
      </c>
      <c r="N24" s="44" t="n">
        <v>12</v>
      </c>
    </row>
    <row r="25">
      <c r="B25" s="41">
        <f>IF('维度字典'!E2="","",'维度字典'!E2)</f>
        <v/>
      </c>
      <c r="C25" s="42">
        <f>IF($B25="","",SUMPRODUCT(('系统实绩导入'!$D$4:$D$1500='维度字典'!$E$2)*('系统实绩导入'!$F$4:$F$1500="实绩销售额")*('系统实绩导入'!$G$3:$R$3=1)*'系统实绩导入'!$G$4:$R$1500))</f>
        <v/>
      </c>
      <c r="D25" s="42">
        <f>IF($B25="","",SUMPRODUCT(('系统实绩导入'!$D$4:$D$1500='维度字典'!$E$2)*('系统实绩导入'!$F$4:$F$1500="实绩销售额")*('系统实绩导入'!$G$3:$R$3=2)*'系统实绩导入'!$G$4:$R$1500))</f>
        <v/>
      </c>
      <c r="E25" s="42">
        <f>IF($B25="","",SUMPRODUCT(('系统实绩导入'!$D$4:$D$1500='维度字典'!$E$2)*('系统实绩导入'!$F$4:$F$1500="实绩销售额")*('系统实绩导入'!$G$3:$R$3=3)*'系统实绩导入'!$G$4:$R$1500))</f>
        <v/>
      </c>
      <c r="F25" s="42">
        <f>IF($B25="","",SUMPRODUCT(('系统实绩导入'!$D$4:$D$1500='维度字典'!$E$2)*('系统实绩导入'!$F$4:$F$1500="实绩销售额")*('系统实绩导入'!$G$3:$R$3=4)*'系统实绩导入'!$G$4:$R$1500))</f>
        <v/>
      </c>
      <c r="G25" s="42">
        <f>IF($B25="","",SUMPRODUCT(('系统实绩导入'!$D$4:$D$1500='维度字典'!$E$2)*('系统实绩导入'!$F$4:$F$1500="实绩销售额")*('系统实绩导入'!$G$3:$R$3=5)*'系统实绩导入'!$G$4:$R$1500))</f>
        <v/>
      </c>
      <c r="H25" s="42">
        <f>IF($B25="","",SUMPRODUCT(('系统实绩导入'!$D$4:$D$1500='维度字典'!$E$2)*('系统实绩导入'!$F$4:$F$1500="实绩销售额")*('系统实绩导入'!$G$3:$R$3=6)*'系统实绩导入'!$G$4:$R$1500))</f>
        <v/>
      </c>
      <c r="I25" s="42">
        <f>IF($B25="","",SUMPRODUCT(('系统实绩导入'!$D$4:$D$1500='维度字典'!$E$2)*('系统实绩导入'!$F$4:$F$1500="实绩销售额")*('系统实绩导入'!$G$3:$R$3=7)*'系统实绩导入'!$G$4:$R$1500))</f>
        <v/>
      </c>
      <c r="J25" s="42">
        <f>IF($B25="","",SUMPRODUCT(('系统实绩导入'!$D$4:$D$1500='维度字典'!$E$2)*('系统实绩导入'!$F$4:$F$1500="实绩销售额")*('系统实绩导入'!$G$3:$R$3=8)*'系统实绩导入'!$G$4:$R$1500))</f>
        <v/>
      </c>
      <c r="K25" s="42">
        <f>IF($B25="","",SUMPRODUCT(('系统实绩导入'!$D$4:$D$1500='维度字典'!$E$2)*('系统实绩导入'!$F$4:$F$1500="实绩销售额")*('系统实绩导入'!$G$3:$R$3=9)*'系统实绩导入'!$G$4:$R$1500))</f>
        <v/>
      </c>
      <c r="L25" s="42">
        <f>IF($B25="","",SUMPRODUCT(('系统实绩导入'!$D$4:$D$1500='维度字典'!$E$2)*('系统实绩导入'!$F$4:$F$1500="实绩销售额")*('系统实绩导入'!$G$3:$R$3=10)*'系统实绩导入'!$G$4:$R$1500))</f>
        <v/>
      </c>
      <c r="M25" s="42">
        <f>IF($B25="","",SUMPRODUCT(('系统实绩导入'!$D$4:$D$1500='维度字典'!$E$2)*('系统实绩导入'!$F$4:$F$1500="实绩销售额")*('系统实绩导入'!$G$3:$R$3=11)*'系统实绩导入'!$G$4:$R$1500))</f>
        <v/>
      </c>
      <c r="N25" s="42">
        <f>IF($B25="","",SUMPRODUCT(('系统实绩导入'!$D$4:$D$1500='维度字典'!$E$2)*('系统实绩导入'!$F$4:$F$1500="实绩销售额")*('系统实绩导入'!$G$3:$R$3=12)*'系统实绩导入'!$G$4:$R$1500))</f>
        <v/>
      </c>
      <c r="O25" s="43">
        <f>IF($B25="","",SUM(C25:N25))</f>
        <v/>
      </c>
    </row>
    <row r="26">
      <c r="B26" s="41">
        <f>IF('维度字典'!E3="","",'维度字典'!E3)</f>
        <v/>
      </c>
      <c r="C26" s="42">
        <f>IF($B26="","",SUMPRODUCT(('系统实绩导入'!$D$4:$D$1500='维度字典'!$E$3)*('系统实绩导入'!$F$4:$F$1500="实绩销售额")*('系统实绩导入'!$G$3:$R$3=1)*'系统实绩导入'!$G$4:$R$1500))</f>
        <v/>
      </c>
      <c r="D26" s="42">
        <f>IF($B26="","",SUMPRODUCT(('系统实绩导入'!$D$4:$D$1500='维度字典'!$E$3)*('系统实绩导入'!$F$4:$F$1500="实绩销售额")*('系统实绩导入'!$G$3:$R$3=2)*'系统实绩导入'!$G$4:$R$1500))</f>
        <v/>
      </c>
      <c r="E26" s="42">
        <f>IF($B26="","",SUMPRODUCT(('系统实绩导入'!$D$4:$D$1500='维度字典'!$E$3)*('系统实绩导入'!$F$4:$F$1500="实绩销售额")*('系统实绩导入'!$G$3:$R$3=3)*'系统实绩导入'!$G$4:$R$1500))</f>
        <v/>
      </c>
      <c r="F26" s="42">
        <f>IF($B26="","",SUMPRODUCT(('系统实绩导入'!$D$4:$D$1500='维度字典'!$E$3)*('系统实绩导入'!$F$4:$F$1500="实绩销售额")*('系统实绩导入'!$G$3:$R$3=4)*'系统实绩导入'!$G$4:$R$1500))</f>
        <v/>
      </c>
      <c r="G26" s="42">
        <f>IF($B26="","",SUMPRODUCT(('系统实绩导入'!$D$4:$D$1500='维度字典'!$E$3)*('系统实绩导入'!$F$4:$F$1500="实绩销售额")*('系统实绩导入'!$G$3:$R$3=5)*'系统实绩导入'!$G$4:$R$1500))</f>
        <v/>
      </c>
      <c r="H26" s="42">
        <f>IF($B26="","",SUMPRODUCT(('系统实绩导入'!$D$4:$D$1500='维度字典'!$E$3)*('系统实绩导入'!$F$4:$F$1500="实绩销售额")*('系统实绩导入'!$G$3:$R$3=6)*'系统实绩导入'!$G$4:$R$1500))</f>
        <v/>
      </c>
      <c r="I26" s="42">
        <f>IF($B26="","",SUMPRODUCT(('系统实绩导入'!$D$4:$D$1500='维度字典'!$E$3)*('系统实绩导入'!$F$4:$F$1500="实绩销售额")*('系统实绩导入'!$G$3:$R$3=7)*'系统实绩导入'!$G$4:$R$1500))</f>
        <v/>
      </c>
      <c r="J26" s="42">
        <f>IF($B26="","",SUMPRODUCT(('系统实绩导入'!$D$4:$D$1500='维度字典'!$E$3)*('系统实绩导入'!$F$4:$F$1500="实绩销售额")*('系统实绩导入'!$G$3:$R$3=8)*'系统实绩导入'!$G$4:$R$1500))</f>
        <v/>
      </c>
      <c r="K26" s="42">
        <f>IF($B26="","",SUMPRODUCT(('系统实绩导入'!$D$4:$D$1500='维度字典'!$E$3)*('系统实绩导入'!$F$4:$F$1500="实绩销售额")*('系统实绩导入'!$G$3:$R$3=9)*'系统实绩导入'!$G$4:$R$1500))</f>
        <v/>
      </c>
      <c r="L26" s="42">
        <f>IF($B26="","",SUMPRODUCT(('系统实绩导入'!$D$4:$D$1500='维度字典'!$E$3)*('系统实绩导入'!$F$4:$F$1500="实绩销售额")*('系统实绩导入'!$G$3:$R$3=10)*'系统实绩导入'!$G$4:$R$1500))</f>
        <v/>
      </c>
      <c r="M26" s="42">
        <f>IF($B26="","",SUMPRODUCT(('系统实绩导入'!$D$4:$D$1500='维度字典'!$E$3)*('系统实绩导入'!$F$4:$F$1500="实绩销售额")*('系统实绩导入'!$G$3:$R$3=11)*'系统实绩导入'!$G$4:$R$1500))</f>
        <v/>
      </c>
      <c r="N26" s="42">
        <f>IF($B26="","",SUMPRODUCT(('系统实绩导入'!$D$4:$D$1500='维度字典'!$E$3)*('系统实绩导入'!$F$4:$F$1500="实绩销售额")*('系统实绩导入'!$G$3:$R$3=12)*'系统实绩导入'!$G$4:$R$1500))</f>
        <v/>
      </c>
      <c r="O26" s="43">
        <f>IF($B26="","",SUM(C26:N26))</f>
        <v/>
      </c>
    </row>
    <row r="27">
      <c r="B27" s="41">
        <f>IF('维度字典'!E4="","",'维度字典'!E4)</f>
        <v/>
      </c>
      <c r="C27" s="42">
        <f>IF($B27="","",SUMPRODUCT(('系统实绩导入'!$D$4:$D$1500='维度字典'!$E$4)*('系统实绩导入'!$F$4:$F$1500="实绩销售额")*('系统实绩导入'!$G$3:$R$3=1)*'系统实绩导入'!$G$4:$R$1500))</f>
        <v/>
      </c>
      <c r="D27" s="42">
        <f>IF($B27="","",SUMPRODUCT(('系统实绩导入'!$D$4:$D$1500='维度字典'!$E$4)*('系统实绩导入'!$F$4:$F$1500="实绩销售额")*('系统实绩导入'!$G$3:$R$3=2)*'系统实绩导入'!$G$4:$R$1500))</f>
        <v/>
      </c>
      <c r="E27" s="42">
        <f>IF($B27="","",SUMPRODUCT(('系统实绩导入'!$D$4:$D$1500='维度字典'!$E$4)*('系统实绩导入'!$F$4:$F$1500="实绩销售额")*('系统实绩导入'!$G$3:$R$3=3)*'系统实绩导入'!$G$4:$R$1500))</f>
        <v/>
      </c>
      <c r="F27" s="42">
        <f>IF($B27="","",SUMPRODUCT(('系统实绩导入'!$D$4:$D$1500='维度字典'!$E$4)*('系统实绩导入'!$F$4:$F$1500="实绩销售额")*('系统实绩导入'!$G$3:$R$3=4)*'系统实绩导入'!$G$4:$R$1500))</f>
        <v/>
      </c>
      <c r="G27" s="42">
        <f>IF($B27="","",SUMPRODUCT(('系统实绩导入'!$D$4:$D$1500='维度字典'!$E$4)*('系统实绩导入'!$F$4:$F$1500="实绩销售额")*('系统实绩导入'!$G$3:$R$3=5)*'系统实绩导入'!$G$4:$R$1500))</f>
        <v/>
      </c>
      <c r="H27" s="42">
        <f>IF($B27="","",SUMPRODUCT(('系统实绩导入'!$D$4:$D$1500='维度字典'!$E$4)*('系统实绩导入'!$F$4:$F$1500="实绩销售额")*('系统实绩导入'!$G$3:$R$3=6)*'系统实绩导入'!$G$4:$R$1500))</f>
        <v/>
      </c>
      <c r="I27" s="42">
        <f>IF($B27="","",SUMPRODUCT(('系统实绩导入'!$D$4:$D$1500='维度字典'!$E$4)*('系统实绩导入'!$F$4:$F$1500="实绩销售额")*('系统实绩导入'!$G$3:$R$3=7)*'系统实绩导入'!$G$4:$R$1500))</f>
        <v/>
      </c>
      <c r="J27" s="42">
        <f>IF($B27="","",SUMPRODUCT(('系统实绩导入'!$D$4:$D$1500='维度字典'!$E$4)*('系统实绩导入'!$F$4:$F$1500="实绩销售额")*('系统实绩导入'!$G$3:$R$3=8)*'系统实绩导入'!$G$4:$R$1500))</f>
        <v/>
      </c>
      <c r="K27" s="42">
        <f>IF($B27="","",SUMPRODUCT(('系统实绩导入'!$D$4:$D$1500='维度字典'!$E$4)*('系统实绩导入'!$F$4:$F$1500="实绩销售额")*('系统实绩导入'!$G$3:$R$3=9)*'系统实绩导入'!$G$4:$R$1500))</f>
        <v/>
      </c>
      <c r="L27" s="42">
        <f>IF($B27="","",SUMPRODUCT(('系统实绩导入'!$D$4:$D$1500='维度字典'!$E$4)*('系统实绩导入'!$F$4:$F$1500="实绩销售额")*('系统实绩导入'!$G$3:$R$3=10)*'系统实绩导入'!$G$4:$R$1500))</f>
        <v/>
      </c>
      <c r="M27" s="42">
        <f>IF($B27="","",SUMPRODUCT(('系统实绩导入'!$D$4:$D$1500='维度字典'!$E$4)*('系统实绩导入'!$F$4:$F$1500="实绩销售额")*('系统实绩导入'!$G$3:$R$3=11)*'系统实绩导入'!$G$4:$R$1500))</f>
        <v/>
      </c>
      <c r="N27" s="42">
        <f>IF($B27="","",SUMPRODUCT(('系统实绩导入'!$D$4:$D$1500='维度字典'!$E$4)*('系统实绩导入'!$F$4:$F$1500="实绩销售额")*('系统实绩导入'!$G$3:$R$3=12)*'系统实绩导入'!$G$4:$R$1500))</f>
        <v/>
      </c>
      <c r="O27" s="43">
        <f>IF($B27="","",SUM(C27:N27))</f>
        <v/>
      </c>
    </row>
    <row r="28">
      <c r="B28" s="41">
        <f>IF('维度字典'!E5="","",'维度字典'!E5)</f>
        <v/>
      </c>
      <c r="C28" s="42">
        <f>IF($B28="","",SUMPRODUCT(('系统实绩导入'!$D$4:$D$1500='维度字典'!$E$5)*('系统实绩导入'!$F$4:$F$1500="实绩销售额")*('系统实绩导入'!$G$3:$R$3=1)*'系统实绩导入'!$G$4:$R$1500))</f>
        <v/>
      </c>
      <c r="D28" s="42">
        <f>IF($B28="","",SUMPRODUCT(('系统实绩导入'!$D$4:$D$1500='维度字典'!$E$5)*('系统实绩导入'!$F$4:$F$1500="实绩销售额")*('系统实绩导入'!$G$3:$R$3=2)*'系统实绩导入'!$G$4:$R$1500))</f>
        <v/>
      </c>
      <c r="E28" s="42">
        <f>IF($B28="","",SUMPRODUCT(('系统实绩导入'!$D$4:$D$1500='维度字典'!$E$5)*('系统实绩导入'!$F$4:$F$1500="实绩销售额")*('系统实绩导入'!$G$3:$R$3=3)*'系统实绩导入'!$G$4:$R$1500))</f>
        <v/>
      </c>
      <c r="F28" s="42">
        <f>IF($B28="","",SUMPRODUCT(('系统实绩导入'!$D$4:$D$1500='维度字典'!$E$5)*('系统实绩导入'!$F$4:$F$1500="实绩销售额")*('系统实绩导入'!$G$3:$R$3=4)*'系统实绩导入'!$G$4:$R$1500))</f>
        <v/>
      </c>
      <c r="G28" s="42">
        <f>IF($B28="","",SUMPRODUCT(('系统实绩导入'!$D$4:$D$1500='维度字典'!$E$5)*('系统实绩导入'!$F$4:$F$1500="实绩销售额")*('系统实绩导入'!$G$3:$R$3=5)*'系统实绩导入'!$G$4:$R$1500))</f>
        <v/>
      </c>
      <c r="H28" s="42">
        <f>IF($B28="","",SUMPRODUCT(('系统实绩导入'!$D$4:$D$1500='维度字典'!$E$5)*('系统实绩导入'!$F$4:$F$1500="实绩销售额")*('系统实绩导入'!$G$3:$R$3=6)*'系统实绩导入'!$G$4:$R$1500))</f>
        <v/>
      </c>
      <c r="I28" s="42">
        <f>IF($B28="","",SUMPRODUCT(('系统实绩导入'!$D$4:$D$1500='维度字典'!$E$5)*('系统实绩导入'!$F$4:$F$1500="实绩销售额")*('系统实绩导入'!$G$3:$R$3=7)*'系统实绩导入'!$G$4:$R$1500))</f>
        <v/>
      </c>
      <c r="J28" s="42">
        <f>IF($B28="","",SUMPRODUCT(('系统实绩导入'!$D$4:$D$1500='维度字典'!$E$5)*('系统实绩导入'!$F$4:$F$1500="实绩销售额")*('系统实绩导入'!$G$3:$R$3=8)*'系统实绩导入'!$G$4:$R$1500))</f>
        <v/>
      </c>
      <c r="K28" s="42">
        <f>IF($B28="","",SUMPRODUCT(('系统实绩导入'!$D$4:$D$1500='维度字典'!$E$5)*('系统实绩导入'!$F$4:$F$1500="实绩销售额")*('系统实绩导入'!$G$3:$R$3=9)*'系统实绩导入'!$G$4:$R$1500))</f>
        <v/>
      </c>
      <c r="L28" s="42">
        <f>IF($B28="","",SUMPRODUCT(('系统实绩导入'!$D$4:$D$1500='维度字典'!$E$5)*('系统实绩导入'!$F$4:$F$1500="实绩销售额")*('系统实绩导入'!$G$3:$R$3=10)*'系统实绩导入'!$G$4:$R$1500))</f>
        <v/>
      </c>
      <c r="M28" s="42">
        <f>IF($B28="","",SUMPRODUCT(('系统实绩导入'!$D$4:$D$1500='维度字典'!$E$5)*('系统实绩导入'!$F$4:$F$1500="实绩销售额")*('系统实绩导入'!$G$3:$R$3=11)*'系统实绩导入'!$G$4:$R$1500))</f>
        <v/>
      </c>
      <c r="N28" s="42">
        <f>IF($B28="","",SUMPRODUCT(('系统实绩导入'!$D$4:$D$1500='维度字典'!$E$5)*('系统实绩导入'!$F$4:$F$1500="实绩销售额")*('系统实绩导入'!$G$3:$R$3=12)*'系统实绩导入'!$G$4:$R$1500))</f>
        <v/>
      </c>
      <c r="O28" s="43">
        <f>IF($B28="","",SUM(C28:N28))</f>
        <v/>
      </c>
    </row>
    <row r="29">
      <c r="B29" s="41">
        <f>IF('维度字典'!E6="","",'维度字典'!E6)</f>
        <v/>
      </c>
      <c r="C29" s="42">
        <f>IF($B29="","",SUMPRODUCT(('系统实绩导入'!$D$4:$D$1500='维度字典'!$E$6)*('系统实绩导入'!$F$4:$F$1500="实绩销售额")*('系统实绩导入'!$G$3:$R$3=1)*'系统实绩导入'!$G$4:$R$1500))</f>
        <v/>
      </c>
      <c r="D29" s="42">
        <f>IF($B29="","",SUMPRODUCT(('系统实绩导入'!$D$4:$D$1500='维度字典'!$E$6)*('系统实绩导入'!$F$4:$F$1500="实绩销售额")*('系统实绩导入'!$G$3:$R$3=2)*'系统实绩导入'!$G$4:$R$1500))</f>
        <v/>
      </c>
      <c r="E29" s="42">
        <f>IF($B29="","",SUMPRODUCT(('系统实绩导入'!$D$4:$D$1500='维度字典'!$E$6)*('系统实绩导入'!$F$4:$F$1500="实绩销售额")*('系统实绩导入'!$G$3:$R$3=3)*'系统实绩导入'!$G$4:$R$1500))</f>
        <v/>
      </c>
      <c r="F29" s="42">
        <f>IF($B29="","",SUMPRODUCT(('系统实绩导入'!$D$4:$D$1500='维度字典'!$E$6)*('系统实绩导入'!$F$4:$F$1500="实绩销售额")*('系统实绩导入'!$G$3:$R$3=4)*'系统实绩导入'!$G$4:$R$1500))</f>
        <v/>
      </c>
      <c r="G29" s="42">
        <f>IF($B29="","",SUMPRODUCT(('系统实绩导入'!$D$4:$D$1500='维度字典'!$E$6)*('系统实绩导入'!$F$4:$F$1500="实绩销售额")*('系统实绩导入'!$G$3:$R$3=5)*'系统实绩导入'!$G$4:$R$1500))</f>
        <v/>
      </c>
      <c r="H29" s="42">
        <f>IF($B29="","",SUMPRODUCT(('系统实绩导入'!$D$4:$D$1500='维度字典'!$E$6)*('系统实绩导入'!$F$4:$F$1500="实绩销售额")*('系统实绩导入'!$G$3:$R$3=6)*'系统实绩导入'!$G$4:$R$1500))</f>
        <v/>
      </c>
      <c r="I29" s="42">
        <f>IF($B29="","",SUMPRODUCT(('系统实绩导入'!$D$4:$D$1500='维度字典'!$E$6)*('系统实绩导入'!$F$4:$F$1500="实绩销售额")*('系统实绩导入'!$G$3:$R$3=7)*'系统实绩导入'!$G$4:$R$1500))</f>
        <v/>
      </c>
      <c r="J29" s="42">
        <f>IF($B29="","",SUMPRODUCT(('系统实绩导入'!$D$4:$D$1500='维度字典'!$E$6)*('系统实绩导入'!$F$4:$F$1500="实绩销售额")*('系统实绩导入'!$G$3:$R$3=8)*'系统实绩导入'!$G$4:$R$1500))</f>
        <v/>
      </c>
      <c r="K29" s="42">
        <f>IF($B29="","",SUMPRODUCT(('系统实绩导入'!$D$4:$D$1500='维度字典'!$E$6)*('系统实绩导入'!$F$4:$F$1500="实绩销售额")*('系统实绩导入'!$G$3:$R$3=9)*'系统实绩导入'!$G$4:$R$1500))</f>
        <v/>
      </c>
      <c r="L29" s="42">
        <f>IF($B29="","",SUMPRODUCT(('系统实绩导入'!$D$4:$D$1500='维度字典'!$E$6)*('系统实绩导入'!$F$4:$F$1500="实绩销售额")*('系统实绩导入'!$G$3:$R$3=10)*'系统实绩导入'!$G$4:$R$1500))</f>
        <v/>
      </c>
      <c r="M29" s="42">
        <f>IF($B29="","",SUMPRODUCT(('系统实绩导入'!$D$4:$D$1500='维度字典'!$E$6)*('系统实绩导入'!$F$4:$F$1500="实绩销售额")*('系统实绩导入'!$G$3:$R$3=11)*'系统实绩导入'!$G$4:$R$1500))</f>
        <v/>
      </c>
      <c r="N29" s="42">
        <f>IF($B29="","",SUMPRODUCT(('系统实绩导入'!$D$4:$D$1500='维度字典'!$E$6)*('系统实绩导入'!$F$4:$F$1500="实绩销售额")*('系统实绩导入'!$G$3:$R$3=12)*'系统实绩导入'!$G$4:$R$1500))</f>
        <v/>
      </c>
      <c r="O29" s="43">
        <f>IF($B29="","",SUM(C29:N29))</f>
        <v/>
      </c>
    </row>
    <row r="30">
      <c r="B30" s="41">
        <f>IF('维度字典'!E7="","",'维度字典'!E7)</f>
        <v/>
      </c>
      <c r="C30" s="42">
        <f>IF($B30="","",SUMPRODUCT(('系统实绩导入'!$D$4:$D$1500='维度字典'!$E$7)*('系统实绩导入'!$F$4:$F$1500="实绩销售额")*('系统实绩导入'!$G$3:$R$3=1)*'系统实绩导入'!$G$4:$R$1500))</f>
        <v/>
      </c>
      <c r="D30" s="42">
        <f>IF($B30="","",SUMPRODUCT(('系统实绩导入'!$D$4:$D$1500='维度字典'!$E$7)*('系统实绩导入'!$F$4:$F$1500="实绩销售额")*('系统实绩导入'!$G$3:$R$3=2)*'系统实绩导入'!$G$4:$R$1500))</f>
        <v/>
      </c>
      <c r="E30" s="42">
        <f>IF($B30="","",SUMPRODUCT(('系统实绩导入'!$D$4:$D$1500='维度字典'!$E$7)*('系统实绩导入'!$F$4:$F$1500="实绩销售额")*('系统实绩导入'!$G$3:$R$3=3)*'系统实绩导入'!$G$4:$R$1500))</f>
        <v/>
      </c>
      <c r="F30" s="42">
        <f>IF($B30="","",SUMPRODUCT(('系统实绩导入'!$D$4:$D$1500='维度字典'!$E$7)*('系统实绩导入'!$F$4:$F$1500="实绩销售额")*('系统实绩导入'!$G$3:$R$3=4)*'系统实绩导入'!$G$4:$R$1500))</f>
        <v/>
      </c>
      <c r="G30" s="42">
        <f>IF($B30="","",SUMPRODUCT(('系统实绩导入'!$D$4:$D$1500='维度字典'!$E$7)*('系统实绩导入'!$F$4:$F$1500="实绩销售额")*('系统实绩导入'!$G$3:$R$3=5)*'系统实绩导入'!$G$4:$R$1500))</f>
        <v/>
      </c>
      <c r="H30" s="42">
        <f>IF($B30="","",SUMPRODUCT(('系统实绩导入'!$D$4:$D$1500='维度字典'!$E$7)*('系统实绩导入'!$F$4:$F$1500="实绩销售额")*('系统实绩导入'!$G$3:$R$3=6)*'系统实绩导入'!$G$4:$R$1500))</f>
        <v/>
      </c>
      <c r="I30" s="42">
        <f>IF($B30="","",SUMPRODUCT(('系统实绩导入'!$D$4:$D$1500='维度字典'!$E$7)*('系统实绩导入'!$F$4:$F$1500="实绩销售额")*('系统实绩导入'!$G$3:$R$3=7)*'系统实绩导入'!$G$4:$R$1500))</f>
        <v/>
      </c>
      <c r="J30" s="42">
        <f>IF($B30="","",SUMPRODUCT(('系统实绩导入'!$D$4:$D$1500='维度字典'!$E$7)*('系统实绩导入'!$F$4:$F$1500="实绩销售额")*('系统实绩导入'!$G$3:$R$3=8)*'系统实绩导入'!$G$4:$R$1500))</f>
        <v/>
      </c>
      <c r="K30" s="42">
        <f>IF($B30="","",SUMPRODUCT(('系统实绩导入'!$D$4:$D$1500='维度字典'!$E$7)*('系统实绩导入'!$F$4:$F$1500="实绩销售额")*('系统实绩导入'!$G$3:$R$3=9)*'系统实绩导入'!$G$4:$R$1500))</f>
        <v/>
      </c>
      <c r="L30" s="42">
        <f>IF($B30="","",SUMPRODUCT(('系统实绩导入'!$D$4:$D$1500='维度字典'!$E$7)*('系统实绩导入'!$F$4:$F$1500="实绩销售额")*('系统实绩导入'!$G$3:$R$3=10)*'系统实绩导入'!$G$4:$R$1500))</f>
        <v/>
      </c>
      <c r="M30" s="42">
        <f>IF($B30="","",SUMPRODUCT(('系统实绩导入'!$D$4:$D$1500='维度字典'!$E$7)*('系统实绩导入'!$F$4:$F$1500="实绩销售额")*('系统实绩导入'!$G$3:$R$3=11)*'系统实绩导入'!$G$4:$R$1500))</f>
        <v/>
      </c>
      <c r="N30" s="42">
        <f>IF($B30="","",SUMPRODUCT(('系统实绩导入'!$D$4:$D$1500='维度字典'!$E$7)*('系统实绩导入'!$F$4:$F$1500="实绩销售额")*('系统实绩导入'!$G$3:$R$3=12)*'系统实绩导入'!$G$4:$R$1500))</f>
        <v/>
      </c>
      <c r="O30" s="43">
        <f>IF($B30="","",SUM(C30:N30))</f>
        <v/>
      </c>
    </row>
    <row r="31">
      <c r="B31" s="41" t="inlineStr">
        <is>
          <t>合计</t>
        </is>
      </c>
      <c r="C31" s="43">
        <f>SUM(C25:C30)</f>
        <v/>
      </c>
      <c r="D31" s="43">
        <f>SUM(D25:D30)</f>
        <v/>
      </c>
      <c r="E31" s="43">
        <f>SUM(E25:E30)</f>
        <v/>
      </c>
      <c r="F31" s="43">
        <f>SUM(F25:F30)</f>
        <v/>
      </c>
      <c r="G31" s="43">
        <f>SUM(G25:G30)</f>
        <v/>
      </c>
      <c r="H31" s="43">
        <f>SUM(H25:H30)</f>
        <v/>
      </c>
      <c r="I31" s="43">
        <f>SUM(I25:I30)</f>
        <v/>
      </c>
      <c r="J31" s="43">
        <f>SUM(J25:J30)</f>
        <v/>
      </c>
      <c r="K31" s="43">
        <f>SUM(K25:K30)</f>
        <v/>
      </c>
      <c r="L31" s="43">
        <f>SUM(L25:L30)</f>
        <v/>
      </c>
      <c r="M31" s="43">
        <f>SUM(M25:M30)</f>
        <v/>
      </c>
      <c r="N31" s="43">
        <f>SUM(N25:N30)</f>
        <v/>
      </c>
      <c r="O31" s="43">
        <f>SUM(N25:N30)</f>
        <v/>
      </c>
    </row>
    <row r="33">
      <c r="A33" s="3" t="inlineStr">
        <is>
          <t>④ 行业 × 月份 实绩销售额（万元）—— 按月趋势</t>
        </is>
      </c>
    </row>
    <row r="34">
      <c r="B34" s="19" t="inlineStr">
        <is>
          <t>行业</t>
        </is>
      </c>
      <c r="C34" s="44" t="n">
        <v>1</v>
      </c>
      <c r="D34" s="44" t="n">
        <v>2</v>
      </c>
      <c r="E34" s="44" t="n">
        <v>3</v>
      </c>
      <c r="F34" s="44" t="n">
        <v>4</v>
      </c>
      <c r="G34" s="44" t="n">
        <v>5</v>
      </c>
      <c r="H34" s="44" t="n">
        <v>6</v>
      </c>
      <c r="I34" s="44" t="n">
        <v>7</v>
      </c>
      <c r="J34" s="44" t="n">
        <v>8</v>
      </c>
      <c r="K34" s="44" t="n">
        <v>9</v>
      </c>
      <c r="L34" s="44" t="n">
        <v>10</v>
      </c>
      <c r="M34" s="44" t="n">
        <v>11</v>
      </c>
      <c r="N34" s="44" t="n">
        <v>12</v>
      </c>
    </row>
    <row r="35">
      <c r="B35" s="41">
        <f>IF('维度字典'!A2="","",'维度字典'!A2)</f>
        <v/>
      </c>
      <c r="C35" s="42">
        <f>IF($B35="","",SUMPRODUCT(('系统实绩导入'!$C$4:$C$1500='维度字典'!$A$2)*('系统实绩导入'!$F$4:$F$1500="实绩销售额")*('系统实绩导入'!$G$3:$R$3=1)*'系统实绩导入'!$G$4:$R$1500))</f>
        <v/>
      </c>
      <c r="D35" s="42">
        <f>IF($B35="","",SUMPRODUCT(('系统实绩导入'!$C$4:$C$1500='维度字典'!$A$2)*('系统实绩导入'!$F$4:$F$1500="实绩销售额")*('系统实绩导入'!$G$3:$R$3=2)*'系统实绩导入'!$G$4:$R$1500))</f>
        <v/>
      </c>
      <c r="E35" s="42">
        <f>IF($B35="","",SUMPRODUCT(('系统实绩导入'!$C$4:$C$1500='维度字典'!$A$2)*('系统实绩导入'!$F$4:$F$1500="实绩销售额")*('系统实绩导入'!$G$3:$R$3=3)*'系统实绩导入'!$G$4:$R$1500))</f>
        <v/>
      </c>
      <c r="F35" s="42">
        <f>IF($B35="","",SUMPRODUCT(('系统实绩导入'!$C$4:$C$1500='维度字典'!$A$2)*('系统实绩导入'!$F$4:$F$1500="实绩销售额")*('系统实绩导入'!$G$3:$R$3=4)*'系统实绩导入'!$G$4:$R$1500))</f>
        <v/>
      </c>
      <c r="G35" s="42">
        <f>IF($B35="","",SUMPRODUCT(('系统实绩导入'!$C$4:$C$1500='维度字典'!$A$2)*('系统实绩导入'!$F$4:$F$1500="实绩销售额")*('系统实绩导入'!$G$3:$R$3=5)*'系统实绩导入'!$G$4:$R$1500))</f>
        <v/>
      </c>
      <c r="H35" s="42">
        <f>IF($B35="","",SUMPRODUCT(('系统实绩导入'!$C$4:$C$1500='维度字典'!$A$2)*('系统实绩导入'!$F$4:$F$1500="实绩销售额")*('系统实绩导入'!$G$3:$R$3=6)*'系统实绩导入'!$G$4:$R$1500))</f>
        <v/>
      </c>
      <c r="I35" s="42">
        <f>IF($B35="","",SUMPRODUCT(('系统实绩导入'!$C$4:$C$1500='维度字典'!$A$2)*('系统实绩导入'!$F$4:$F$1500="实绩销售额")*('系统实绩导入'!$G$3:$R$3=7)*'系统实绩导入'!$G$4:$R$1500))</f>
        <v/>
      </c>
      <c r="J35" s="42">
        <f>IF($B35="","",SUMPRODUCT(('系统实绩导入'!$C$4:$C$1500='维度字典'!$A$2)*('系统实绩导入'!$F$4:$F$1500="实绩销售额")*('系统实绩导入'!$G$3:$R$3=8)*'系统实绩导入'!$G$4:$R$1500))</f>
        <v/>
      </c>
      <c r="K35" s="42">
        <f>IF($B35="","",SUMPRODUCT(('系统实绩导入'!$C$4:$C$1500='维度字典'!$A$2)*('系统实绩导入'!$F$4:$F$1500="实绩销售额")*('系统实绩导入'!$G$3:$R$3=9)*'系统实绩导入'!$G$4:$R$1500))</f>
        <v/>
      </c>
      <c r="L35" s="42">
        <f>IF($B35="","",SUMPRODUCT(('系统实绩导入'!$C$4:$C$1500='维度字典'!$A$2)*('系统实绩导入'!$F$4:$F$1500="实绩销售额")*('系统实绩导入'!$G$3:$R$3=10)*'系统实绩导入'!$G$4:$R$1500))</f>
        <v/>
      </c>
      <c r="M35" s="42">
        <f>IF($B35="","",SUMPRODUCT(('系统实绩导入'!$C$4:$C$1500='维度字典'!$A$2)*('系统实绩导入'!$F$4:$F$1500="实绩销售额")*('系统实绩导入'!$G$3:$R$3=11)*'系统实绩导入'!$G$4:$R$1500))</f>
        <v/>
      </c>
      <c r="N35" s="42">
        <f>IF($B35="","",SUMPRODUCT(('系统实绩导入'!$C$4:$C$1500='维度字典'!$A$2)*('系统实绩导入'!$F$4:$F$1500="实绩销售额")*('系统实绩导入'!$G$3:$R$3=12)*'系统实绩导入'!$G$4:$R$1500))</f>
        <v/>
      </c>
      <c r="O35" s="43">
        <f>IF($B35="","",SUM(C35:N35))</f>
        <v/>
      </c>
    </row>
    <row r="36">
      <c r="B36" s="41">
        <f>IF('维度字典'!A3="","",'维度字典'!A3)</f>
        <v/>
      </c>
      <c r="C36" s="42">
        <f>IF($B36="","",SUMPRODUCT(('系统实绩导入'!$C$4:$C$1500='维度字典'!$A$3)*('系统实绩导入'!$F$4:$F$1500="实绩销售额")*('系统实绩导入'!$G$3:$R$3=1)*'系统实绩导入'!$G$4:$R$1500))</f>
        <v/>
      </c>
      <c r="D36" s="42">
        <f>IF($B36="","",SUMPRODUCT(('系统实绩导入'!$C$4:$C$1500='维度字典'!$A$3)*('系统实绩导入'!$F$4:$F$1500="实绩销售额")*('系统实绩导入'!$G$3:$R$3=2)*'系统实绩导入'!$G$4:$R$1500))</f>
        <v/>
      </c>
      <c r="E36" s="42">
        <f>IF($B36="","",SUMPRODUCT(('系统实绩导入'!$C$4:$C$1500='维度字典'!$A$3)*('系统实绩导入'!$F$4:$F$1500="实绩销售额")*('系统实绩导入'!$G$3:$R$3=3)*'系统实绩导入'!$G$4:$R$1500))</f>
        <v/>
      </c>
      <c r="F36" s="42">
        <f>IF($B36="","",SUMPRODUCT(('系统实绩导入'!$C$4:$C$1500='维度字典'!$A$3)*('系统实绩导入'!$F$4:$F$1500="实绩销售额")*('系统实绩导入'!$G$3:$R$3=4)*'系统实绩导入'!$G$4:$R$1500))</f>
        <v/>
      </c>
      <c r="G36" s="42">
        <f>IF($B36="","",SUMPRODUCT(('系统实绩导入'!$C$4:$C$1500='维度字典'!$A$3)*('系统实绩导入'!$F$4:$F$1500="实绩销售额")*('系统实绩导入'!$G$3:$R$3=5)*'系统实绩导入'!$G$4:$R$1500))</f>
        <v/>
      </c>
      <c r="H36" s="42">
        <f>IF($B36="","",SUMPRODUCT(('系统实绩导入'!$C$4:$C$1500='维度字典'!$A$3)*('系统实绩导入'!$F$4:$F$1500="实绩销售额")*('系统实绩导入'!$G$3:$R$3=6)*'系统实绩导入'!$G$4:$R$1500))</f>
        <v/>
      </c>
      <c r="I36" s="42">
        <f>IF($B36="","",SUMPRODUCT(('系统实绩导入'!$C$4:$C$1500='维度字典'!$A$3)*('系统实绩导入'!$F$4:$F$1500="实绩销售额")*('系统实绩导入'!$G$3:$R$3=7)*'系统实绩导入'!$G$4:$R$1500))</f>
        <v/>
      </c>
      <c r="J36" s="42">
        <f>IF($B36="","",SUMPRODUCT(('系统实绩导入'!$C$4:$C$1500='维度字典'!$A$3)*('系统实绩导入'!$F$4:$F$1500="实绩销售额")*('系统实绩导入'!$G$3:$R$3=8)*'系统实绩导入'!$G$4:$R$1500))</f>
        <v/>
      </c>
      <c r="K36" s="42">
        <f>IF($B36="","",SUMPRODUCT(('系统实绩导入'!$C$4:$C$1500='维度字典'!$A$3)*('系统实绩导入'!$F$4:$F$1500="实绩销售额")*('系统实绩导入'!$G$3:$R$3=9)*'系统实绩导入'!$G$4:$R$1500))</f>
        <v/>
      </c>
      <c r="L36" s="42">
        <f>IF($B36="","",SUMPRODUCT(('系统实绩导入'!$C$4:$C$1500='维度字典'!$A$3)*('系统实绩导入'!$F$4:$F$1500="实绩销售额")*('系统实绩导入'!$G$3:$R$3=10)*'系统实绩导入'!$G$4:$R$1500))</f>
        <v/>
      </c>
      <c r="M36" s="42">
        <f>IF($B36="","",SUMPRODUCT(('系统实绩导入'!$C$4:$C$1500='维度字典'!$A$3)*('系统实绩导入'!$F$4:$F$1500="实绩销售额")*('系统实绩导入'!$G$3:$R$3=11)*'系统实绩导入'!$G$4:$R$1500))</f>
        <v/>
      </c>
      <c r="N36" s="42">
        <f>IF($B36="","",SUMPRODUCT(('系统实绩导入'!$C$4:$C$1500='维度字典'!$A$3)*('系统实绩导入'!$F$4:$F$1500="实绩销售额")*('系统实绩导入'!$G$3:$R$3=12)*'系统实绩导入'!$G$4:$R$1500))</f>
        <v/>
      </c>
      <c r="O36" s="43">
        <f>IF($B36="","",SUM(C36:N36))</f>
        <v/>
      </c>
    </row>
    <row r="37">
      <c r="B37" s="41">
        <f>IF('维度字典'!A4="","",'维度字典'!A4)</f>
        <v/>
      </c>
      <c r="C37" s="42">
        <f>IF($B37="","",SUMPRODUCT(('系统实绩导入'!$C$4:$C$1500='维度字典'!$A$4)*('系统实绩导入'!$F$4:$F$1500="实绩销售额")*('系统实绩导入'!$G$3:$R$3=1)*'系统实绩导入'!$G$4:$R$1500))</f>
        <v/>
      </c>
      <c r="D37" s="42">
        <f>IF($B37="","",SUMPRODUCT(('系统实绩导入'!$C$4:$C$1500='维度字典'!$A$4)*('系统实绩导入'!$F$4:$F$1500="实绩销售额")*('系统实绩导入'!$G$3:$R$3=2)*'系统实绩导入'!$G$4:$R$1500))</f>
        <v/>
      </c>
      <c r="E37" s="42">
        <f>IF($B37="","",SUMPRODUCT(('系统实绩导入'!$C$4:$C$1500='维度字典'!$A$4)*('系统实绩导入'!$F$4:$F$1500="实绩销售额")*('系统实绩导入'!$G$3:$R$3=3)*'系统实绩导入'!$G$4:$R$1500))</f>
        <v/>
      </c>
      <c r="F37" s="42">
        <f>IF($B37="","",SUMPRODUCT(('系统实绩导入'!$C$4:$C$1500='维度字典'!$A$4)*('系统实绩导入'!$F$4:$F$1500="实绩销售额")*('系统实绩导入'!$G$3:$R$3=4)*'系统实绩导入'!$G$4:$R$1500))</f>
        <v/>
      </c>
      <c r="G37" s="42">
        <f>IF($B37="","",SUMPRODUCT(('系统实绩导入'!$C$4:$C$1500='维度字典'!$A$4)*('系统实绩导入'!$F$4:$F$1500="实绩销售额")*('系统实绩导入'!$G$3:$R$3=5)*'系统实绩导入'!$G$4:$R$1500))</f>
        <v/>
      </c>
      <c r="H37" s="42">
        <f>IF($B37="","",SUMPRODUCT(('系统实绩导入'!$C$4:$C$1500='维度字典'!$A$4)*('系统实绩导入'!$F$4:$F$1500="实绩销售额")*('系统实绩导入'!$G$3:$R$3=6)*'系统实绩导入'!$G$4:$R$1500))</f>
        <v/>
      </c>
      <c r="I37" s="42">
        <f>IF($B37="","",SUMPRODUCT(('系统实绩导入'!$C$4:$C$1500='维度字典'!$A$4)*('系统实绩导入'!$F$4:$F$1500="实绩销售额")*('系统实绩导入'!$G$3:$R$3=7)*'系统实绩导入'!$G$4:$R$1500))</f>
        <v/>
      </c>
      <c r="J37" s="42">
        <f>IF($B37="","",SUMPRODUCT(('系统实绩导入'!$C$4:$C$1500='维度字典'!$A$4)*('系统实绩导入'!$F$4:$F$1500="实绩销售额")*('系统实绩导入'!$G$3:$R$3=8)*'系统实绩导入'!$G$4:$R$1500))</f>
        <v/>
      </c>
      <c r="K37" s="42">
        <f>IF($B37="","",SUMPRODUCT(('系统实绩导入'!$C$4:$C$1500='维度字典'!$A$4)*('系统实绩导入'!$F$4:$F$1500="实绩销售额")*('系统实绩导入'!$G$3:$R$3=9)*'系统实绩导入'!$G$4:$R$1500))</f>
        <v/>
      </c>
      <c r="L37" s="42">
        <f>IF($B37="","",SUMPRODUCT(('系统实绩导入'!$C$4:$C$1500='维度字典'!$A$4)*('系统实绩导入'!$F$4:$F$1500="实绩销售额")*('系统实绩导入'!$G$3:$R$3=10)*'系统实绩导入'!$G$4:$R$1500))</f>
        <v/>
      </c>
      <c r="M37" s="42">
        <f>IF($B37="","",SUMPRODUCT(('系统实绩导入'!$C$4:$C$1500='维度字典'!$A$4)*('系统实绩导入'!$F$4:$F$1500="实绩销售额")*('系统实绩导入'!$G$3:$R$3=11)*'系统实绩导入'!$G$4:$R$1500))</f>
        <v/>
      </c>
      <c r="N37" s="42">
        <f>IF($B37="","",SUMPRODUCT(('系统实绩导入'!$C$4:$C$1500='维度字典'!$A$4)*('系统实绩导入'!$F$4:$F$1500="实绩销售额")*('系统实绩导入'!$G$3:$R$3=12)*'系统实绩导入'!$G$4:$R$1500))</f>
        <v/>
      </c>
      <c r="O37" s="43">
        <f>IF($B37="","",SUM(C37:N37))</f>
        <v/>
      </c>
    </row>
    <row r="38">
      <c r="B38" s="41">
        <f>IF('维度字典'!A5="","",'维度字典'!A5)</f>
        <v/>
      </c>
      <c r="C38" s="42">
        <f>IF($B38="","",SUMPRODUCT(('系统实绩导入'!$C$4:$C$1500='维度字典'!$A$5)*('系统实绩导入'!$F$4:$F$1500="实绩销售额")*('系统实绩导入'!$G$3:$R$3=1)*'系统实绩导入'!$G$4:$R$1500))</f>
        <v/>
      </c>
      <c r="D38" s="42">
        <f>IF($B38="","",SUMPRODUCT(('系统实绩导入'!$C$4:$C$1500='维度字典'!$A$5)*('系统实绩导入'!$F$4:$F$1500="实绩销售额")*('系统实绩导入'!$G$3:$R$3=2)*'系统实绩导入'!$G$4:$R$1500))</f>
        <v/>
      </c>
      <c r="E38" s="42">
        <f>IF($B38="","",SUMPRODUCT(('系统实绩导入'!$C$4:$C$1500='维度字典'!$A$5)*('系统实绩导入'!$F$4:$F$1500="实绩销售额")*('系统实绩导入'!$G$3:$R$3=3)*'系统实绩导入'!$G$4:$R$1500))</f>
        <v/>
      </c>
      <c r="F38" s="42">
        <f>IF($B38="","",SUMPRODUCT(('系统实绩导入'!$C$4:$C$1500='维度字典'!$A$5)*('系统实绩导入'!$F$4:$F$1500="实绩销售额")*('系统实绩导入'!$G$3:$R$3=4)*'系统实绩导入'!$G$4:$R$1500))</f>
        <v/>
      </c>
      <c r="G38" s="42">
        <f>IF($B38="","",SUMPRODUCT(('系统实绩导入'!$C$4:$C$1500='维度字典'!$A$5)*('系统实绩导入'!$F$4:$F$1500="实绩销售额")*('系统实绩导入'!$G$3:$R$3=5)*'系统实绩导入'!$G$4:$R$1500))</f>
        <v/>
      </c>
      <c r="H38" s="42">
        <f>IF($B38="","",SUMPRODUCT(('系统实绩导入'!$C$4:$C$1500='维度字典'!$A$5)*('系统实绩导入'!$F$4:$F$1500="实绩销售额")*('系统实绩导入'!$G$3:$R$3=6)*'系统实绩导入'!$G$4:$R$1500))</f>
        <v/>
      </c>
      <c r="I38" s="42">
        <f>IF($B38="","",SUMPRODUCT(('系统实绩导入'!$C$4:$C$1500='维度字典'!$A$5)*('系统实绩导入'!$F$4:$F$1500="实绩销售额")*('系统实绩导入'!$G$3:$R$3=7)*'系统实绩导入'!$G$4:$R$1500))</f>
        <v/>
      </c>
      <c r="J38" s="42">
        <f>IF($B38="","",SUMPRODUCT(('系统实绩导入'!$C$4:$C$1500='维度字典'!$A$5)*('系统实绩导入'!$F$4:$F$1500="实绩销售额")*('系统实绩导入'!$G$3:$R$3=8)*'系统实绩导入'!$G$4:$R$1500))</f>
        <v/>
      </c>
      <c r="K38" s="42">
        <f>IF($B38="","",SUMPRODUCT(('系统实绩导入'!$C$4:$C$1500='维度字典'!$A$5)*('系统实绩导入'!$F$4:$F$1500="实绩销售额")*('系统实绩导入'!$G$3:$R$3=9)*'系统实绩导入'!$G$4:$R$1500))</f>
        <v/>
      </c>
      <c r="L38" s="42">
        <f>IF($B38="","",SUMPRODUCT(('系统实绩导入'!$C$4:$C$1500='维度字典'!$A$5)*('系统实绩导入'!$F$4:$F$1500="实绩销售额")*('系统实绩导入'!$G$3:$R$3=10)*'系统实绩导入'!$G$4:$R$1500))</f>
        <v/>
      </c>
      <c r="M38" s="42">
        <f>IF($B38="","",SUMPRODUCT(('系统实绩导入'!$C$4:$C$1500='维度字典'!$A$5)*('系统实绩导入'!$F$4:$F$1500="实绩销售额")*('系统实绩导入'!$G$3:$R$3=11)*'系统实绩导入'!$G$4:$R$1500))</f>
        <v/>
      </c>
      <c r="N38" s="42">
        <f>IF($B38="","",SUMPRODUCT(('系统实绩导入'!$C$4:$C$1500='维度字典'!$A$5)*('系统实绩导入'!$F$4:$F$1500="实绩销售额")*('系统实绩导入'!$G$3:$R$3=12)*'系统实绩导入'!$G$4:$R$1500))</f>
        <v/>
      </c>
      <c r="O38" s="43">
        <f>IF($B38="","",SUM(C38:N38))</f>
        <v/>
      </c>
    </row>
    <row r="39">
      <c r="B39" s="41">
        <f>IF('维度字典'!A6="","",'维度字典'!A6)</f>
        <v/>
      </c>
      <c r="C39" s="42">
        <f>IF($B39="","",SUMPRODUCT(('系统实绩导入'!$C$4:$C$1500='维度字典'!$A$6)*('系统实绩导入'!$F$4:$F$1500="实绩销售额")*('系统实绩导入'!$G$3:$R$3=1)*'系统实绩导入'!$G$4:$R$1500))</f>
        <v/>
      </c>
      <c r="D39" s="42">
        <f>IF($B39="","",SUMPRODUCT(('系统实绩导入'!$C$4:$C$1500='维度字典'!$A$6)*('系统实绩导入'!$F$4:$F$1500="实绩销售额")*('系统实绩导入'!$G$3:$R$3=2)*'系统实绩导入'!$G$4:$R$1500))</f>
        <v/>
      </c>
      <c r="E39" s="42">
        <f>IF($B39="","",SUMPRODUCT(('系统实绩导入'!$C$4:$C$1500='维度字典'!$A$6)*('系统实绩导入'!$F$4:$F$1500="实绩销售额")*('系统实绩导入'!$G$3:$R$3=3)*'系统实绩导入'!$G$4:$R$1500))</f>
        <v/>
      </c>
      <c r="F39" s="42">
        <f>IF($B39="","",SUMPRODUCT(('系统实绩导入'!$C$4:$C$1500='维度字典'!$A$6)*('系统实绩导入'!$F$4:$F$1500="实绩销售额")*('系统实绩导入'!$G$3:$R$3=4)*'系统实绩导入'!$G$4:$R$1500))</f>
        <v/>
      </c>
      <c r="G39" s="42">
        <f>IF($B39="","",SUMPRODUCT(('系统实绩导入'!$C$4:$C$1500='维度字典'!$A$6)*('系统实绩导入'!$F$4:$F$1500="实绩销售额")*('系统实绩导入'!$G$3:$R$3=5)*'系统实绩导入'!$G$4:$R$1500))</f>
        <v/>
      </c>
      <c r="H39" s="42">
        <f>IF($B39="","",SUMPRODUCT(('系统实绩导入'!$C$4:$C$1500='维度字典'!$A$6)*('系统实绩导入'!$F$4:$F$1500="实绩销售额")*('系统实绩导入'!$G$3:$R$3=6)*'系统实绩导入'!$G$4:$R$1500))</f>
        <v/>
      </c>
      <c r="I39" s="42">
        <f>IF($B39="","",SUMPRODUCT(('系统实绩导入'!$C$4:$C$1500='维度字典'!$A$6)*('系统实绩导入'!$F$4:$F$1500="实绩销售额")*('系统实绩导入'!$G$3:$R$3=7)*'系统实绩导入'!$G$4:$R$1500))</f>
        <v/>
      </c>
      <c r="J39" s="42">
        <f>IF($B39="","",SUMPRODUCT(('系统实绩导入'!$C$4:$C$1500='维度字典'!$A$6)*('系统实绩导入'!$F$4:$F$1500="实绩销售额")*('系统实绩导入'!$G$3:$R$3=8)*'系统实绩导入'!$G$4:$R$1500))</f>
        <v/>
      </c>
      <c r="K39" s="42">
        <f>IF($B39="","",SUMPRODUCT(('系统实绩导入'!$C$4:$C$1500='维度字典'!$A$6)*('系统实绩导入'!$F$4:$F$1500="实绩销售额")*('系统实绩导入'!$G$3:$R$3=9)*'系统实绩导入'!$G$4:$R$1500))</f>
        <v/>
      </c>
      <c r="L39" s="42">
        <f>IF($B39="","",SUMPRODUCT(('系统实绩导入'!$C$4:$C$1500='维度字典'!$A$6)*('系统实绩导入'!$F$4:$F$1500="实绩销售额")*('系统实绩导入'!$G$3:$R$3=10)*'系统实绩导入'!$G$4:$R$1500))</f>
        <v/>
      </c>
      <c r="M39" s="42">
        <f>IF($B39="","",SUMPRODUCT(('系统实绩导入'!$C$4:$C$1500='维度字典'!$A$6)*('系统实绩导入'!$F$4:$F$1500="实绩销售额")*('系统实绩导入'!$G$3:$R$3=11)*'系统实绩导入'!$G$4:$R$1500))</f>
        <v/>
      </c>
      <c r="N39" s="42">
        <f>IF($B39="","",SUMPRODUCT(('系统实绩导入'!$C$4:$C$1500='维度字典'!$A$6)*('系统实绩导入'!$F$4:$F$1500="实绩销售额")*('系统实绩导入'!$G$3:$R$3=12)*'系统实绩导入'!$G$4:$R$1500))</f>
        <v/>
      </c>
      <c r="O39" s="43">
        <f>IF($B39="","",SUM(C39:N39))</f>
        <v/>
      </c>
    </row>
    <row r="40">
      <c r="B40" s="41" t="inlineStr">
        <is>
          <t>合计</t>
        </is>
      </c>
      <c r="C40" s="43">
        <f>SUM(C35:C39)</f>
        <v/>
      </c>
      <c r="D40" s="43">
        <f>SUM(D35:D39)</f>
        <v/>
      </c>
      <c r="E40" s="43">
        <f>SUM(E35:E39)</f>
        <v/>
      </c>
      <c r="F40" s="43">
        <f>SUM(F35:F39)</f>
        <v/>
      </c>
      <c r="G40" s="43">
        <f>SUM(G35:G39)</f>
        <v/>
      </c>
      <c r="H40" s="43">
        <f>SUM(H35:H39)</f>
        <v/>
      </c>
      <c r="I40" s="43">
        <f>SUM(I35:I39)</f>
        <v/>
      </c>
      <c r="J40" s="43">
        <f>SUM(J35:J39)</f>
        <v/>
      </c>
      <c r="K40" s="43">
        <f>SUM(K35:K39)</f>
        <v/>
      </c>
      <c r="L40" s="43">
        <f>SUM(L35:L39)</f>
        <v/>
      </c>
      <c r="M40" s="43">
        <f>SUM(M35:M39)</f>
        <v/>
      </c>
      <c r="N40" s="43">
        <f>SUM(N35:N39)</f>
        <v/>
      </c>
      <c r="O40" s="43">
        <f>SUM(N35:N39)</f>
        <v/>
      </c>
    </row>
    <row r="42">
      <c r="A42" s="45" t="inlineStr">
        <is>
          <t>说明：四块矩阵均为公式视图，实绩销售额自动取自「系统实绩导入」；业务员/行业/产品在「维度字典」维护后自动联动。更细切片可在「系统实绩导入」用筛选实现。</t>
        </is>
      </c>
    </row>
  </sheetData>
  <mergeCells count="5">
    <mergeCell ref="A1:G1"/>
    <mergeCell ref="A33:H33"/>
    <mergeCell ref="A11:H11"/>
    <mergeCell ref="A42:N42"/>
    <mergeCell ref="A23:N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8" t="inlineStr">
        <is>
          <t>行业经营分析表（SBU 营销分类管理）</t>
        </is>
      </c>
    </row>
    <row r="2">
      <c r="A2" s="4" t="inlineStr">
        <is>
          <t>按五大行业进行经营业绩监控、预测和策略部署　|　统计月份(1-12)：</t>
        </is>
      </c>
      <c r="H2" s="46" t="n">
        <v>7</v>
      </c>
    </row>
    <row r="3" ht="22" customHeight="1">
      <c r="A3" s="19" t="inlineStr">
        <is>
          <t>行次</t>
        </is>
      </c>
      <c r="B3" s="19" t="inlineStr">
        <is>
          <t>项目</t>
        </is>
      </c>
      <c r="C3" s="19">
        <f>IF('维度字典'!$A$2="","",'维度字典'!$A$2)</f>
        <v/>
      </c>
      <c r="D3" s="19">
        <f>IF('维度字典'!$A$3="","",'维度字典'!$A$3)</f>
        <v/>
      </c>
      <c r="E3" s="19">
        <f>IF('维度字典'!$A$4="","",'维度字典'!$A$4)</f>
        <v/>
      </c>
      <c r="F3" s="19">
        <f>IF('维度字典'!$A$5="","",'维度字典'!$A$5)</f>
        <v/>
      </c>
      <c r="G3" s="19">
        <f>IF('维度字典'!$A$6="","",'维度字典'!$A$6)</f>
        <v/>
      </c>
      <c r="H3" s="19" t="inlineStr">
        <is>
          <t>合计</t>
        </is>
      </c>
    </row>
    <row r="4">
      <c r="A4" s="47" t="inlineStr">
        <is>
          <t>一、全年目标</t>
        </is>
      </c>
      <c r="B4" s="48" t="n"/>
      <c r="C4" s="48" t="n"/>
      <c r="D4" s="48" t="n"/>
      <c r="E4" s="48" t="n"/>
      <c r="F4" s="48" t="n"/>
      <c r="G4" s="48" t="n"/>
      <c r="H4" s="48" t="n"/>
    </row>
    <row r="5">
      <c r="A5" s="49" t="n">
        <v>1</v>
      </c>
      <c r="B5" s="50" t="inlineStr">
        <is>
          <t>年度销售额目标（万元）</t>
        </is>
      </c>
      <c r="C5" s="42">
        <f>SUMIFS('目标填报'!$S$4:$S$1500,'目标填报'!$C$4:$C$1500,'维度字典'!$A$2,'目标填报'!$F$4:$F$1500,"销售目标额")</f>
        <v/>
      </c>
      <c r="D5" s="42">
        <f>SUMIFS('目标填报'!$S$4:$S$1500,'目标填报'!$C$4:$C$1500,'维度字典'!$A$3,'目标填报'!$F$4:$F$1500,"销售目标额")</f>
        <v/>
      </c>
      <c r="E5" s="42">
        <f>SUMIFS('目标填报'!$S$4:$S$1500,'目标填报'!$C$4:$C$1500,'维度字典'!$A$4,'目标填报'!$F$4:$F$1500,"销售目标额")</f>
        <v/>
      </c>
      <c r="F5" s="42">
        <f>SUMIFS('目标填报'!$S$4:$S$1500,'目标填报'!$C$4:$C$1500,'维度字典'!$A$5,'目标填报'!$F$4:$F$1500,"销售目标额")</f>
        <v/>
      </c>
      <c r="G5" s="42">
        <f>SUMIFS('目标填报'!$S$4:$S$1500,'目标填报'!$C$4:$C$1500,'维度字典'!$A$6,'目标填报'!$F$4:$F$1500,"销售目标额")</f>
        <v/>
      </c>
      <c r="H5" s="43">
        <f>SUM(C5:G5)</f>
        <v/>
      </c>
    </row>
    <row r="6">
      <c r="A6" s="49" t="n">
        <v>2</v>
      </c>
      <c r="B6" s="50" t="inlineStr">
        <is>
          <t>年度毛利目标（万元）</t>
        </is>
      </c>
      <c r="C6" s="42">
        <f>SUMIFS('目标填报'!$S$4:$S$1500,'目标填报'!$C$4:$C$1500,'维度字典'!$A$2,'目标填报'!$F$4:$F$1500,"毛利目标")</f>
        <v/>
      </c>
      <c r="D6" s="42">
        <f>SUMIFS('目标填报'!$S$4:$S$1500,'目标填报'!$C$4:$C$1500,'维度字典'!$A$3,'目标填报'!$F$4:$F$1500,"毛利目标")</f>
        <v/>
      </c>
      <c r="E6" s="42">
        <f>SUMIFS('目标填报'!$S$4:$S$1500,'目标填报'!$C$4:$C$1500,'维度字典'!$A$4,'目标填报'!$F$4:$F$1500,"毛利目标")</f>
        <v/>
      </c>
      <c r="F6" s="42">
        <f>SUMIFS('目标填报'!$S$4:$S$1500,'目标填报'!$C$4:$C$1500,'维度字典'!$A$5,'目标填报'!$F$4:$F$1500,"毛利目标")</f>
        <v/>
      </c>
      <c r="G6" s="42">
        <f>SUMIFS('目标填报'!$S$4:$S$1500,'目标填报'!$C$4:$C$1500,'维度字典'!$A$6,'目标填报'!$F$4:$F$1500,"毛利目标")</f>
        <v/>
      </c>
      <c r="H6" s="43">
        <f>SUM(C6:G6)</f>
        <v/>
      </c>
    </row>
    <row r="7">
      <c r="A7" s="49" t="n">
        <v>3</v>
      </c>
      <c r="B7" s="50" t="inlineStr">
        <is>
          <t>年度毛利率目标</t>
        </is>
      </c>
      <c r="C7" s="51">
        <f>IFERROR(C6/C5,"")</f>
        <v/>
      </c>
      <c r="D7" s="51">
        <f>IFERROR(D6/D5,"")</f>
        <v/>
      </c>
      <c r="E7" s="51">
        <f>IFERROR(E6/E5,"")</f>
        <v/>
      </c>
      <c r="F7" s="51">
        <f>IFERROR(F6/F5,"")</f>
        <v/>
      </c>
      <c r="G7" s="51">
        <f>IFERROR(G6/G5,"")</f>
        <v/>
      </c>
      <c r="H7" s="52">
        <f>IFERROR(H6/H5,"")</f>
        <v/>
      </c>
    </row>
    <row r="8">
      <c r="A8" s="49" t="n">
        <v>4</v>
      </c>
      <c r="B8" s="50" t="inlineStr">
        <is>
          <t>在手订单目标（万元，月末时点）</t>
        </is>
      </c>
      <c r="C8" s="42">
        <f>SUMIFS('目标填报'!$S$4:$S$1500,'目标填报'!$C$4:$C$1500,'维度字典'!$A$2,'目标填报'!$F$4:$F$1500,"在手订单目标")</f>
        <v/>
      </c>
      <c r="D8" s="42">
        <f>SUMIFS('目标填报'!$S$4:$S$1500,'目标填报'!$C$4:$C$1500,'维度字典'!$A$3,'目标填报'!$F$4:$F$1500,"在手订单目标")</f>
        <v/>
      </c>
      <c r="E8" s="42">
        <f>SUMIFS('目标填报'!$S$4:$S$1500,'目标填报'!$C$4:$C$1500,'维度字典'!$A$4,'目标填报'!$F$4:$F$1500,"在手订单目标")</f>
        <v/>
      </c>
      <c r="F8" s="42">
        <f>SUMIFS('目标填报'!$S$4:$S$1500,'目标填报'!$C$4:$C$1500,'维度字典'!$A$5,'目标填报'!$F$4:$F$1500,"在手订单目标")</f>
        <v/>
      </c>
      <c r="G8" s="42">
        <f>SUMIFS('目标填报'!$S$4:$S$1500,'目标填报'!$C$4:$C$1500,'维度字典'!$A$6,'目标填报'!$F$4:$F$1500,"在手订单目标")</f>
        <v/>
      </c>
      <c r="H8" s="43">
        <f>SUM(C8:G8)</f>
        <v/>
      </c>
    </row>
    <row r="9">
      <c r="A9" s="49" t="n">
        <v>5</v>
      </c>
      <c r="B9" s="50" t="inlineStr">
        <is>
          <t>目标客户机会目标（万元，月末时点）</t>
        </is>
      </c>
      <c r="C9" s="42">
        <f>SUMIFS('目标填报'!$S$4:$S$1500,'目标填报'!$C$4:$C$1500,'维度字典'!$A$2,'目标填报'!$F$4:$F$1500,"目标客户机会目标")</f>
        <v/>
      </c>
      <c r="D9" s="42">
        <f>SUMIFS('目标填报'!$S$4:$S$1500,'目标填报'!$C$4:$C$1500,'维度字典'!$A$3,'目标填报'!$F$4:$F$1500,"目标客户机会目标")</f>
        <v/>
      </c>
      <c r="E9" s="42">
        <f>SUMIFS('目标填报'!$S$4:$S$1500,'目标填报'!$C$4:$C$1500,'维度字典'!$A$4,'目标填报'!$F$4:$F$1500,"目标客户机会目标")</f>
        <v/>
      </c>
      <c r="F9" s="42">
        <f>SUMIFS('目标填报'!$S$4:$S$1500,'目标填报'!$C$4:$C$1500,'维度字典'!$A$5,'目标填报'!$F$4:$F$1500,"目标客户机会目标")</f>
        <v/>
      </c>
      <c r="G9" s="42">
        <f>SUMIFS('目标填报'!$S$4:$S$1500,'目标填报'!$C$4:$C$1500,'维度字典'!$A$6,'目标填报'!$F$4:$F$1500,"目标客户机会目标")</f>
        <v/>
      </c>
      <c r="H9" s="43">
        <f>SUM(C9:G9)</f>
        <v/>
      </c>
    </row>
    <row r="10">
      <c r="A10" s="47" t="inlineStr">
        <is>
          <t>二、当月达成</t>
        </is>
      </c>
      <c r="B10" s="48" t="n"/>
      <c r="C10" s="48" t="n"/>
      <c r="D10" s="48" t="n"/>
      <c r="E10" s="48" t="n"/>
      <c r="F10" s="48" t="n"/>
      <c r="G10" s="48" t="n"/>
      <c r="H10" s="48" t="n"/>
    </row>
    <row r="11">
      <c r="A11" s="49" t="n">
        <v>6</v>
      </c>
      <c r="B11" s="50" t="inlineStr">
        <is>
          <t>本月销售额（万元）</t>
        </is>
      </c>
      <c r="C11" s="42">
        <f>SUMPRODUCT(('系统实绩导入'!$C$4:$C$1500='维度字典'!$A$2)*('系统实绩导入'!$F$4:$F$1500="实绩销售额")*('系统实绩导入'!$G$3:$R$3=$H$2)*'系统实绩导入'!$G$4:$R$1500)</f>
        <v/>
      </c>
      <c r="D11" s="42">
        <f>SUMPRODUCT(('系统实绩导入'!$C$4:$C$1500='维度字典'!$A$3)*('系统实绩导入'!$F$4:$F$1500="实绩销售额")*('系统实绩导入'!$G$3:$R$3=$H$2)*'系统实绩导入'!$G$4:$R$1500)</f>
        <v/>
      </c>
      <c r="E11" s="42">
        <f>SUMPRODUCT(('系统实绩导入'!$C$4:$C$1500='维度字典'!$A$4)*('系统实绩导入'!$F$4:$F$1500="实绩销售额")*('系统实绩导入'!$G$3:$R$3=$H$2)*'系统实绩导入'!$G$4:$R$1500)</f>
        <v/>
      </c>
      <c r="F11" s="42">
        <f>SUMPRODUCT(('系统实绩导入'!$C$4:$C$1500='维度字典'!$A$5)*('系统实绩导入'!$F$4:$F$1500="实绩销售额")*('系统实绩导入'!$G$3:$R$3=$H$2)*'系统实绩导入'!$G$4:$R$1500)</f>
        <v/>
      </c>
      <c r="G11" s="42">
        <f>SUMPRODUCT(('系统实绩导入'!$C$4:$C$1500='维度字典'!$A$6)*('系统实绩导入'!$F$4:$F$1500="实绩销售额")*('系统实绩导入'!$G$3:$R$3=$H$2)*'系统实绩导入'!$G$4:$R$1500)</f>
        <v/>
      </c>
      <c r="H11" s="43">
        <f>SUM(C11:G11)</f>
        <v/>
      </c>
    </row>
    <row r="12">
      <c r="A12" s="49" t="n">
        <v>7</v>
      </c>
      <c r="B12" s="50" t="inlineStr">
        <is>
          <t>本月毛利（万元）</t>
        </is>
      </c>
      <c r="C12" s="42">
        <f>SUMPRODUCT(('系统实绩导入'!$C$4:$C$1500='维度字典'!$A$2)*('系统实绩导入'!$F$4:$F$1500="实绩毛利")*('系统实绩导入'!$G$3:$R$3=$H$2)*'系统实绩导入'!$G$4:$R$1500)</f>
        <v/>
      </c>
      <c r="D12" s="42">
        <f>SUMPRODUCT(('系统实绩导入'!$C$4:$C$1500='维度字典'!$A$3)*('系统实绩导入'!$F$4:$F$1500="实绩毛利")*('系统实绩导入'!$G$3:$R$3=$H$2)*'系统实绩导入'!$G$4:$R$1500)</f>
        <v/>
      </c>
      <c r="E12" s="42">
        <f>SUMPRODUCT(('系统实绩导入'!$C$4:$C$1500='维度字典'!$A$4)*('系统实绩导入'!$F$4:$F$1500="实绩毛利")*('系统实绩导入'!$G$3:$R$3=$H$2)*'系统实绩导入'!$G$4:$R$1500)</f>
        <v/>
      </c>
      <c r="F12" s="42">
        <f>SUMPRODUCT(('系统实绩导入'!$C$4:$C$1500='维度字典'!$A$5)*('系统实绩导入'!$F$4:$F$1500="实绩毛利")*('系统实绩导入'!$G$3:$R$3=$H$2)*'系统实绩导入'!$G$4:$R$1500)</f>
        <v/>
      </c>
      <c r="G12" s="42">
        <f>SUMPRODUCT(('系统实绩导入'!$C$4:$C$1500='维度字典'!$A$6)*('系统实绩导入'!$F$4:$F$1500="实绩毛利")*('系统实绩导入'!$G$3:$R$3=$H$2)*'系统实绩导入'!$G$4:$R$1500)</f>
        <v/>
      </c>
      <c r="H12" s="43">
        <f>SUM(C12:G12)</f>
        <v/>
      </c>
    </row>
    <row r="13">
      <c r="A13" s="49" t="n">
        <v>8</v>
      </c>
      <c r="B13" s="50" t="inlineStr">
        <is>
          <t>本月毛利率</t>
        </is>
      </c>
      <c r="C13" s="51">
        <f>IFERROR(C12/C11,"")</f>
        <v/>
      </c>
      <c r="D13" s="51">
        <f>IFERROR(D12/D11,"")</f>
        <v/>
      </c>
      <c r="E13" s="51">
        <f>IFERROR(E12/E11,"")</f>
        <v/>
      </c>
      <c r="F13" s="51">
        <f>IFERROR(F12/F11,"")</f>
        <v/>
      </c>
      <c r="G13" s="51">
        <f>IFERROR(G12/G11,"")</f>
        <v/>
      </c>
      <c r="H13" s="52">
        <f>IFERROR(H12/H11,"")</f>
        <v/>
      </c>
    </row>
    <row r="14">
      <c r="A14" s="49" t="n">
        <v>9</v>
      </c>
      <c r="B14" s="50" t="inlineStr">
        <is>
          <t>本月目标达成率</t>
        </is>
      </c>
      <c r="C14" s="53">
        <f>IFERROR(C11/SUMPRODUCT(('目标填报'!$C$4:$C$1500='维度字典'!$A$2)*('目标填报'!$F$4:$F$1500="销售目标额")*('目标填报'!$G$3:$R$3=$H$2)*'目标填报'!$G$4:$R$1500),IFERROR(C11/(C5/12),""))</f>
        <v/>
      </c>
      <c r="D14" s="53">
        <f>IFERROR(D11/SUMPRODUCT(('目标填报'!$C$4:$C$1500='维度字典'!$A$3)*('目标填报'!$F$4:$F$1500="销售目标额")*('目标填报'!$G$3:$R$3=$H$2)*'目标填报'!$G$4:$R$1500),IFERROR(D11/(D5/12),""))</f>
        <v/>
      </c>
      <c r="E14" s="53">
        <f>IFERROR(E11/SUMPRODUCT(('目标填报'!$C$4:$C$1500='维度字典'!$A$4)*('目标填报'!$F$4:$F$1500="销售目标额")*('目标填报'!$G$3:$R$3=$H$2)*'目标填报'!$G$4:$R$1500),IFERROR(E11/(E5/12),""))</f>
        <v/>
      </c>
      <c r="F14" s="53">
        <f>IFERROR(F11/SUMPRODUCT(('目标填报'!$C$4:$C$1500='维度字典'!$A$5)*('目标填报'!$F$4:$F$1500="销售目标额")*('目标填报'!$G$3:$R$3=$H$2)*'目标填报'!$G$4:$R$1500),IFERROR(F11/(F5/12),""))</f>
        <v/>
      </c>
      <c r="G14" s="53">
        <f>IFERROR(G11/SUMPRODUCT(('目标填报'!$C$4:$C$1500='维度字典'!$A$6)*('目标填报'!$F$4:$F$1500="销售目标额")*('目标填报'!$G$3:$R$3=$H$2)*'目标填报'!$G$4:$R$1500),IFERROR(G11/(G5/12),""))</f>
        <v/>
      </c>
      <c r="H14" s="54">
        <f>IFERROR(H11/(H5/12),"")</f>
        <v/>
      </c>
    </row>
    <row r="15">
      <c r="A15" s="47" t="inlineStr">
        <is>
          <t>三、全年累计达成（1-X月）</t>
        </is>
      </c>
      <c r="B15" s="48" t="n"/>
      <c r="C15" s="48" t="n"/>
      <c r="D15" s="48" t="n"/>
      <c r="E15" s="48" t="n"/>
      <c r="F15" s="48" t="n"/>
      <c r="G15" s="48" t="n"/>
      <c r="H15" s="48" t="n"/>
    </row>
    <row r="16">
      <c r="A16" s="49" t="n">
        <v>10</v>
      </c>
      <c r="B16" s="50" t="inlineStr">
        <is>
          <t>累计销售额（万元）</t>
        </is>
      </c>
      <c r="C16" s="42">
        <f>SUMPRODUCT(('系统实绩导入'!$C$4:$C$1500='维度字典'!$A$2)*('系统实绩导入'!$F$4:$F$1500="实绩销售额")*('系统实绩导入'!$G$3:$R$3&lt;=$H$2)*'系统实绩导入'!$G$4:$R$1500)</f>
        <v/>
      </c>
      <c r="D16" s="42">
        <f>SUMPRODUCT(('系统实绩导入'!$C$4:$C$1500='维度字典'!$A$3)*('系统实绩导入'!$F$4:$F$1500="实绩销售额")*('系统实绩导入'!$G$3:$R$3&lt;=$H$2)*'系统实绩导入'!$G$4:$R$1500)</f>
        <v/>
      </c>
      <c r="E16" s="42">
        <f>SUMPRODUCT(('系统实绩导入'!$C$4:$C$1500='维度字典'!$A$4)*('系统实绩导入'!$F$4:$F$1500="实绩销售额")*('系统实绩导入'!$G$3:$R$3&lt;=$H$2)*'系统实绩导入'!$G$4:$R$1500)</f>
        <v/>
      </c>
      <c r="F16" s="42">
        <f>SUMPRODUCT(('系统实绩导入'!$C$4:$C$1500='维度字典'!$A$5)*('系统实绩导入'!$F$4:$F$1500="实绩销售额")*('系统实绩导入'!$G$3:$R$3&lt;=$H$2)*'系统实绩导入'!$G$4:$R$1500)</f>
        <v/>
      </c>
      <c r="G16" s="42">
        <f>SUMPRODUCT(('系统实绩导入'!$C$4:$C$1500='维度字典'!$A$6)*('系统实绩导入'!$F$4:$F$1500="实绩销售额")*('系统实绩导入'!$G$3:$R$3&lt;=$H$2)*'系统实绩导入'!$G$4:$R$1500)</f>
        <v/>
      </c>
      <c r="H16" s="43">
        <f>SUM(C16:G16)</f>
        <v/>
      </c>
    </row>
    <row r="17">
      <c r="A17" s="49" t="n">
        <v>11</v>
      </c>
      <c r="B17" s="50" t="inlineStr">
        <is>
          <t>累计毛利（万元）</t>
        </is>
      </c>
      <c r="C17" s="42">
        <f>SUMPRODUCT(('系统实绩导入'!$C$4:$C$1500='维度字典'!$A$2)*('系统实绩导入'!$F$4:$F$1500="实绩毛利")*('系统实绩导入'!$G$3:$R$3&lt;=$H$2)*'系统实绩导入'!$G$4:$R$1500)</f>
        <v/>
      </c>
      <c r="D17" s="42">
        <f>SUMPRODUCT(('系统实绩导入'!$C$4:$C$1500='维度字典'!$A$3)*('系统实绩导入'!$F$4:$F$1500="实绩毛利")*('系统实绩导入'!$G$3:$R$3&lt;=$H$2)*'系统实绩导入'!$G$4:$R$1500)</f>
        <v/>
      </c>
      <c r="E17" s="42">
        <f>SUMPRODUCT(('系统实绩导入'!$C$4:$C$1500='维度字典'!$A$4)*('系统实绩导入'!$F$4:$F$1500="实绩毛利")*('系统实绩导入'!$G$3:$R$3&lt;=$H$2)*'系统实绩导入'!$G$4:$R$1500)</f>
        <v/>
      </c>
      <c r="F17" s="42">
        <f>SUMPRODUCT(('系统实绩导入'!$C$4:$C$1500='维度字典'!$A$5)*('系统实绩导入'!$F$4:$F$1500="实绩毛利")*('系统实绩导入'!$G$3:$R$3&lt;=$H$2)*'系统实绩导入'!$G$4:$R$1500)</f>
        <v/>
      </c>
      <c r="G17" s="42">
        <f>SUMPRODUCT(('系统实绩导入'!$C$4:$C$1500='维度字典'!$A$6)*('系统实绩导入'!$F$4:$F$1500="实绩毛利")*('系统实绩导入'!$G$3:$R$3&lt;=$H$2)*'系统实绩导入'!$G$4:$R$1500)</f>
        <v/>
      </c>
      <c r="H17" s="43">
        <f>SUM(C17:G17)</f>
        <v/>
      </c>
    </row>
    <row r="18">
      <c r="A18" s="49" t="n">
        <v>12</v>
      </c>
      <c r="B18" s="50" t="inlineStr">
        <is>
          <t>累计毛利率</t>
        </is>
      </c>
      <c r="C18" s="51">
        <f>IFERROR(C17/C16,"")</f>
        <v/>
      </c>
      <c r="D18" s="51">
        <f>IFERROR(D17/D16,"")</f>
        <v/>
      </c>
      <c r="E18" s="51">
        <f>IFERROR(E17/E16,"")</f>
        <v/>
      </c>
      <c r="F18" s="51">
        <f>IFERROR(F17/F16,"")</f>
        <v/>
      </c>
      <c r="G18" s="51">
        <f>IFERROR(G17/G16,"")</f>
        <v/>
      </c>
      <c r="H18" s="52">
        <f>IFERROR(H17/H16,"")</f>
        <v/>
      </c>
    </row>
    <row r="19">
      <c r="A19" s="49" t="n">
        <v>13</v>
      </c>
      <c r="B19" s="50" t="inlineStr">
        <is>
          <t>累计达成率（全年）</t>
        </is>
      </c>
      <c r="C19" s="53">
        <f>IFERROR(C16/C5,"")</f>
        <v/>
      </c>
      <c r="D19" s="53">
        <f>IFERROR(D16/D5,"")</f>
        <v/>
      </c>
      <c r="E19" s="53">
        <f>IFERROR(E16/E5,"")</f>
        <v/>
      </c>
      <c r="F19" s="53">
        <f>IFERROR(F16/F5,"")</f>
        <v/>
      </c>
      <c r="G19" s="53">
        <f>IFERROR(G16/G5,"")</f>
        <v/>
      </c>
      <c r="H19" s="54">
        <f>IFERROR(H16/H5,"")</f>
        <v/>
      </c>
    </row>
    <row r="20">
      <c r="A20" s="49" t="n">
        <v>14</v>
      </c>
      <c r="B20" s="50" t="inlineStr">
        <is>
          <t>与目标差距（万元）</t>
        </is>
      </c>
      <c r="C20" s="55">
        <f>IFERROR(C16-C5,"")</f>
        <v/>
      </c>
      <c r="D20" s="55">
        <f>IFERROR(D16-D5,"")</f>
        <v/>
      </c>
      <c r="E20" s="55">
        <f>IFERROR(E16-E5,"")</f>
        <v/>
      </c>
      <c r="F20" s="55">
        <f>IFERROR(F16-F5,"")</f>
        <v/>
      </c>
      <c r="G20" s="55">
        <f>IFERROR(G16-G5,"")</f>
        <v/>
      </c>
      <c r="H20" s="56">
        <f>SUM(C20:G20)</f>
        <v/>
      </c>
    </row>
    <row r="21">
      <c r="A21" s="47" t="inlineStr">
        <is>
          <t>四、下期预测</t>
        </is>
      </c>
      <c r="B21" s="48" t="n"/>
      <c r="C21" s="48" t="n"/>
      <c r="D21" s="48" t="n"/>
      <c r="E21" s="48" t="n"/>
      <c r="F21" s="48" t="n"/>
      <c r="G21" s="48" t="n"/>
      <c r="H21" s="48" t="n"/>
    </row>
    <row r="22">
      <c r="A22" s="49" t="n">
        <v>15</v>
      </c>
      <c r="B22" s="50" t="inlineStr">
        <is>
          <t>在手订单（万元，本月末）</t>
        </is>
      </c>
      <c r="C22" s="42">
        <f>SUMPRODUCT(('目标填报'!$C$4:$C$1500='维度字典'!$A$2)*('目标填报'!$F$4:$F$1500="在手订单")*('目标填报'!$G$3:$R$3=$H$2)*'目标填报'!$G$4:$R$1500)</f>
        <v/>
      </c>
      <c r="D22" s="42">
        <f>SUMPRODUCT(('目标填报'!$C$4:$C$1500='维度字典'!$A$3)*('目标填报'!$F$4:$F$1500="在手订单")*('目标填报'!$G$3:$R$3=$H$2)*'目标填报'!$G$4:$R$1500)</f>
        <v/>
      </c>
      <c r="E22" s="42">
        <f>SUMPRODUCT(('目标填报'!$C$4:$C$1500='维度字典'!$A$4)*('目标填报'!$F$4:$F$1500="在手订单")*('目标填报'!$G$3:$R$3=$H$2)*'目标填报'!$G$4:$R$1500)</f>
        <v/>
      </c>
      <c r="F22" s="42">
        <f>SUMPRODUCT(('目标填报'!$C$4:$C$1500='维度字典'!$A$5)*('目标填报'!$F$4:$F$1500="在手订单")*('目标填报'!$G$3:$R$3=$H$2)*'目标填报'!$G$4:$R$1500)</f>
        <v/>
      </c>
      <c r="G22" s="42">
        <f>SUMPRODUCT(('目标填报'!$C$4:$C$1500='维度字典'!$A$6)*('目标填报'!$F$4:$F$1500="在手订单")*('目标填报'!$G$3:$R$3=$H$2)*'目标填报'!$G$4:$R$1500)</f>
        <v/>
      </c>
      <c r="H22" s="43">
        <f>SUM(C22:G22)</f>
        <v/>
      </c>
    </row>
    <row r="23">
      <c r="A23" s="49" t="n">
        <v>16</v>
      </c>
      <c r="B23" s="50" t="inlineStr">
        <is>
          <t>目标客户机会（万元，本月末）</t>
        </is>
      </c>
      <c r="C23" s="42">
        <f>SUMPRODUCT(('目标填报'!$C$4:$C$1500='维度字典'!$A$2)*('目标填报'!$F$4:$F$1500="目标客户机会")*('目标填报'!$G$3:$R$3=$H$2)*'目标填报'!$G$4:$R$1500)</f>
        <v/>
      </c>
      <c r="D23" s="42">
        <f>SUMPRODUCT(('目标填报'!$C$4:$C$1500='维度字典'!$A$3)*('目标填报'!$F$4:$F$1500="目标客户机会")*('目标填报'!$G$3:$R$3=$H$2)*'目标填报'!$G$4:$R$1500)</f>
        <v/>
      </c>
      <c r="E23" s="42">
        <f>SUMPRODUCT(('目标填报'!$C$4:$C$1500='维度字典'!$A$4)*('目标填报'!$F$4:$F$1500="目标客户机会")*('目标填报'!$G$3:$R$3=$H$2)*'目标填报'!$G$4:$R$1500)</f>
        <v/>
      </c>
      <c r="F23" s="42">
        <f>SUMPRODUCT(('目标填报'!$C$4:$C$1500='维度字典'!$A$5)*('目标填报'!$F$4:$F$1500="目标客户机会")*('目标填报'!$G$3:$R$3=$H$2)*'目标填报'!$G$4:$R$1500)</f>
        <v/>
      </c>
      <c r="G23" s="42">
        <f>SUMPRODUCT(('目标填报'!$C$4:$C$1500='维度字典'!$A$6)*('目标填报'!$F$4:$F$1500="目标客户机会")*('目标填报'!$G$3:$R$3=$H$2)*'目标填报'!$G$4:$R$1500)</f>
        <v/>
      </c>
      <c r="H23" s="43">
        <f>SUM(C23:G23)</f>
        <v/>
      </c>
    </row>
    <row r="24">
      <c r="A24" s="49" t="n">
        <v>17</v>
      </c>
      <c r="B24" s="50" t="inlineStr">
        <is>
          <t>预测合计（15+16）</t>
        </is>
      </c>
      <c r="C24" s="42">
        <f>IFERROR(C22+C23,"")</f>
        <v/>
      </c>
      <c r="D24" s="42">
        <f>IFERROR(D22+D23,"")</f>
        <v/>
      </c>
      <c r="E24" s="42">
        <f>IFERROR(E22+E23,"")</f>
        <v/>
      </c>
      <c r="F24" s="42">
        <f>IFERROR(F22+F23,"")</f>
        <v/>
      </c>
      <c r="G24" s="42">
        <f>IFERROR(G22+G23,"")</f>
        <v/>
      </c>
      <c r="H24" s="43">
        <f>SUM(C24:G24)</f>
        <v/>
      </c>
    </row>
    <row r="25">
      <c r="A25" s="49" t="n">
        <v>18</v>
      </c>
      <c r="B25" s="50" t="inlineStr">
        <is>
          <t>预测与目标差距</t>
        </is>
      </c>
      <c r="C25" s="55">
        <f>IFERROR((C22+C23)-(C5-C16),"")</f>
        <v/>
      </c>
      <c r="D25" s="55">
        <f>IFERROR((D22+D23)-(D5-D16),"")</f>
        <v/>
      </c>
      <c r="E25" s="55">
        <f>IFERROR((E22+E23)-(E5-E16),"")</f>
        <v/>
      </c>
      <c r="F25" s="55">
        <f>IFERROR((F22+F23)-(F5-F16),"")</f>
        <v/>
      </c>
      <c r="G25" s="55">
        <f>IFERROR((G22+G23)-(G5-G16),"")</f>
        <v/>
      </c>
      <c r="H25" s="56">
        <f>SUM(C25:G25)</f>
        <v/>
      </c>
    </row>
    <row r="26" ht="26" customHeight="1">
      <c r="A26" s="49" t="n">
        <v>19</v>
      </c>
      <c r="B26" s="50" t="inlineStr">
        <is>
          <t>差异分析（根因简述）</t>
        </is>
      </c>
      <c r="C26" s="57" t="n"/>
      <c r="D26" s="57" t="n"/>
      <c r="E26" s="57" t="n"/>
      <c r="F26" s="57" t="n"/>
      <c r="G26" s="57" t="n"/>
      <c r="H26" s="58" t="n"/>
    </row>
    <row r="27">
      <c r="A27" s="47" t="inlineStr">
        <is>
          <t>五、核心举措</t>
        </is>
      </c>
      <c r="B27" s="48" t="n"/>
      <c r="C27" s="48" t="n"/>
      <c r="D27" s="48" t="n"/>
      <c r="E27" s="48" t="n"/>
      <c r="F27" s="48" t="n"/>
      <c r="G27" s="48" t="n"/>
      <c r="H27" s="48" t="n"/>
    </row>
    <row r="28" ht="26" customHeight="1">
      <c r="A28" s="49" t="n">
        <v>20</v>
      </c>
      <c r="B28" s="50" t="inlineStr">
        <is>
          <t>市场/销售策略</t>
        </is>
      </c>
      <c r="C28" s="57" t="n"/>
      <c r="D28" s="57" t="n"/>
      <c r="E28" s="57" t="n"/>
      <c r="F28" s="57" t="n"/>
      <c r="G28" s="57" t="n"/>
      <c r="H28" s="58" t="n"/>
    </row>
    <row r="29" ht="26" customHeight="1">
      <c r="A29" s="49" t="n">
        <v>21</v>
      </c>
      <c r="B29" s="50" t="inlineStr">
        <is>
          <t>产品/交付措施</t>
        </is>
      </c>
      <c r="C29" s="57" t="n"/>
      <c r="D29" s="57" t="n"/>
      <c r="E29" s="57" t="n"/>
      <c r="F29" s="57" t="n"/>
      <c r="G29" s="57" t="n"/>
      <c r="H29" s="58" t="n"/>
    </row>
    <row r="30" ht="26" customHeight="1">
      <c r="A30" s="49" t="n">
        <v>22</v>
      </c>
      <c r="B30" s="50" t="inlineStr">
        <is>
          <t>需协同事项</t>
        </is>
      </c>
      <c r="C30" s="57" t="n"/>
      <c r="D30" s="57" t="n"/>
      <c r="E30" s="57" t="n"/>
      <c r="F30" s="57" t="n"/>
      <c r="G30" s="57" t="n"/>
      <c r="H30" s="58" t="n"/>
    </row>
  </sheetData>
  <mergeCells count="2">
    <mergeCell ref="A2:G2"/>
    <mergeCell ref="A1:H1"/>
  </mergeCells>
  <conditionalFormatting sqref="C19:G19">
    <cfRule type="cellIs" priority="1" operator="lessThan" dxfId="1">
      <formula>'维度字典'!$S$3</formula>
    </cfRule>
    <cfRule type="cellIs" priority="2" operator="between" dxfId="2">
      <formula>'维度字典'!$S$3</formula>
      <formula>'维度字典'!$S$4</formula>
    </cfRule>
    <cfRule type="cellIs" priority="3" operator="greaterThan" dxfId="3">
      <formula>'维度字典'!$S$4</formula>
    </cfRule>
  </conditionalFormatting>
  <dataValidations count="1">
    <dataValidation sqref="H2" showDropDown="0" showInputMessage="0" showErrorMessage="1" allowBlank="0" error="请选择 1~12" type="list">
      <formula1>LIST_MONTH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8" t="inlineStr">
        <is>
          <t>业务员目标管理表（按行业分类统计）</t>
        </is>
      </c>
    </row>
    <row r="2">
      <c r="A2" s="59" t="inlineStr">
        <is>
          <t>考核各业务员按行业的目标达成与客户开发进度</t>
        </is>
      </c>
      <c r="D2" s="35" t="inlineStr">
        <is>
          <t>业务员：</t>
        </is>
      </c>
      <c r="E2" s="41" t="inlineStr">
        <is>
          <t>张三</t>
        </is>
      </c>
      <c r="F2" s="35" t="inlineStr">
        <is>
          <t>统计月份(1-12)：</t>
        </is>
      </c>
      <c r="G2" s="46" t="n">
        <v>7</v>
      </c>
    </row>
    <row r="3" ht="22" customHeight="1">
      <c r="A3" s="19" t="inlineStr">
        <is>
          <t>行次</t>
        </is>
      </c>
      <c r="B3" s="19" t="inlineStr">
        <is>
          <t>项目</t>
        </is>
      </c>
      <c r="C3" s="19">
        <f>IF('维度字典'!$A$2="","",'维度字典'!$A$2)</f>
        <v/>
      </c>
      <c r="D3" s="19">
        <f>IF('维度字典'!$A$3="","",'维度字典'!$A$3)</f>
        <v/>
      </c>
      <c r="E3" s="19">
        <f>IF('维度字典'!$A$4="","",'维度字典'!$A$4)</f>
        <v/>
      </c>
      <c r="F3" s="19">
        <f>IF('维度字典'!$A$5="","",'维度字典'!$A$5)</f>
        <v/>
      </c>
      <c r="G3" s="19">
        <f>IF('维度字典'!$A$6="","",'维度字典'!$A$6)</f>
        <v/>
      </c>
      <c r="H3" s="19" t="inlineStr">
        <is>
          <t>合计</t>
        </is>
      </c>
    </row>
    <row r="4">
      <c r="A4" s="47" t="inlineStr">
        <is>
          <t>一、年度目标</t>
        </is>
      </c>
      <c r="B4" s="48" t="n"/>
      <c r="C4" s="48" t="n"/>
      <c r="D4" s="48" t="n"/>
      <c r="E4" s="48" t="n"/>
      <c r="F4" s="48" t="n"/>
      <c r="G4" s="48" t="n"/>
      <c r="H4" s="48" t="n"/>
    </row>
    <row r="5">
      <c r="A5" s="49" t="n">
        <v>1</v>
      </c>
      <c r="B5" s="50" t="inlineStr">
        <is>
          <t>年度销售额目标（万元）</t>
        </is>
      </c>
      <c r="C5" s="42">
        <f>SUMIFS('目标填报'!$S$4:$S$1500,'目标填报'!$B$4:$B$1500,$E$2,'目标填报'!$C$4:$C$1500,'维度字典'!$A$2,'目标填报'!$F$4:$F$1500,"销售目标额")</f>
        <v/>
      </c>
      <c r="D5" s="42">
        <f>SUMIFS('目标填报'!$S$4:$S$1500,'目标填报'!$B$4:$B$1500,$E$2,'目标填报'!$C$4:$C$1500,'维度字典'!$A$3,'目标填报'!$F$4:$F$1500,"销售目标额")</f>
        <v/>
      </c>
      <c r="E5" s="42">
        <f>SUMIFS('目标填报'!$S$4:$S$1500,'目标填报'!$B$4:$B$1500,$E$2,'目标填报'!$C$4:$C$1500,'维度字典'!$A$4,'目标填报'!$F$4:$F$1500,"销售目标额")</f>
        <v/>
      </c>
      <c r="F5" s="42">
        <f>SUMIFS('目标填报'!$S$4:$S$1500,'目标填报'!$B$4:$B$1500,$E$2,'目标填报'!$C$4:$C$1500,'维度字典'!$A$5,'目标填报'!$F$4:$F$1500,"销售目标额")</f>
        <v/>
      </c>
      <c r="G5" s="42">
        <f>SUMIFS('目标填报'!$S$4:$S$1500,'目标填报'!$B$4:$B$1500,$E$2,'目标填报'!$C$4:$C$1500,'维度字典'!$A$6,'目标填报'!$F$4:$F$1500,"销售目标额")</f>
        <v/>
      </c>
      <c r="H5" s="43">
        <f>SUM(C5:G5)</f>
        <v/>
      </c>
    </row>
    <row r="6">
      <c r="A6" s="49" t="n">
        <v>2</v>
      </c>
      <c r="B6" s="50" t="inlineStr">
        <is>
          <t>年度毛利目标（万元）</t>
        </is>
      </c>
      <c r="C6" s="42">
        <f>SUMIFS('目标填报'!$S$4:$S$1500,'目标填报'!$B$4:$B$1500,$E$2,'目标填报'!$C$4:$C$1500,'维度字典'!$A$2,'目标填报'!$F$4:$F$1500,"毛利目标")</f>
        <v/>
      </c>
      <c r="D6" s="42">
        <f>SUMIFS('目标填报'!$S$4:$S$1500,'目标填报'!$B$4:$B$1500,$E$2,'目标填报'!$C$4:$C$1500,'维度字典'!$A$3,'目标填报'!$F$4:$F$1500,"毛利目标")</f>
        <v/>
      </c>
      <c r="E6" s="42">
        <f>SUMIFS('目标填报'!$S$4:$S$1500,'目标填报'!$B$4:$B$1500,$E$2,'目标填报'!$C$4:$C$1500,'维度字典'!$A$4,'目标填报'!$F$4:$F$1500,"毛利目标")</f>
        <v/>
      </c>
      <c r="F6" s="42">
        <f>SUMIFS('目标填报'!$S$4:$S$1500,'目标填报'!$B$4:$B$1500,$E$2,'目标填报'!$C$4:$C$1500,'维度字典'!$A$5,'目标填报'!$F$4:$F$1500,"毛利目标")</f>
        <v/>
      </c>
      <c r="G6" s="42">
        <f>SUMIFS('目标填报'!$S$4:$S$1500,'目标填报'!$B$4:$B$1500,$E$2,'目标填报'!$C$4:$C$1500,'维度字典'!$A$6,'目标填报'!$F$4:$F$1500,"毛利目标")</f>
        <v/>
      </c>
      <c r="H6" s="43">
        <f>SUM(C6:G6)</f>
        <v/>
      </c>
    </row>
    <row r="7">
      <c r="A7" s="49" t="n">
        <v>3</v>
      </c>
      <c r="B7" s="50" t="inlineStr">
        <is>
          <t>年度毛利率目标</t>
        </is>
      </c>
      <c r="C7" s="51">
        <f>IFERROR(C6/C5,"")</f>
        <v/>
      </c>
      <c r="D7" s="51">
        <f>IFERROR(D6/D5,"")</f>
        <v/>
      </c>
      <c r="E7" s="51">
        <f>IFERROR(E6/E5,"")</f>
        <v/>
      </c>
      <c r="F7" s="51">
        <f>IFERROR(F6/F5,"")</f>
        <v/>
      </c>
      <c r="G7" s="51">
        <f>IFERROR(G6/G5,"")</f>
        <v/>
      </c>
      <c r="H7" s="52">
        <f>IFERROR(H6/H5,"")</f>
        <v/>
      </c>
    </row>
    <row r="8">
      <c r="A8" s="49" t="n">
        <v>4</v>
      </c>
      <c r="B8" s="50" t="inlineStr">
        <is>
          <t>在手订单目标（万元，月末时点）</t>
        </is>
      </c>
      <c r="C8" s="42">
        <f>SUMIFS('目标填报'!$S$4:$S$1500,'目标填报'!$B$4:$B$1500,$E$2,'目标填报'!$C$4:$C$1500,'维度字典'!$A$2,'目标填报'!$F$4:$F$1500,"在手订单目标")</f>
        <v/>
      </c>
      <c r="D8" s="42">
        <f>SUMIFS('目标填报'!$S$4:$S$1500,'目标填报'!$B$4:$B$1500,$E$2,'目标填报'!$C$4:$C$1500,'维度字典'!$A$3,'目标填报'!$F$4:$F$1500,"在手订单目标")</f>
        <v/>
      </c>
      <c r="E8" s="42">
        <f>SUMIFS('目标填报'!$S$4:$S$1500,'目标填报'!$B$4:$B$1500,$E$2,'目标填报'!$C$4:$C$1500,'维度字典'!$A$4,'目标填报'!$F$4:$F$1500,"在手订单目标")</f>
        <v/>
      </c>
      <c r="F8" s="42">
        <f>SUMIFS('目标填报'!$S$4:$S$1500,'目标填报'!$B$4:$B$1500,$E$2,'目标填报'!$C$4:$C$1500,'维度字典'!$A$5,'目标填报'!$F$4:$F$1500,"在手订单目标")</f>
        <v/>
      </c>
      <c r="G8" s="42">
        <f>SUMIFS('目标填报'!$S$4:$S$1500,'目标填报'!$B$4:$B$1500,$E$2,'目标填报'!$C$4:$C$1500,'维度字典'!$A$6,'目标填报'!$F$4:$F$1500,"在手订单目标")</f>
        <v/>
      </c>
      <c r="H8" s="43">
        <f>SUM(C8:G8)</f>
        <v/>
      </c>
    </row>
    <row r="9">
      <c r="A9" s="49" t="n">
        <v>5</v>
      </c>
      <c r="B9" s="50" t="inlineStr">
        <is>
          <t>目标客户机会目标（万元，月末时点）</t>
        </is>
      </c>
      <c r="C9" s="42">
        <f>SUMIFS('目标填报'!$S$4:$S$1500,'目标填报'!$B$4:$B$1500,$E$2,'目标填报'!$C$4:$C$1500,'维度字典'!$A$2,'目标填报'!$F$4:$F$1500,"目标客户机会目标")</f>
        <v/>
      </c>
      <c r="D9" s="42">
        <f>SUMIFS('目标填报'!$S$4:$S$1500,'目标填报'!$B$4:$B$1500,$E$2,'目标填报'!$C$4:$C$1500,'维度字典'!$A$3,'目标填报'!$F$4:$F$1500,"目标客户机会目标")</f>
        <v/>
      </c>
      <c r="E9" s="42">
        <f>SUMIFS('目标填报'!$S$4:$S$1500,'目标填报'!$B$4:$B$1500,$E$2,'目标填报'!$C$4:$C$1500,'维度字典'!$A$4,'目标填报'!$F$4:$F$1500,"目标客户机会目标")</f>
        <v/>
      </c>
      <c r="F9" s="42">
        <f>SUMIFS('目标填报'!$S$4:$S$1500,'目标填报'!$B$4:$B$1500,$E$2,'目标填报'!$C$4:$C$1500,'维度字典'!$A$5,'目标填报'!$F$4:$F$1500,"目标客户机会目标")</f>
        <v/>
      </c>
      <c r="G9" s="42">
        <f>SUMIFS('目标填报'!$S$4:$S$1500,'目标填报'!$B$4:$B$1500,$E$2,'目标填报'!$C$4:$C$1500,'维度字典'!$A$6,'目标填报'!$F$4:$F$1500,"目标客户机会目标")</f>
        <v/>
      </c>
      <c r="H9" s="43">
        <f>SUM(C9:G9)</f>
        <v/>
      </c>
    </row>
    <row r="10">
      <c r="A10" s="47" t="inlineStr">
        <is>
          <t>二、当期达成（本月）</t>
        </is>
      </c>
      <c r="B10" s="48" t="n"/>
      <c r="C10" s="48" t="n"/>
      <c r="D10" s="48" t="n"/>
      <c r="E10" s="48" t="n"/>
      <c r="F10" s="48" t="n"/>
      <c r="G10" s="48" t="n"/>
      <c r="H10" s="48" t="n"/>
    </row>
    <row r="11">
      <c r="A11" s="49" t="n">
        <v>6</v>
      </c>
      <c r="B11" s="50" t="inlineStr">
        <is>
          <t>本月销售额（万元）</t>
        </is>
      </c>
      <c r="C11" s="42">
        <f>SUMPRODUCT(('系统实绩导入'!$B$4:$B$1500=$E$2)*('系统实绩导入'!$C$4:$C$1500='维度字典'!$A$2)*('系统实绩导入'!$F$4:$F$1500="实绩销售额")*('系统实绩导入'!$G$3:$R$3=$G$2)*'系统实绩导入'!$G$4:$R$1500)</f>
        <v/>
      </c>
      <c r="D11" s="42">
        <f>SUMPRODUCT(('系统实绩导入'!$B$4:$B$1500=$E$2)*('系统实绩导入'!$C$4:$C$1500='维度字典'!$A$3)*('系统实绩导入'!$F$4:$F$1500="实绩销售额")*('系统实绩导入'!$G$3:$R$3=$G$2)*'系统实绩导入'!$G$4:$R$1500)</f>
        <v/>
      </c>
      <c r="E11" s="42">
        <f>SUMPRODUCT(('系统实绩导入'!$B$4:$B$1500=$E$2)*('系统实绩导入'!$C$4:$C$1500='维度字典'!$A$4)*('系统实绩导入'!$F$4:$F$1500="实绩销售额")*('系统实绩导入'!$G$3:$R$3=$G$2)*'系统实绩导入'!$G$4:$R$1500)</f>
        <v/>
      </c>
      <c r="F11" s="42">
        <f>SUMPRODUCT(('系统实绩导入'!$B$4:$B$1500=$E$2)*('系统实绩导入'!$C$4:$C$1500='维度字典'!$A$5)*('系统实绩导入'!$F$4:$F$1500="实绩销售额")*('系统实绩导入'!$G$3:$R$3=$G$2)*'系统实绩导入'!$G$4:$R$1500)</f>
        <v/>
      </c>
      <c r="G11" s="42">
        <f>SUMPRODUCT(('系统实绩导入'!$B$4:$B$1500=$E$2)*('系统实绩导入'!$C$4:$C$1500='维度字典'!$A$6)*('系统实绩导入'!$F$4:$F$1500="实绩销售额")*('系统实绩导入'!$G$3:$R$3=$G$2)*'系统实绩导入'!$G$4:$R$1500)</f>
        <v/>
      </c>
      <c r="H11" s="43">
        <f>SUM(C11:G11)</f>
        <v/>
      </c>
    </row>
    <row r="12">
      <c r="A12" s="49" t="n">
        <v>7</v>
      </c>
      <c r="B12" s="50" t="inlineStr">
        <is>
          <t>本月毛利（万元）</t>
        </is>
      </c>
      <c r="C12" s="42">
        <f>SUMPRODUCT(('系统实绩导入'!$B$4:$B$1500=$E$2)*('系统实绩导入'!$C$4:$C$1500='维度字典'!$A$2)*('系统实绩导入'!$F$4:$F$1500="实绩毛利")*('系统实绩导入'!$G$3:$R$3=$G$2)*'系统实绩导入'!$G$4:$R$1500)</f>
        <v/>
      </c>
      <c r="D12" s="42">
        <f>SUMPRODUCT(('系统实绩导入'!$B$4:$B$1500=$E$2)*('系统实绩导入'!$C$4:$C$1500='维度字典'!$A$3)*('系统实绩导入'!$F$4:$F$1500="实绩毛利")*('系统实绩导入'!$G$3:$R$3=$G$2)*'系统实绩导入'!$G$4:$R$1500)</f>
        <v/>
      </c>
      <c r="E12" s="42">
        <f>SUMPRODUCT(('系统实绩导入'!$B$4:$B$1500=$E$2)*('系统实绩导入'!$C$4:$C$1500='维度字典'!$A$4)*('系统实绩导入'!$F$4:$F$1500="实绩毛利")*('系统实绩导入'!$G$3:$R$3=$G$2)*'系统实绩导入'!$G$4:$R$1500)</f>
        <v/>
      </c>
      <c r="F12" s="42">
        <f>SUMPRODUCT(('系统实绩导入'!$B$4:$B$1500=$E$2)*('系统实绩导入'!$C$4:$C$1500='维度字典'!$A$5)*('系统实绩导入'!$F$4:$F$1500="实绩毛利")*('系统实绩导入'!$G$3:$R$3=$G$2)*'系统实绩导入'!$G$4:$R$1500)</f>
        <v/>
      </c>
      <c r="G12" s="42">
        <f>SUMPRODUCT(('系统实绩导入'!$B$4:$B$1500=$E$2)*('系统实绩导入'!$C$4:$C$1500='维度字典'!$A$6)*('系统实绩导入'!$F$4:$F$1500="实绩毛利")*('系统实绩导入'!$G$3:$R$3=$G$2)*'系统实绩导入'!$G$4:$R$1500)</f>
        <v/>
      </c>
      <c r="H12" s="43">
        <f>SUM(C12:G12)</f>
        <v/>
      </c>
    </row>
    <row r="13">
      <c r="A13" s="49" t="n">
        <v>8</v>
      </c>
      <c r="B13" s="50" t="inlineStr">
        <is>
          <t>本月毛利率</t>
        </is>
      </c>
      <c r="C13" s="51">
        <f>IFERROR(C12/C11,"")</f>
        <v/>
      </c>
      <c r="D13" s="51">
        <f>IFERROR(D12/D11,"")</f>
        <v/>
      </c>
      <c r="E13" s="51">
        <f>IFERROR(E12/E11,"")</f>
        <v/>
      </c>
      <c r="F13" s="51">
        <f>IFERROR(F12/F11,"")</f>
        <v/>
      </c>
      <c r="G13" s="51">
        <f>IFERROR(G12/G11,"")</f>
        <v/>
      </c>
      <c r="H13" s="52">
        <f>IFERROR(H12/H11,"")</f>
        <v/>
      </c>
    </row>
    <row r="14">
      <c r="A14" s="49" t="n">
        <v>9</v>
      </c>
      <c r="B14" s="50" t="inlineStr">
        <is>
          <t>本月目标达成率</t>
        </is>
      </c>
      <c r="C14" s="53">
        <f>IFERROR(C11/SUMPRODUCT(('目标填报'!$B$4:$B$1500=$E$2)*('目标填报'!$C$4:$C$1500='维度字典'!$A$2)*('目标填报'!$F$4:$F$1500="销售目标额")*('目标填报'!$G$3:$R$3=$G$2)*'目标填报'!$G$4:$R$1500),IFERROR(C11/(C5/12),""))</f>
        <v/>
      </c>
      <c r="D14" s="53">
        <f>IFERROR(D11/SUMPRODUCT(('目标填报'!$B$4:$B$1500=$E$2)*('目标填报'!$C$4:$C$1500='维度字典'!$A$3)*('目标填报'!$F$4:$F$1500="销售目标额")*('目标填报'!$G$3:$R$3=$G$2)*'目标填报'!$G$4:$R$1500),IFERROR(D11/(D5/12),""))</f>
        <v/>
      </c>
      <c r="E14" s="53">
        <f>IFERROR(E11/SUMPRODUCT(('目标填报'!$B$4:$B$1500=$E$2)*('目标填报'!$C$4:$C$1500='维度字典'!$A$4)*('目标填报'!$F$4:$F$1500="销售目标额")*('目标填报'!$G$3:$R$3=$G$2)*'目标填报'!$G$4:$R$1500),IFERROR(E11/(E5/12),""))</f>
        <v/>
      </c>
      <c r="F14" s="53">
        <f>IFERROR(F11/SUMPRODUCT(('目标填报'!$B$4:$B$1500=$E$2)*('目标填报'!$C$4:$C$1500='维度字典'!$A$5)*('目标填报'!$F$4:$F$1500="销售目标额")*('目标填报'!$G$3:$R$3=$G$2)*'目标填报'!$G$4:$R$1500),IFERROR(F11/(F5/12),""))</f>
        <v/>
      </c>
      <c r="G14" s="53">
        <f>IFERROR(G11/SUMPRODUCT(('目标填报'!$B$4:$B$1500=$E$2)*('目标填报'!$C$4:$C$1500='维度字典'!$A$6)*('目标填报'!$F$4:$F$1500="销售目标额")*('目标填报'!$G$3:$R$3=$G$2)*'目标填报'!$G$4:$R$1500),IFERROR(G11/(G5/12),""))</f>
        <v/>
      </c>
      <c r="H14" s="54">
        <f>IFERROR(H11/(H5/12),"")</f>
        <v/>
      </c>
    </row>
    <row r="15">
      <c r="A15" s="47" t="inlineStr">
        <is>
          <t>三、全年累计达成（1-X月）</t>
        </is>
      </c>
      <c r="B15" s="48" t="n"/>
      <c r="C15" s="48" t="n"/>
      <c r="D15" s="48" t="n"/>
      <c r="E15" s="48" t="n"/>
      <c r="F15" s="48" t="n"/>
      <c r="G15" s="48" t="n"/>
      <c r="H15" s="48" t="n"/>
    </row>
    <row r="16">
      <c r="A16" s="49" t="n">
        <v>10</v>
      </c>
      <c r="B16" s="50" t="inlineStr">
        <is>
          <t>累计销售额（万元）</t>
        </is>
      </c>
      <c r="C16" s="42">
        <f>SUMPRODUCT(('系统实绩导入'!$B$4:$B$1500=$E$2)*('系统实绩导入'!$C$4:$C$1500='维度字典'!$A$2)*('系统实绩导入'!$F$4:$F$1500="实绩销售额")*('系统实绩导入'!$G$3:$R$3&lt;=$G$2)*'系统实绩导入'!$G$4:$R$1500)</f>
        <v/>
      </c>
      <c r="D16" s="42">
        <f>SUMPRODUCT(('系统实绩导入'!$B$4:$B$1500=$E$2)*('系统实绩导入'!$C$4:$C$1500='维度字典'!$A$3)*('系统实绩导入'!$F$4:$F$1500="实绩销售额")*('系统实绩导入'!$G$3:$R$3&lt;=$G$2)*'系统实绩导入'!$G$4:$R$1500)</f>
        <v/>
      </c>
      <c r="E16" s="42">
        <f>SUMPRODUCT(('系统实绩导入'!$B$4:$B$1500=$E$2)*('系统实绩导入'!$C$4:$C$1500='维度字典'!$A$4)*('系统实绩导入'!$F$4:$F$1500="实绩销售额")*('系统实绩导入'!$G$3:$R$3&lt;=$G$2)*'系统实绩导入'!$G$4:$R$1500)</f>
        <v/>
      </c>
      <c r="F16" s="42">
        <f>SUMPRODUCT(('系统实绩导入'!$B$4:$B$1500=$E$2)*('系统实绩导入'!$C$4:$C$1500='维度字典'!$A$5)*('系统实绩导入'!$F$4:$F$1500="实绩销售额")*('系统实绩导入'!$G$3:$R$3&lt;=$G$2)*'系统实绩导入'!$G$4:$R$1500)</f>
        <v/>
      </c>
      <c r="G16" s="42">
        <f>SUMPRODUCT(('系统实绩导入'!$B$4:$B$1500=$E$2)*('系统实绩导入'!$C$4:$C$1500='维度字典'!$A$6)*('系统实绩导入'!$F$4:$F$1500="实绩销售额")*('系统实绩导入'!$G$3:$R$3&lt;=$G$2)*'系统实绩导入'!$G$4:$R$1500)</f>
        <v/>
      </c>
      <c r="H16" s="43">
        <f>SUM(C16:G16)</f>
        <v/>
      </c>
    </row>
    <row r="17">
      <c r="A17" s="49" t="n">
        <v>11</v>
      </c>
      <c r="B17" s="50" t="inlineStr">
        <is>
          <t>累计毛利（万元）</t>
        </is>
      </c>
      <c r="C17" s="42">
        <f>SUMPRODUCT(('系统实绩导入'!$B$4:$B$1500=$E$2)*('系统实绩导入'!$C$4:$C$1500='维度字典'!$A$2)*('系统实绩导入'!$F$4:$F$1500="实绩毛利")*('系统实绩导入'!$G$3:$R$3&lt;=$G$2)*'系统实绩导入'!$G$4:$R$1500)</f>
        <v/>
      </c>
      <c r="D17" s="42">
        <f>SUMPRODUCT(('系统实绩导入'!$B$4:$B$1500=$E$2)*('系统实绩导入'!$C$4:$C$1500='维度字典'!$A$3)*('系统实绩导入'!$F$4:$F$1500="实绩毛利")*('系统实绩导入'!$G$3:$R$3&lt;=$G$2)*'系统实绩导入'!$G$4:$R$1500)</f>
        <v/>
      </c>
      <c r="E17" s="42">
        <f>SUMPRODUCT(('系统实绩导入'!$B$4:$B$1500=$E$2)*('系统实绩导入'!$C$4:$C$1500='维度字典'!$A$4)*('系统实绩导入'!$F$4:$F$1500="实绩毛利")*('系统实绩导入'!$G$3:$R$3&lt;=$G$2)*'系统实绩导入'!$G$4:$R$1500)</f>
        <v/>
      </c>
      <c r="F17" s="42">
        <f>SUMPRODUCT(('系统实绩导入'!$B$4:$B$1500=$E$2)*('系统实绩导入'!$C$4:$C$1500='维度字典'!$A$5)*('系统实绩导入'!$F$4:$F$1500="实绩毛利")*('系统实绩导入'!$G$3:$R$3&lt;=$G$2)*'系统实绩导入'!$G$4:$R$1500)</f>
        <v/>
      </c>
      <c r="G17" s="42">
        <f>SUMPRODUCT(('系统实绩导入'!$B$4:$B$1500=$E$2)*('系统实绩导入'!$C$4:$C$1500='维度字典'!$A$6)*('系统实绩导入'!$F$4:$F$1500="实绩毛利")*('系统实绩导入'!$G$3:$R$3&lt;=$G$2)*'系统实绩导入'!$G$4:$R$1500)</f>
        <v/>
      </c>
      <c r="H17" s="43">
        <f>SUM(C17:G17)</f>
        <v/>
      </c>
    </row>
    <row r="18">
      <c r="A18" s="49" t="n">
        <v>12</v>
      </c>
      <c r="B18" s="50" t="inlineStr">
        <is>
          <t>累计毛利率</t>
        </is>
      </c>
      <c r="C18" s="51">
        <f>IFERROR(C17/C16,"")</f>
        <v/>
      </c>
      <c r="D18" s="51">
        <f>IFERROR(D17/D16,"")</f>
        <v/>
      </c>
      <c r="E18" s="51">
        <f>IFERROR(E17/E16,"")</f>
        <v/>
      </c>
      <c r="F18" s="51">
        <f>IFERROR(F17/F16,"")</f>
        <v/>
      </c>
      <c r="G18" s="51">
        <f>IFERROR(G17/G16,"")</f>
        <v/>
      </c>
      <c r="H18" s="52">
        <f>IFERROR(H17/H16,"")</f>
        <v/>
      </c>
    </row>
    <row r="19">
      <c r="A19" s="49" t="n">
        <v>13</v>
      </c>
      <c r="B19" s="50" t="inlineStr">
        <is>
          <t>累计达成率（全年）</t>
        </is>
      </c>
      <c r="C19" s="53">
        <f>IFERROR(C16/C5,"")</f>
        <v/>
      </c>
      <c r="D19" s="53">
        <f>IFERROR(D16/D5,"")</f>
        <v/>
      </c>
      <c r="E19" s="53">
        <f>IFERROR(E16/E5,"")</f>
        <v/>
      </c>
      <c r="F19" s="53">
        <f>IFERROR(F16/F5,"")</f>
        <v/>
      </c>
      <c r="G19" s="53">
        <f>IFERROR(G16/G5,"")</f>
        <v/>
      </c>
      <c r="H19" s="54">
        <f>IFERROR(H16/H5,"")</f>
        <v/>
      </c>
    </row>
    <row r="20">
      <c r="A20" s="47" t="inlineStr">
        <is>
          <t>四、重点工作</t>
        </is>
      </c>
      <c r="B20" s="48" t="n"/>
      <c r="C20" s="48" t="n"/>
      <c r="D20" s="48" t="n"/>
      <c r="E20" s="48" t="n"/>
      <c r="F20" s="48" t="n"/>
      <c r="G20" s="48" t="n"/>
      <c r="H20" s="48" t="n"/>
    </row>
    <row r="21" ht="26" customHeight="1">
      <c r="A21" s="49" t="n">
        <v>14</v>
      </c>
      <c r="B21" s="50" t="inlineStr">
        <is>
          <t>目标客户</t>
        </is>
      </c>
      <c r="C21" s="57" t="n"/>
      <c r="D21" s="57" t="n"/>
      <c r="E21" s="57" t="n"/>
      <c r="F21" s="57" t="n"/>
      <c r="G21" s="57" t="n"/>
      <c r="H21" s="58" t="n"/>
    </row>
    <row r="22">
      <c r="A22" s="49" t="n">
        <v>15</v>
      </c>
      <c r="B22" s="50" t="inlineStr">
        <is>
          <t>在手订单（万元，本月末）</t>
        </is>
      </c>
      <c r="C22" s="42">
        <f>SUMPRODUCT(('目标填报'!$B$4:$B$1500=$E$2)*('目标填报'!$C$4:$C$1500='维度字典'!$A$2)*('目标填报'!$F$4:$F$1500="在手订单")*('目标填报'!$G$3:$R$3=$G$2)*'目标填报'!$G$4:$R$1500)</f>
        <v/>
      </c>
      <c r="D22" s="42">
        <f>SUMPRODUCT(('目标填报'!$B$4:$B$1500=$E$2)*('目标填报'!$C$4:$C$1500='维度字典'!$A$3)*('目标填报'!$F$4:$F$1500="在手订单")*('目标填报'!$G$3:$R$3=$G$2)*'目标填报'!$G$4:$R$1500)</f>
        <v/>
      </c>
      <c r="E22" s="42">
        <f>SUMPRODUCT(('目标填报'!$B$4:$B$1500=$E$2)*('目标填报'!$C$4:$C$1500='维度字典'!$A$4)*('目标填报'!$F$4:$F$1500="在手订单")*('目标填报'!$G$3:$R$3=$G$2)*'目标填报'!$G$4:$R$1500)</f>
        <v/>
      </c>
      <c r="F22" s="42">
        <f>SUMPRODUCT(('目标填报'!$B$4:$B$1500=$E$2)*('目标填报'!$C$4:$C$1500='维度字典'!$A$5)*('目标填报'!$F$4:$F$1500="在手订单")*('目标填报'!$G$3:$R$3=$G$2)*'目标填报'!$G$4:$R$1500)</f>
        <v/>
      </c>
      <c r="G22" s="42">
        <f>SUMPRODUCT(('目标填报'!$B$4:$B$1500=$E$2)*('目标填报'!$C$4:$C$1500='维度字典'!$A$6)*('目标填报'!$F$4:$F$1500="在手订单")*('目标填报'!$G$3:$R$3=$G$2)*'目标填报'!$G$4:$R$1500)</f>
        <v/>
      </c>
      <c r="H22" s="43">
        <f>SUM(C22:G22)</f>
        <v/>
      </c>
    </row>
    <row r="23">
      <c r="A23" s="49" t="n">
        <v>16</v>
      </c>
      <c r="B23" s="50" t="inlineStr">
        <is>
          <t>目标客户机会（万元，本月末）</t>
        </is>
      </c>
      <c r="C23" s="42">
        <f>SUMPRODUCT(('目标填报'!$B$4:$B$1500=$E$2)*('目标填报'!$C$4:$C$1500='维度字典'!$A$2)*('目标填报'!$F$4:$F$1500="目标客户机会")*('目标填报'!$G$3:$R$3=$G$2)*'目标填报'!$G$4:$R$1500)</f>
        <v/>
      </c>
      <c r="D23" s="42">
        <f>SUMPRODUCT(('目标填报'!$B$4:$B$1500=$E$2)*('目标填报'!$C$4:$C$1500='维度字典'!$A$3)*('目标填报'!$F$4:$F$1500="目标客户机会")*('目标填报'!$G$3:$R$3=$G$2)*'目标填报'!$G$4:$R$1500)</f>
        <v/>
      </c>
      <c r="E23" s="42">
        <f>SUMPRODUCT(('目标填报'!$B$4:$B$1500=$E$2)*('目标填报'!$C$4:$C$1500='维度字典'!$A$4)*('目标填报'!$F$4:$F$1500="目标客户机会")*('目标填报'!$G$3:$R$3=$G$2)*'目标填报'!$G$4:$R$1500)</f>
        <v/>
      </c>
      <c r="F23" s="42">
        <f>SUMPRODUCT(('目标填报'!$B$4:$B$1500=$E$2)*('目标填报'!$C$4:$C$1500='维度字典'!$A$5)*('目标填报'!$F$4:$F$1500="目标客户机会")*('目标填报'!$G$3:$R$3=$G$2)*'目标填报'!$G$4:$R$1500)</f>
        <v/>
      </c>
      <c r="G23" s="42">
        <f>SUMPRODUCT(('目标填报'!$B$4:$B$1500=$E$2)*('目标填报'!$C$4:$C$1500='维度字典'!$A$6)*('目标填报'!$F$4:$F$1500="目标客户机会")*('目标填报'!$G$3:$R$3=$G$2)*'目标填报'!$G$4:$R$1500)</f>
        <v/>
      </c>
      <c r="H23" s="43">
        <f>SUM(C23:G23)</f>
        <v/>
      </c>
    </row>
    <row r="24" ht="26" customHeight="1">
      <c r="A24" s="49" t="n">
        <v>17</v>
      </c>
      <c r="B24" s="50" t="inlineStr">
        <is>
          <t>需公司支持事项</t>
        </is>
      </c>
      <c r="C24" s="57" t="n"/>
      <c r="D24" s="57" t="n"/>
      <c r="E24" s="57" t="n"/>
      <c r="F24" s="57" t="n"/>
      <c r="G24" s="57" t="n"/>
      <c r="H24" s="58" t="n"/>
    </row>
  </sheetData>
  <mergeCells count="2">
    <mergeCell ref="A2:C2"/>
    <mergeCell ref="A1:H1"/>
  </mergeCells>
  <conditionalFormatting sqref="C19:G19">
    <cfRule type="cellIs" priority="1" operator="lessThan" dxfId="1">
      <formula>'维度字典'!$S$3</formula>
    </cfRule>
    <cfRule type="cellIs" priority="2" operator="between" dxfId="2">
      <formula>'维度字典'!$S$3</formula>
      <formula>'维度字典'!$S$4</formula>
    </cfRule>
    <cfRule type="cellIs" priority="3" operator="greaterThan" dxfId="3">
      <formula>'维度字典'!$S$4</formula>
    </cfRule>
  </conditionalFormatting>
  <dataValidations count="2">
    <dataValidation sqref="E2" showDropDown="0" showInputMessage="0" showErrorMessage="1" allowBlank="0" type="list">
      <formula1>LIST_SALESPERSON</formula1>
    </dataValidation>
    <dataValidation sqref="G2" showDropDown="0" showInputMessage="0" showErrorMessage="1" allowBlank="0" error="请选择 1~12" type="list">
      <formula1>LIST_MONTH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2026-09-02T06:44:16Z</dcterms:created>
  <dcterms:modified xmlns:dcterms="http://purl.org/dc/terms/" xmlns:xsi="http://www.w3.org/2001/XMLSchema-instance" xsi:type="dcterms:W3CDTF">2026-09-02T06:45:04Z</dcterms:modified>
</cp:coreProperties>
</file>