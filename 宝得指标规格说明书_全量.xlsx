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Trae\Trae_Projects\Custom_Project\Baode_BI\"/>
    </mc:Choice>
  </mc:AlternateContent>
  <xr:revisionPtr revIDLastSave="0" documentId="13_ncr:1_{23832C68-30F8-4800-8196-A44B057A7017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业务系统调研" sheetId="1" r:id="rId1"/>
    <sheet name="指标需求规格说明书_old" sheetId="2" state="hidden" r:id="rId2"/>
    <sheet name="指标需求规格说明书" sheetId="3" r:id="rId3"/>
    <sheet name="新增" sheetId="4" r:id="rId4"/>
    <sheet name="财务库存周转率_天数算法" sheetId="8" r:id="rId5"/>
    <sheet name="指标现状" sheetId="5" r:id="rId6"/>
    <sheet name="全部指标" sheetId="9" r:id="rId7"/>
    <sheet name="Sheet1" sheetId="6" state="hidden" r:id="rId8"/>
    <sheet name="Sheet2" sheetId="7" state="hidden" r:id="rId9"/>
  </sheets>
  <definedNames>
    <definedName name="_xlnm._FilterDatabase" localSheetId="6" hidden="1">全部指标!$A$1:$N$165</definedName>
    <definedName name="_xlnm._FilterDatabase" localSheetId="5" hidden="1">指标现状!$A$1:$N$98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8" l="1"/>
  <c r="I19" i="8" s="1"/>
  <c r="H13" i="8"/>
  <c r="I13" i="8" s="1"/>
  <c r="H8" i="8"/>
  <c r="I8" i="8" s="1"/>
  <c r="H9" i="7"/>
  <c r="H3" i="7"/>
</calcChain>
</file>

<file path=xl/sharedStrings.xml><?xml version="1.0" encoding="utf-8"?>
<sst xmlns="http://schemas.openxmlformats.org/spreadsheetml/2006/main" count="8468" uniqueCount="1498">
  <si>
    <t>序号</t>
  </si>
  <si>
    <t>系统名称</t>
  </si>
  <si>
    <t>系统厂商</t>
  </si>
  <si>
    <t>归属部门</t>
  </si>
  <si>
    <t>运维对接人</t>
  </si>
  <si>
    <t>系统核心用途</t>
  </si>
  <si>
    <t>应用层服务器IP</t>
  </si>
  <si>
    <t>数据层服务器 IP</t>
  </si>
  <si>
    <t>数据库端口</t>
  </si>
  <si>
    <t>操作系统</t>
  </si>
  <si>
    <t>数据库类型</t>
  </si>
  <si>
    <t>数据库完整版本</t>
  </si>
  <si>
    <t>实例 / 库名</t>
  </si>
  <si>
    <t>是否可提供账号</t>
  </si>
  <si>
    <t>账户</t>
  </si>
  <si>
    <t>密码</t>
  </si>
  <si>
    <t>MES</t>
  </si>
  <si>
    <t>无锡素康</t>
  </si>
  <si>
    <t>信息部</t>
  </si>
  <si>
    <t>IT刘工</t>
  </si>
  <si>
    <t>见指标需求规格说明书</t>
  </si>
  <si>
    <t>192.168.0.178</t>
  </si>
  <si>
    <t>windows</t>
  </si>
  <si>
    <t>sqlserver</t>
  </si>
  <si>
    <t>ERP(E10)</t>
  </si>
  <si>
    <t>鼎捷数智</t>
  </si>
  <si>
    <t>信息部，财务中心</t>
  </si>
  <si>
    <t>192.168.0.177</t>
  </si>
  <si>
    <t>BDKZ</t>
  </si>
  <si>
    <t>sa</t>
  </si>
  <si>
    <t>Flamehaze1</t>
  </si>
  <si>
    <t>58.214.34.202:1434</t>
  </si>
  <si>
    <t>OA(KK)</t>
  </si>
  <si>
    <t>深圳蓝凌</t>
  </si>
  <si>
    <t>180.100.202.99</t>
  </si>
  <si>
    <t>mysql</t>
  </si>
  <si>
    <t>ekp</t>
  </si>
  <si>
    <t>WaL2AfdTHARX2Ya8</t>
  </si>
  <si>
    <t>人事在建系统</t>
  </si>
  <si>
    <t>东宝软件</t>
  </si>
  <si>
    <t>人力资源</t>
  </si>
  <si>
    <t>人事刘工</t>
  </si>
  <si>
    <t>192.168.0.171</t>
  </si>
  <si>
    <t>dhg</t>
  </si>
  <si>
    <t>QMS在建</t>
  </si>
  <si>
    <t>艾科斯幂</t>
  </si>
  <si>
    <t>质量部</t>
  </si>
  <si>
    <t>质量部史工</t>
  </si>
  <si>
    <t>数据采集</t>
  </si>
  <si>
    <t>电信</t>
  </si>
  <si>
    <t>设备部</t>
  </si>
  <si>
    <t>设备部顾工</t>
  </si>
  <si>
    <t>指标ID</t>
  </si>
  <si>
    <t>所属分析中心</t>
  </si>
  <si>
    <t>指标名称</t>
  </si>
  <si>
    <t>指标分类</t>
  </si>
  <si>
    <t>展示方式</t>
  </si>
  <si>
    <t>业务定义(甲方内部协商后自行填写)</t>
  </si>
  <si>
    <t>计算公式(甲方内部协商后自行填写)乙方梳理后的</t>
  </si>
  <si>
    <t>数据类型</t>
  </si>
  <si>
    <t>数据源系统</t>
  </si>
  <si>
    <t>系统模块</t>
  </si>
  <si>
    <t>源表英文名</t>
  </si>
  <si>
    <t>源表中文名</t>
  </si>
  <si>
    <t>源字段英文名</t>
  </si>
  <si>
    <t>源字段中文名</t>
  </si>
  <si>
    <t>数据范围</t>
  </si>
  <si>
    <t>统计维度</t>
  </si>
  <si>
    <t>过滤条件</t>
  </si>
  <si>
    <t>更新频率</t>
  </si>
  <si>
    <t>触发条件</t>
  </si>
  <si>
    <t>依赖任务</t>
  </si>
  <si>
    <t>质量校验规则</t>
  </si>
  <si>
    <t>业务负责人</t>
  </si>
  <si>
    <t>技术负责人</t>
  </si>
  <si>
    <t>优先级</t>
  </si>
  <si>
    <t>备注</t>
  </si>
  <si>
    <t>KPI-001</t>
  </si>
  <si>
    <t>企业经营驾驶舱</t>
  </si>
  <si>
    <t>接单销售额</t>
  </si>
  <si>
    <t>销售经营</t>
  </si>
  <si>
    <t>图加数据列表</t>
  </si>
  <si>
    <t>统计周期内客户正式下达的销售订单总金额（含税）</t>
  </si>
  <si>
    <t>去废品、去宝得精密、去折扣折让的本币未税金额合计</t>
  </si>
  <si>
    <t>Decimal(18,2)</t>
  </si>
  <si>
    <t>ERP</t>
  </si>
  <si>
    <t>E10-维护销售订单-销售订单明细表</t>
  </si>
  <si>
    <t>SALES_ORDER_DOC</t>
  </si>
  <si>
    <t>销售订单表</t>
  </si>
  <si>
    <t>ORDER_AMOUNT</t>
  </si>
  <si>
    <t>订单金额</t>
  </si>
  <si>
    <t>两年</t>
  </si>
  <si>
    <t>自然周、当月自然周、产品、国内外（关联出货单得到国内外）、应用行业（客户+产品确定应用行业）</t>
  </si>
  <si>
    <t>与SALES_ORDER_DOC_D关联; 仅用于关联; 仅关联; 按月份筛选</t>
  </si>
  <si>
    <t>每日</t>
  </si>
  <si>
    <t>每日凌晨2:00</t>
  </si>
  <si>
    <t>ERP销售订单同步任务</t>
  </si>
  <si>
    <t>销售订单ID不为空</t>
  </si>
  <si>
    <t>销售总监</t>
  </si>
  <si>
    <t>ETL工程师</t>
  </si>
  <si>
    <t>高</t>
  </si>
  <si>
    <t>核心经营指标</t>
  </si>
  <si>
    <t>KPI-002</t>
  </si>
  <si>
    <t>出货销售额</t>
  </si>
  <si>
    <t>统计周期内实际发货出库的销售金额（含税）</t>
  </si>
  <si>
    <t>去废品之后的销货净额</t>
  </si>
  <si>
    <t>E10-客户销货统计表</t>
  </si>
  <si>
    <t>SALES_ISSUE</t>
  </si>
  <si>
    <t>出货单表</t>
  </si>
  <si>
    <t>DELIVERY_AMOUNT</t>
  </si>
  <si>
    <t>出货金额</t>
  </si>
  <si>
    <t>自然周、当月自然周</t>
  </si>
  <si>
    <t>关联SALES_ISSUE_D; 按月份筛选; 筛选已审核:ApproveStatus='Y'; 与CUSTOMER.CUSTOMER_BUSINESS_ID关联; 与COMPANY.COMPANY_ID关联; 关联销售出库明细; 主键; 按月筛选; ApproveStatus='Y'; 关联COMPANY; 关联CUSTOMER</t>
  </si>
  <si>
    <t>ERP出货单同步任务</t>
  </si>
  <si>
    <t>销货出库单ID不为空; 按月份筛选; 出库日期不为空; 筛选已审核:ApproveStatus='Y'; 客户ID不为空; 公司ID不为空; 出库单ID不为空; 按月筛选; 收货客户ID不为空</t>
  </si>
  <si>
    <t>KPI-003</t>
  </si>
  <si>
    <t>销售回款额</t>
  </si>
  <si>
    <t>统计周期内客户实际回款到账金额（含税）</t>
  </si>
  <si>
    <t>去废品、去宝得子公司的金额</t>
  </si>
  <si>
    <t>E10-维护收款单-收款明细表</t>
  </si>
  <si>
    <t>MO</t>
  </si>
  <si>
    <t>收款单表</t>
  </si>
  <si>
    <t>RECEIPT_AMOUNT</t>
  </si>
  <si>
    <t>回款金额</t>
  </si>
  <si>
    <t>与MO_RECEIPT_D.MO_ID关联; 通过LEFT(DOC_NO; 与ITEM.ITEM_BUSINESS_ID关联; 通过MO_ID关联MO_RECEIPT_D; LEFT(DOC_NO; 主键关联; 关联ITEM; 主键; 按月份筛选</t>
  </si>
  <si>
    <t>ERP回款单同步任务</t>
  </si>
  <si>
    <t>生产订单ID不为空; 物料ID不为空; 工单ID不为空</t>
  </si>
  <si>
    <t>财务总监</t>
  </si>
  <si>
    <t>KPI-004</t>
  </si>
  <si>
    <t>销售达成率</t>
  </si>
  <si>
    <t>月度实际销售额与月度销售目标的比率</t>
  </si>
  <si>
    <t>实际值/计划值</t>
  </si>
  <si>
    <t>Decimal(5,2)</t>
  </si>
  <si>
    <t>销售订单模块+鼎捷BI年度销售计划填报</t>
  </si>
  <si>
    <t>XBI_Sales_Wai</t>
  </si>
  <si>
    <t>销售汇总表</t>
  </si>
  <si>
    <t>ACTUAL_AMOUNT, TARGET_AMOUNT</t>
  </si>
  <si>
    <t>实际金额,目标金额</t>
  </si>
  <si>
    <t>分组字段; 金额统计; 按月份筛选</t>
  </si>
  <si>
    <t>每日凌晨4:00</t>
  </si>
  <si>
    <t>DWS销售汇总任务</t>
  </si>
  <si>
    <t>销售金额不为空</t>
  </si>
  <si>
    <t>BI工程师</t>
  </si>
  <si>
    <t>KPI-005</t>
  </si>
  <si>
    <t>年度累计达成率</t>
  </si>
  <si>
    <t>年度累计实际销售额与年度销售目标的比率</t>
  </si>
  <si>
    <t>年度实际值/年度计划值</t>
  </si>
  <si>
    <t>年度累计实际,年度累计目标</t>
  </si>
  <si>
    <t>年度</t>
  </si>
  <si>
    <t>KPI-006</t>
  </si>
  <si>
    <t>生产计划达成率</t>
  </si>
  <si>
    <t>生产运营</t>
  </si>
  <si>
    <t>统计周期内生产工单实际完成数量与计划数量的比率</t>
  </si>
  <si>
    <t>准交工单/总工单</t>
  </si>
  <si>
    <t>ERP+MES</t>
  </si>
  <si>
    <t>工单管理模块+MES里面的计划管理</t>
  </si>
  <si>
    <t>生产订单表</t>
  </si>
  <si>
    <t>PLAN_QTY, ACTUAL_QTY</t>
  </si>
  <si>
    <t>计划数量,实际数量</t>
  </si>
  <si>
    <t>每日凌晨3:00</t>
  </si>
  <si>
    <t>MES生产订单同步任务</t>
  </si>
  <si>
    <t>生产总监</t>
  </si>
  <si>
    <t>KPI-007</t>
  </si>
  <si>
    <t>销售订单准交率</t>
  </si>
  <si>
    <t>按时交货的销售订单占总销售订单的比率</t>
  </si>
  <si>
    <t xml:space="preserve">准交订单数 / 总订单数 </t>
  </si>
  <si>
    <t>ERP-销售管理-交货计划管理-业务交货计划+业务交货计划记录</t>
  </si>
  <si>
    <t>DELIVERY_DATE, ACTUAL_DELIVERY_DATE</t>
  </si>
  <si>
    <t>交货日期,实际交货日期</t>
  </si>
  <si>
    <t>DWS生产汇总任务</t>
  </si>
  <si>
    <t>KPI-008</t>
  </si>
  <si>
    <t>库存周转率</t>
  </si>
  <si>
    <t>统计周期内销售成本与平均库存金额的比率</t>
  </si>
  <si>
    <t>（期初原材料+期初自制半成品+期末原材料期+末自制半成品）/2*30/销售额</t>
  </si>
  <si>
    <t>Decimal(10,2)</t>
  </si>
  <si>
    <t>E10-财务总账</t>
  </si>
  <si>
    <t>WAREHOUSE</t>
  </si>
  <si>
    <t>库存表</t>
  </si>
  <si>
    <t>BEGIN_INVENTORY, END_INVENTORY, SALES_COST</t>
  </si>
  <si>
    <t>期初库存,期末库存,销售成本</t>
  </si>
  <si>
    <t>与SALES_ISSUE_D.WAREHOUSE_ID关联; 筛选废品库; 筛选仓库; 关联使用; WAREHOUSE_NAME='废品库'筛选废料; 主键; 按月份筛选</t>
  </si>
  <si>
    <t>每月1日</t>
  </si>
  <si>
    <t>DWS库存汇总任务</t>
  </si>
  <si>
    <t>仓库ID不为空; 筛选废品库; 筛选仓库; WAREHOUSE_NAME='废品库'筛选废料</t>
  </si>
  <si>
    <t>中</t>
  </si>
  <si>
    <t>KPI-009</t>
  </si>
  <si>
    <t>人均产出效率</t>
  </si>
  <si>
    <t>统计周期内单位生产人员的产出金额</t>
  </si>
  <si>
    <t>本月入库阿米巴金额/本月生产巴人力成本</t>
  </si>
  <si>
    <t>鼎捷BI生产经营会计报表</t>
  </si>
  <si>
    <t>XBI_TianBao</t>
  </si>
  <si>
    <t>生产数据表</t>
  </si>
  <si>
    <t>EMPLOYEE_ID</t>
  </si>
  <si>
    <t>产出金额,员工ID</t>
  </si>
  <si>
    <t>获取手工填报费用; 按月份筛选</t>
  </si>
  <si>
    <t>DWS生产汇总任务+HR人员数据同步</t>
  </si>
  <si>
    <t>填报ID不为空</t>
  </si>
  <si>
    <t>KPI-010</t>
  </si>
  <si>
    <t>一次合格率</t>
  </si>
  <si>
    <t>质量运营</t>
  </si>
  <si>
    <t>首次检验合格的产品数量占总检验数量的比率</t>
  </si>
  <si>
    <t>1-返工率</t>
  </si>
  <si>
    <t>MES-质量控制台</t>
  </si>
  <si>
    <t>QMS_INSPECTION</t>
  </si>
  <si>
    <t>检验记录表</t>
  </si>
  <si>
    <t>INSPECTION_TOTAL, QUALIFIED_QTY</t>
  </si>
  <si>
    <t>检验总数,合格数量</t>
  </si>
  <si>
    <t>时间、产品（重量/数量）</t>
  </si>
  <si>
    <t>QMS检验数据同步任务</t>
  </si>
  <si>
    <t>质量总监</t>
  </si>
  <si>
    <t>KPI-011</t>
  </si>
  <si>
    <t>来料合格率</t>
  </si>
  <si>
    <t>来料检验合格的批次占总来料批次的比率</t>
  </si>
  <si>
    <t>合格批次数/总批次数</t>
  </si>
  <si>
    <t>QMS</t>
  </si>
  <si>
    <t>E10-总批次、KK-不合格批次</t>
  </si>
  <si>
    <t>QMS_IQC</t>
  </si>
  <si>
    <t>来料检验表</t>
  </si>
  <si>
    <t>TOTAL_BATCH_COUNT, QUALIFIED_BATCH_COUNT</t>
  </si>
  <si>
    <t>总批次数,合格批次数</t>
  </si>
  <si>
    <t>QMS来料检验数据同步任务</t>
  </si>
  <si>
    <t>KPI-012</t>
  </si>
  <si>
    <t>客诉率</t>
  </si>
  <si>
    <t>客户投诉次数占出货总次数的比率（PPM）</t>
  </si>
  <si>
    <t>客诉数量/出库数量*1000000</t>
  </si>
  <si>
    <t>Decimal(5,4)</t>
  </si>
  <si>
    <t>CRM/OA</t>
  </si>
  <si>
    <t>KK-客诉、E10-出库数量</t>
  </si>
  <si>
    <t>CUSTOMER</t>
  </si>
  <si>
    <t>客户投诉表</t>
  </si>
  <si>
    <t>COMPLAINT_COUNT, DELIVERY_COUNT</t>
  </si>
  <si>
    <t>投诉次数,出货次数</t>
  </si>
  <si>
    <t>与SALES_ISSUE.SHIP_TO_CUSTOMER_ID关联; 关联客户信息; 关联客户; 主键; 按月份筛选</t>
  </si>
  <si>
    <t>DWS销售汇总任务+CRM投诉数据同步</t>
  </si>
  <si>
    <t>客户业务ID不为空; 客户ID不为空</t>
  </si>
  <si>
    <t>KPI-013</t>
  </si>
  <si>
    <t>报废率</t>
  </si>
  <si>
    <t>报废产品数量占总生产数量的比率</t>
  </si>
  <si>
    <t>报废重量/生产重量</t>
  </si>
  <si>
    <t>质量控制台</t>
  </si>
  <si>
    <t>MO_RECEIPT</t>
  </si>
  <si>
    <t>报废记录表</t>
  </si>
  <si>
    <t>SCRAP_QTY, TOTAL_PRODUCTION_QTY</t>
  </si>
  <si>
    <t>报废数量,总生产数量</t>
  </si>
  <si>
    <t>时间、产品</t>
  </si>
  <si>
    <t>通过MO_RECEIPT_ID关联MO_RECEIPT_D; 按月份筛选:DATE_FORMAT(TRANSACTION_DATE; 筛选已审核:ApproveStatus='Y'; 关联MO_RECEIPT_D; 按月份参数过滤; ApproveStatus='Y'过滤; 主键; 按月筛选; ApproveStatus='Y'; 按月份筛选</t>
  </si>
  <si>
    <t>DWS生产汇总任务+QMS报废数据同步</t>
  </si>
  <si>
    <t>生产入库单ID不为空; 按月份筛选:DATE_FORMAT(TRANSACTION_DATE; 入库日期不为空; 筛选已审核:ApproveStatus='Y'; 入库单ID不为空; 按月筛选</t>
  </si>
  <si>
    <t>KPI-014</t>
  </si>
  <si>
    <t>准时到料率</t>
  </si>
  <si>
    <t>采购运营</t>
  </si>
  <si>
    <t>按时到货的采购订单占总采购订单的比率</t>
  </si>
  <si>
    <t>准时送货单数/计划总单数</t>
  </si>
  <si>
    <t>采购订单（预计到货/实际到货）</t>
  </si>
  <si>
    <t>XPO_AA</t>
  </si>
  <si>
    <t>采购订单表</t>
  </si>
  <si>
    <t>DELIVERY_DATE, ACTUAL_RECEIPT_DATE</t>
  </si>
  <si>
    <t>交货日期,实际到货日期</t>
  </si>
  <si>
    <t>组织、时间</t>
  </si>
  <si>
    <t>关联XPO_AA_D; 按年份筛选; 筛选已审核:ApproveStatus='Y'; 关联采购明细; 主键; 按年份过滤; ApproveStatus='Y'; 按月份筛选</t>
  </si>
  <si>
    <t>ERP采购订单同步任务</t>
  </si>
  <si>
    <t>采购单价单ID不为空; 按年份筛选; 筛选已审核:ApproveStatus='Y'; 采购订单ID不为空; 价格协议ID不为空</t>
  </si>
  <si>
    <t>采购总监</t>
  </si>
  <si>
    <t>KPI-015</t>
  </si>
  <si>
    <t>采购降本金额</t>
  </si>
  <si>
    <t>采购实际成本与标准成本的差额（节约金额）</t>
  </si>
  <si>
    <t>（上年平均采购价 - 本年实际价） × 本年实际采购量</t>
  </si>
  <si>
    <t>STANDARD_COST</t>
  </si>
  <si>
    <t>标准成本,实际成本</t>
  </si>
  <si>
    <t>DWS采购汇总任务</t>
  </si>
  <si>
    <t>KPI-016</t>
  </si>
  <si>
    <t>降本达成率</t>
  </si>
  <si>
    <t>实际降本金额与降本目标的比率</t>
  </si>
  <si>
    <t>采购降本金额/年度降本目标</t>
  </si>
  <si>
    <t>XBI_CHJ</t>
  </si>
  <si>
    <t>采购汇总表</t>
  </si>
  <si>
    <t>金额, 金额</t>
  </si>
  <si>
    <t>实际降本金额,降本目标金额</t>
  </si>
  <si>
    <t>时间筛选; 按部门过滤; 按部门+年月查询; 部门过滤; 按部门查询; 按月份筛选</t>
  </si>
  <si>
    <t>时间筛选</t>
  </si>
  <si>
    <t>SAL-001</t>
  </si>
  <si>
    <t>销售分析中心</t>
  </si>
  <si>
    <t>销售接单出库回款分析</t>
  </si>
  <si>
    <t>统计周期内客户下达的销售订单总金额</t>
  </si>
  <si>
    <t>时间、组织、客户、产品</t>
  </si>
  <si>
    <t>销售经理</t>
  </si>
  <si>
    <t>趋势分析</t>
  </si>
  <si>
    <t>SAL-002</t>
  </si>
  <si>
    <t>统计周期内实际发货出库的销售金额</t>
  </si>
  <si>
    <t>SAL-003</t>
  </si>
  <si>
    <t>统计周期内客户实际回款到账金额</t>
  </si>
  <si>
    <t>时间、组织、客户</t>
  </si>
  <si>
    <t>财务经理</t>
  </si>
  <si>
    <t>SAL-004</t>
  </si>
  <si>
    <t>月度计划达成率</t>
  </si>
  <si>
    <t>时间、组织</t>
  </si>
  <si>
    <t>达成分析</t>
  </si>
  <si>
    <t>SAL-005</t>
  </si>
  <si>
    <t>SAL-006</t>
  </si>
  <si>
    <t>未到期应收</t>
  </si>
  <si>
    <t>应收账龄分析</t>
  </si>
  <si>
    <t>未到期的应收账款金额</t>
  </si>
  <si>
    <t>SUM(CASE WHEN 逾期天数 &lt;= 0 THEN 金额 ELSE 0 END)</t>
  </si>
  <si>
    <t>应收账龄分析表</t>
  </si>
  <si>
    <t>SUPPLIER</t>
  </si>
  <si>
    <t>应收款表</t>
  </si>
  <si>
    <t>金额</t>
  </si>
  <si>
    <t>金额,逾期天数</t>
  </si>
  <si>
    <t>账龄区间、组织、客户</t>
  </si>
  <si>
    <t>与EXP_PAYABLE_DOC.SETTLEMENT_SUPPLIER_ID关联; 区分宝得精密等特定供应商; 关联供应商; 主键; LIKE'%宝得精密%'判断机加工费; 判断宝得精密; 按月份筛选</t>
  </si>
  <si>
    <t>ERP应收数据同步任务</t>
  </si>
  <si>
    <t>供应商业务ID不为空; 供应商ID不为空</t>
  </si>
  <si>
    <t>账龄分析</t>
  </si>
  <si>
    <t>SAL-007</t>
  </si>
  <si>
    <t>30天账龄</t>
  </si>
  <si>
    <t>账龄在0-30天的应收账款金额</t>
  </si>
  <si>
    <t>SUM(CASE WHEN 逾期天数 BETWEEN 0 AND 30 THEN 金额 ELSE 0 END)</t>
  </si>
  <si>
    <t>SAL-008</t>
  </si>
  <si>
    <t>60天账龄</t>
  </si>
  <si>
    <t>账龄在31-60天的应收账款金额</t>
  </si>
  <si>
    <t>SUM(CASE WHEN 逾期天数 BETWEEN 31 AND 60 THEN 金额 ELSE 0 END)</t>
  </si>
  <si>
    <t>SAL-009</t>
  </si>
  <si>
    <t>90天账龄</t>
  </si>
  <si>
    <t>账龄在61-90天的应收账款金额</t>
  </si>
  <si>
    <t>SUM(CASE WHEN 逾期天数 BETWEEN 61 AND 90 THEN 金额 ELSE 0 END)</t>
  </si>
  <si>
    <t>SAL-010</t>
  </si>
  <si>
    <t>180天账龄</t>
  </si>
  <si>
    <t>账龄在91-180天的应收账款金额</t>
  </si>
  <si>
    <t>SUM(CASE WHEN 逾期天数 BETWEEN 91 AND 180 THEN 金额 ELSE 0 END)</t>
  </si>
  <si>
    <t>SAL-011</t>
  </si>
  <si>
    <t>超期应收</t>
  </si>
  <si>
    <t>账龄超过180天的应收账款金额</t>
  </si>
  <si>
    <t>SUM(CASE WHEN 逾期天数 &gt; 180 THEN 金额 ELSE 0 END)</t>
  </si>
  <si>
    <t>应收账龄分析表 -- 怎么算超期 客户的付款方式里面会有账期（每个客户有对应的账龄）</t>
  </si>
  <si>
    <t>风险指标</t>
  </si>
  <si>
    <t>SAL-012</t>
  </si>
  <si>
    <t>逾期金额</t>
  </si>
  <si>
    <t>逾期应收分析</t>
  </si>
  <si>
    <t>逾期未收的应收账款金额</t>
  </si>
  <si>
    <t>SUM(CASE WHEN 逾期天数 &gt; 0 THEN 金额 ELSE 0 END)</t>
  </si>
  <si>
    <t>E10-账龄分析表</t>
  </si>
  <si>
    <t>组织、客户、时间</t>
  </si>
  <si>
    <t>SAL-013</t>
  </si>
  <si>
    <t>90天以上应收</t>
  </si>
  <si>
    <t>账龄超过90天的应收账款金额</t>
  </si>
  <si>
    <t>SUM(CASE WHEN 逾期天数 &gt; 90 THEN 金额 ELSE 0 END)</t>
  </si>
  <si>
    <t>SAL-014</t>
  </si>
  <si>
    <t>180天以上应收</t>
  </si>
  <si>
    <t>SAL-015</t>
  </si>
  <si>
    <t>客户逾期排名</t>
  </si>
  <si>
    <t>按逾期金额排名的客户列表</t>
  </si>
  <si>
    <t>ORDER BY 逾期金额 DESC</t>
  </si>
  <si>
    <t>int</t>
  </si>
  <si>
    <t>SHIP_TO_CUSTOMER_ID</t>
  </si>
  <si>
    <t>客户ID,客户名称,逾期金额</t>
  </si>
  <si>
    <t>客户、逾期金额</t>
  </si>
  <si>
    <t>排名分析</t>
  </si>
  <si>
    <t>PLN-001</t>
  </si>
  <si>
    <t>计划与库存分析中心</t>
  </si>
  <si>
    <t>总订单数</t>
  </si>
  <si>
    <t>销售订单准交率分析</t>
  </si>
  <si>
    <t>统计周期内下达的销售订单总数</t>
  </si>
  <si>
    <t>COUNT(DISTINCT 订单ID)</t>
  </si>
  <si>
    <t>Int</t>
  </si>
  <si>
    <t>销售订单模块</t>
  </si>
  <si>
    <t>MO_ID</t>
  </si>
  <si>
    <t>订单ID</t>
  </si>
  <si>
    <t>时间</t>
  </si>
  <si>
    <t>生产计划经理</t>
  </si>
  <si>
    <t>订单分析</t>
  </si>
  <si>
    <t>PLN-002</t>
  </si>
  <si>
    <t>准交订单数</t>
  </si>
  <si>
    <t>按时交货的销售订单数量</t>
  </si>
  <si>
    <t>除延期之外的</t>
  </si>
  <si>
    <t>订单ID,交货日期,实际交货日期</t>
  </si>
  <si>
    <t>PLN-003</t>
  </si>
  <si>
    <t>延期订单数</t>
  </si>
  <si>
    <t>延期交货的销售订单数量</t>
  </si>
  <si>
    <t>工单入库日期-评审日期&gt;1、入库数量&lt;工单数量  为延期</t>
  </si>
  <si>
    <t>销售订单模块 - 发货计划</t>
  </si>
  <si>
    <t>PLN-004</t>
  </si>
  <si>
    <t>准交率</t>
  </si>
  <si>
    <t>按时交货的订单占总订单的比率</t>
  </si>
  <si>
    <t>核心指标</t>
  </si>
  <si>
    <t>PLN-005</t>
  </si>
  <si>
    <t>原材料库存</t>
  </si>
  <si>
    <t>库存周转分析</t>
  </si>
  <si>
    <t>统计周期末原材料库存金额</t>
  </si>
  <si>
    <t>原材料+委托加工物资+周转材料</t>
  </si>
  <si>
    <t>鼎捷财务总账-库存明细表+品号群组表+MES库存信息</t>
  </si>
  <si>
    <t>金额,库存类型</t>
  </si>
  <si>
    <t>时间、类别（原材料、半成品、成品）</t>
  </si>
  <si>
    <t>ERP库存数据同步任务</t>
  </si>
  <si>
    <t>仓库经理</t>
  </si>
  <si>
    <t>库存分析</t>
  </si>
  <si>
    <t>PLN-006</t>
  </si>
  <si>
    <t>半成品库存</t>
  </si>
  <si>
    <t>统计周期末半成品库存金额</t>
  </si>
  <si>
    <t>自制半成品</t>
  </si>
  <si>
    <t>PLN-007</t>
  </si>
  <si>
    <t>库存周转天数</t>
  </si>
  <si>
    <t>库存周转一次所需的天数</t>
  </si>
  <si>
    <t>MES库存相关信息 E10-财务总账</t>
  </si>
  <si>
    <t>库存指标</t>
  </si>
  <si>
    <t>PLN-008</t>
  </si>
  <si>
    <t>呆滞库存金额</t>
  </si>
  <si>
    <t>库龄超过180天的库存金额</t>
  </si>
  <si>
    <t>sum(呆滞物料数量 × 该物料的单位成本)需要确定超期多久算呆滞</t>
  </si>
  <si>
    <t>鼎捷-库存明细表+品号群组表+MES库存信息（判断库龄）</t>
  </si>
  <si>
    <t>金额,库龄天数</t>
  </si>
  <si>
    <t>PLN-009</t>
  </si>
  <si>
    <t>未逾期库存</t>
  </si>
  <si>
    <t>成品库龄分析</t>
  </si>
  <si>
    <t>未超期的成品库存金额</t>
  </si>
  <si>
    <t>小于30天</t>
  </si>
  <si>
    <t>鼎捷-库存明细表+品号群组表+MES库存信息（成品入库在20天以内发货的）</t>
  </si>
  <si>
    <t>金额,库龄天数,保质期天数</t>
  </si>
  <si>
    <t>库龄分析</t>
  </si>
  <si>
    <t>PLN-010</t>
  </si>
  <si>
    <t>超期库存</t>
  </si>
  <si>
    <t>超期的成品库存金额</t>
  </si>
  <si>
    <t>90+天</t>
  </si>
  <si>
    <t>鼎捷-库存明细表+品号群组表+MES库存信息（成品入库大于20天就算超期，会按季度进行区分【3个月以内，3-6个月等等】）</t>
  </si>
  <si>
    <t>类别（原材料、半成品、成品）、季度</t>
  </si>
  <si>
    <t>PLN-011</t>
  </si>
  <si>
    <t>库龄分布</t>
  </si>
  <si>
    <t>成品库存按库龄区间的分布</t>
  </si>
  <si>
    <t>CASE WHEN 库龄天数 &lt;= 30 THEN '0-1月' WHEN 库龄天数 &gt; 30 and 库龄天数 &lt;= 60 THEN '1-2月' WHEN 库龄天数 &gt; 60 and 库龄天数 &lt;= 180 THEN '2-6月' 
WHEN 库龄天数 &gt; 180 and 库龄天数 &lt;= 360 THEN '6-12月' ELSE '大于12月' END</t>
  </si>
  <si>
    <t>鼎捷-库存明细表+品号群组表+MES库存信息（会按季度进行区分【3个月以内，3-6个月等等】）</t>
  </si>
  <si>
    <t>库龄天数,金额</t>
  </si>
  <si>
    <t>类别（原材料、半成品、成品）、时间区间(0-1\1-2\2-6\6-12\大于12月)</t>
  </si>
  <si>
    <t>分布分析</t>
  </si>
  <si>
    <t>PLN-012</t>
  </si>
  <si>
    <t>客户库存占比</t>
  </si>
  <si>
    <t>各客户占用库存金额占总库存的比率</t>
  </si>
  <si>
    <t>SUM(金额) OVER (PARTITION BY 客户ID) / SUM(金额) * 100</t>
  </si>
  <si>
    <t>鼎捷-库存明细表+品号群组表+MES库存信息（）</t>
  </si>
  <si>
    <t>SHIP_TO_CUSTOMER_ID, 金额</t>
  </si>
  <si>
    <t>客户ID,金额</t>
  </si>
  <si>
    <t>客户</t>
  </si>
  <si>
    <t>客户分析</t>
  </si>
  <si>
    <t>PLN-013</t>
  </si>
  <si>
    <t>30天库存</t>
  </si>
  <si>
    <t>超期库存分析</t>
  </si>
  <si>
    <t>库龄在0-30天的成品库存金额</t>
  </si>
  <si>
    <t>SUM(CASE WHEN 库龄天数 BETWEEN 0 AND 30 THEN 金额 ELSE 0 END)</t>
  </si>
  <si>
    <t>鼎捷-库存明细表+品号群组表+MES库存信息</t>
  </si>
  <si>
    <t>类别（原材料、半成品、成品）</t>
  </si>
  <si>
    <t>超期分析</t>
  </si>
  <si>
    <t>PLN-014</t>
  </si>
  <si>
    <t>60天库存</t>
  </si>
  <si>
    <t>库龄在31-60天的成品库存金额</t>
  </si>
  <si>
    <t>SUM(CASE WHEN 库龄天数 BETWEEN 31 AND 60 THEN 金额 ELSE 0 END)</t>
  </si>
  <si>
    <t>PLN-015</t>
  </si>
  <si>
    <t>90天库存</t>
  </si>
  <si>
    <t>库龄超过90天的成品库存金额</t>
  </si>
  <si>
    <t>SUM(CASE WHEN 库龄天数 &gt; 90 THEN 金额 ELSE 0 END)</t>
  </si>
  <si>
    <t>PLN-016</t>
  </si>
  <si>
    <t>超期库存客户排名</t>
  </si>
  <si>
    <t>按超期库存金额排名的客户列表</t>
  </si>
  <si>
    <t>ORDER BY 超期金额 DESC</t>
  </si>
  <si>
    <t>客户ID,客户名称,超期金额</t>
  </si>
  <si>
    <t>PRO-001</t>
  </si>
  <si>
    <t>生产运营分析中心</t>
  </si>
  <si>
    <t>工单数量</t>
  </si>
  <si>
    <t>钎焊生产计划达成率</t>
  </si>
  <si>
    <t>钎焊车间统计周期内下达的生产工单总数</t>
  </si>
  <si>
    <t>COUNT(DISTINCT 工单ID)</t>
  </si>
  <si>
    <t>鼎捷-工单管理 + MES-计划管理</t>
  </si>
  <si>
    <t>工单ID,车间ID</t>
  </si>
  <si>
    <t>时间、车间</t>
  </si>
  <si>
    <t>生产经理</t>
  </si>
  <si>
    <t>生产分析</t>
  </si>
  <si>
    <t>PRO-002</t>
  </si>
  <si>
    <t>准交工单</t>
  </si>
  <si>
    <t>钎焊车间按时完成的生产工单数量</t>
  </si>
  <si>
    <t>迟交原因为空白的</t>
  </si>
  <si>
    <t>工单ID,车间ID,计划完工日期,实际完工日期</t>
  </si>
  <si>
    <t>PRO-003</t>
  </si>
  <si>
    <t>延期工单</t>
  </si>
  <si>
    <t>钎焊车间延期完成的生产工单数量</t>
  </si>
  <si>
    <t>迟交原因为有内容的</t>
  </si>
  <si>
    <t>PRO-004</t>
  </si>
  <si>
    <t>达成率</t>
  </si>
  <si>
    <t>钎焊车间生产工单准交率</t>
  </si>
  <si>
    <t>PRO-005</t>
  </si>
  <si>
    <t>工单达成率</t>
  </si>
  <si>
    <t>可拆生产计划达成率</t>
  </si>
  <si>
    <t>可拆车间生产工单准交率</t>
  </si>
  <si>
    <t>PRO-006</t>
  </si>
  <si>
    <t>延期率</t>
  </si>
  <si>
    <t>可拆车间生产工单延期率</t>
  </si>
  <si>
    <t>延期工单/总工单</t>
  </si>
  <si>
    <t>PRO-007</t>
  </si>
  <si>
    <t>月度趋势</t>
  </si>
  <si>
    <t>可拆车间生产工单准交率月度趋势</t>
  </si>
  <si>
    <t>按每周工单达成率&amp;延期率进行月度展示</t>
  </si>
  <si>
    <t>PRO-008</t>
  </si>
  <si>
    <t>公司产值</t>
  </si>
  <si>
    <t>公司产值分析</t>
  </si>
  <si>
    <t>统计周期内（本月成品销售额+（期末成品成本-期初成品成本（科目余额表对接财务王总）)）</t>
  </si>
  <si>
    <t>AMOEBA_ID, OUTPUT_VALUE</t>
  </si>
  <si>
    <t>阿米巴ID,产值金额</t>
  </si>
  <si>
    <t>时间、阿米巴单元</t>
  </si>
  <si>
    <t>MES生产数据同步任务</t>
  </si>
  <si>
    <t>人效分析</t>
  </si>
  <si>
    <t>PRO-009</t>
  </si>
  <si>
    <t>人力成本</t>
  </si>
  <si>
    <t>生产人效分析</t>
  </si>
  <si>
    <t>统计周期内（本月成品销售额+（期末成品成本-期初成品成本)）/生产人员月度人力</t>
  </si>
  <si>
    <t>生产人效（入库金额钎焊+可拆销售额/生产人员月度人力成本；）</t>
  </si>
  <si>
    <t>EMPLOYEE</t>
  </si>
  <si>
    <t>薪资表</t>
  </si>
  <si>
    <t>AMOEBA_ID, 金额</t>
  </si>
  <si>
    <t>阿米巴ID,薪资金额</t>
  </si>
  <si>
    <t>与SALES_DELIVERY.Owner_Emp关联; 关联业务员; 关联业务员信息; 按月份筛选</t>
  </si>
  <si>
    <t>HR薪资数据同步任务</t>
  </si>
  <si>
    <t>员工ID不为空</t>
  </si>
  <si>
    <t>PRO-010</t>
  </si>
  <si>
    <t>人均产出</t>
  </si>
  <si>
    <t>公司人效分析</t>
  </si>
  <si>
    <t>统计周期内出库销售额对应人均产出</t>
  </si>
  <si>
    <t>公司人效（（本期出库销售额/本期全员平均人数（需要后期提供）/12）</t>
  </si>
  <si>
    <t>产值金额,员工ID</t>
  </si>
  <si>
    <t>PRO-011</t>
  </si>
  <si>
    <t>人效趋势</t>
  </si>
  <si>
    <t>生产、公司人效分析</t>
  </si>
  <si>
    <t>统计周期内的生产人效、公司人效的趋势</t>
  </si>
  <si>
    <t>按每月人均产出进行月度展示</t>
  </si>
  <si>
    <t>生产汇总表</t>
  </si>
  <si>
    <t>OUTPUT_PER_EMPLOYEE</t>
  </si>
  <si>
    <t>QAL-001</t>
  </si>
  <si>
    <t>质量分析中心</t>
  </si>
  <si>
    <t>钎焊质量分析</t>
  </si>
  <si>
    <t>钎焊车间统计周期内送检的产品批次数量</t>
  </si>
  <si>
    <t>MES-质量管理</t>
  </si>
  <si>
    <t>质检记录表</t>
  </si>
  <si>
    <t>BATCH_ID, WORKSHOP_ID</t>
  </si>
  <si>
    <t>批次ID,车间ID</t>
  </si>
  <si>
    <t>MES质检数据同步任务</t>
  </si>
  <si>
    <t>质量经理</t>
  </si>
  <si>
    <t>质量分析</t>
  </si>
  <si>
    <t>QAL-002</t>
  </si>
  <si>
    <t>返工率</t>
  </si>
  <si>
    <t>钎焊车间一次检验合格的产品批次数量</t>
  </si>
  <si>
    <t>钎焊返工台数/钎焊生产台数</t>
  </si>
  <si>
    <t>MES-钎焊报工记录、MES-成品质量判定</t>
  </si>
  <si>
    <t>BATCH_ID, WORKSHOP_ID, INSPECTION_RESULT</t>
  </si>
  <si>
    <t>批次ID,车间ID,检验结果</t>
  </si>
  <si>
    <t>QAL-003</t>
  </si>
  <si>
    <t>钎焊车间一次检验不合格的产品批次数量</t>
  </si>
  <si>
    <t>实际报废重量÷当月BOM用料重量 ×100%（报废重量/生产重量）</t>
  </si>
  <si>
    <t>QAL-004</t>
  </si>
  <si>
    <t>报废金额</t>
  </si>
  <si>
    <t>钎焊车间一次检验合格率</t>
  </si>
  <si>
    <t>sum(实际报废重量*对应品号单价)</t>
  </si>
  <si>
    <t>MES-质量控制台（E10-品号单位成本）</t>
  </si>
  <si>
    <t>DWS质量汇总任务</t>
  </si>
  <si>
    <t>QAL-005</t>
  </si>
  <si>
    <t>板片报废重量</t>
  </si>
  <si>
    <t>板片报废分析</t>
  </si>
  <si>
    <t>可拆车间一次检验合格率</t>
  </si>
  <si>
    <t>SUM(各工单实际报废重量)数量*E10重量</t>
  </si>
  <si>
    <t>ERP-工单管理+ERP-BOM信息+ERP-品号信息</t>
  </si>
  <si>
    <t>QAL-006</t>
  </si>
  <si>
    <t>总生产重量</t>
  </si>
  <si>
    <t>可拆车间一次检验不合格率</t>
  </si>
  <si>
    <t>SUM(各工单总生产板片重量，当月BOM用料重量)重量之和</t>
  </si>
  <si>
    <t>QAL-007</t>
  </si>
  <si>
    <t>可拆车间一次检验合格率月度趋势</t>
  </si>
  <si>
    <t>BATCH_ID, INSPECTION_RESULT</t>
  </si>
  <si>
    <t>批次ID,检验结果</t>
  </si>
  <si>
    <t>QAL-008</t>
  </si>
  <si>
    <t>生产台数</t>
  </si>
  <si>
    <t>可拆一次合格率分析</t>
  </si>
  <si>
    <t>统计周期内发生的质量事故总数</t>
  </si>
  <si>
    <t>待定（MES-可拆报工记录）</t>
  </si>
  <si>
    <t>QMS_ACCIDENT</t>
  </si>
  <si>
    <t>质量事故表</t>
  </si>
  <si>
    <t>ACCIDENT_ID</t>
  </si>
  <si>
    <t>事故ID</t>
  </si>
  <si>
    <t>MES质量事故同步任务</t>
  </si>
  <si>
    <t>QAL-009</t>
  </si>
  <si>
    <t>返工台数</t>
  </si>
  <si>
    <t>统计周期内重大质量事故数量</t>
  </si>
  <si>
    <t>COUNT(DISTINCT CASE WHEN 状态='返工' THEN 工单ID END)返工台数</t>
  </si>
  <si>
    <t>待定</t>
  </si>
  <si>
    <t>ACCIDENT_ID, SEVERITY_LEVEL</t>
  </si>
  <si>
    <t>事故ID,严重程度</t>
  </si>
  <si>
    <t>QAL-010</t>
  </si>
  <si>
    <t>质量事故按严重程度的分布</t>
  </si>
  <si>
    <t>一次检验合格台数÷生产总数 ×100%（1-返工率）</t>
  </si>
  <si>
    <t>QAL-011</t>
  </si>
  <si>
    <t>来料批次</t>
  </si>
  <si>
    <t>来料质量分析（IQC）</t>
  </si>
  <si>
    <t>质量事故按原因分类的分布</t>
  </si>
  <si>
    <t>COUNT(DISTINCT 来料批次ID)</t>
  </si>
  <si>
    <t>待定（E10-总批次）</t>
  </si>
  <si>
    <t>事故ID,事故原因</t>
  </si>
  <si>
    <t>QAL-012</t>
  </si>
  <si>
    <t>合格批次</t>
  </si>
  <si>
    <t>统计周期内采购入库的原材料总金额</t>
  </si>
  <si>
    <t>COUNT(DISTINCT CASE WHEN 状态='合格' THEN 来料批次ID END)（总批次-不合格批次）</t>
  </si>
  <si>
    <t>XPO_AA_D</t>
  </si>
  <si>
    <t>采购入库单表</t>
  </si>
  <si>
    <t>INBOUND_AMOUNT</t>
  </si>
  <si>
    <t>入库金额</t>
  </si>
  <si>
    <t>与XPO_AA.XPO_AA_ID关联; 与ITEM.ITEM_BUSINESS_ID关联; 采购单价; 与XPO_AA关联; JOIN XPO_AA; 关联物料; 备用价格（回退取价）; JOIN; JOIN ITEM; 备用价格; 按月份筛选</t>
  </si>
  <si>
    <t>ERP采购入库同步任务</t>
  </si>
  <si>
    <t>单价单ID不为空; 物料ID不为空; 采购订单ID不为空; 价格协议ID不为空</t>
  </si>
  <si>
    <t>采购经理</t>
  </si>
  <si>
    <t>采购分析</t>
  </si>
  <si>
    <t>QAL-013</t>
  </si>
  <si>
    <t>不合格批次</t>
  </si>
  <si>
    <t>按时交付的采购订单数量</t>
  </si>
  <si>
    <t>COUNT(DISTINCT CASE WHEN 状态='不合格' THEN 来料批次ID END)</t>
  </si>
  <si>
    <t>待定（KK-不合格批次）</t>
  </si>
  <si>
    <t>QAL-014</t>
  </si>
  <si>
    <t>延期交付的采购订单数量</t>
  </si>
  <si>
    <t>原材料送检合格批次÷主要原材料送检总批次×100%（合格批次数/总批次数）</t>
  </si>
  <si>
    <t>待定（E10-总批次、KK-不合格批次）</t>
  </si>
  <si>
    <t>QAL-015</t>
  </si>
  <si>
    <t>客诉数量</t>
  </si>
  <si>
    <t>钎焊客诉分析</t>
  </si>
  <si>
    <t>采购订单按时交付率</t>
  </si>
  <si>
    <t>COUNT(DISTINCT 客诉ID)</t>
  </si>
  <si>
    <t>客诉</t>
  </si>
  <si>
    <t>QAL-016</t>
  </si>
  <si>
    <t>客诉PPM</t>
  </si>
  <si>
    <t>采购订单按时交付率月度趋势</t>
  </si>
  <si>
    <t>客诉数量/出库数量*1000000（按数量）</t>
  </si>
  <si>
    <t>QAL-017</t>
  </si>
  <si>
    <t>已关闭客诉</t>
  </si>
  <si>
    <t>统计周期内采购到货检验合格的原材料批次数量</t>
  </si>
  <si>
    <t>COUNT(DISTINCT CASE WHEN 状态='已关闭' THEN 客诉ID END)</t>
  </si>
  <si>
    <t>ERP来料检验同步任务</t>
  </si>
  <si>
    <t>QAL-018</t>
  </si>
  <si>
    <t>未关闭客诉</t>
  </si>
  <si>
    <t>统计周期内采购到货检验不合格的原材料批次数量</t>
  </si>
  <si>
    <t>COUNT(DISTINCT CASE WHEN 状态='未关闭' THEN 客诉ID END)</t>
  </si>
  <si>
    <t>QAL-019</t>
  </si>
  <si>
    <t>客诉关闭率</t>
  </si>
  <si>
    <t>采购到货检验合格率</t>
  </si>
  <si>
    <t>客诉关闭次数/客诉总次数</t>
  </si>
  <si>
    <t>QAL-020</t>
  </si>
  <si>
    <t>可拆客诉分析</t>
  </si>
  <si>
    <t>统计周期内新增的客户数量</t>
  </si>
  <si>
    <t>（客诉不良品总数 / 总出货量）× 100%（按数量or次数）</t>
  </si>
  <si>
    <t>客诉（KK-客诉、E10-出库数量）</t>
  </si>
  <si>
    <t>客户主数据表</t>
  </si>
  <si>
    <t>客户ID,创建日期</t>
  </si>
  <si>
    <t>MDM客户数据同步任务</t>
  </si>
  <si>
    <t>MDM管理员</t>
  </si>
  <si>
    <t>QAL-021</t>
  </si>
  <si>
    <t>客诉趋势</t>
  </si>
  <si>
    <t>统计周期内新增的供应商数量</t>
  </si>
  <si>
    <t>按每周客诉率进行月度展示</t>
  </si>
  <si>
    <t>供应商主数据表</t>
  </si>
  <si>
    <t>SUPPLIER_ID</t>
  </si>
  <si>
    <t>供应商ID,创建日期</t>
  </si>
  <si>
    <t>MDM供应商数据同步任务</t>
  </si>
  <si>
    <t>供应商分析</t>
  </si>
  <si>
    <t>QAL-022</t>
  </si>
  <si>
    <t>统计周期内新增的物料数量</t>
  </si>
  <si>
    <t>ITEM</t>
  </si>
  <si>
    <t>物料主数据表</t>
  </si>
  <si>
    <t>ITEM_ID</t>
  </si>
  <si>
    <t>物料ID,创建日期</t>
  </si>
  <si>
    <t>与各表ITEM_ID关联; 通过LEFT(ITEM_CODE; 判断图号类型(自动/手动); 与FEATURE_GROUP.FEATURE_GROUP_ID关联; 与MO_RECEIPT_D.ITEM_ID关联; ITEM_CODE LIKE '330%'筛选钎焊产品; left(ITEM_NAME; 主键; LIKE '330%/340%'分类钎焊/可拆; 含NL=镍钎焊；排除废料; 关联FEATURE_GROUP; LIKE分类; 排除废料/板片分类; 按月份筛选</t>
  </si>
  <si>
    <t>MDM物料数据同步任务</t>
  </si>
  <si>
    <t>物料业务ID不为空; 品号群组ID不为空; ITEM_CODE LIKE '330%'筛选钎焊产品</t>
  </si>
  <si>
    <t>物料分析</t>
  </si>
  <si>
    <t>QAL-023</t>
  </si>
  <si>
    <t>客诉责任分布</t>
  </si>
  <si>
    <t>客户数据完整性评分</t>
  </si>
  <si>
    <t>各类客诉责任数量 / 总客诉责任数量 * 100（客诉责任分布）</t>
  </si>
  <si>
    <t>REQUIRED_FIELD_COMPLETENESS</t>
  </si>
  <si>
    <t>必填字段完整性</t>
  </si>
  <si>
    <t>MDM数据质量评估任务</t>
  </si>
  <si>
    <t>数据治理经理</t>
  </si>
  <si>
    <t>数据质量</t>
  </si>
  <si>
    <t>QAL-024</t>
  </si>
  <si>
    <t>客诉明细</t>
  </si>
  <si>
    <t>未关闭客诉跟踪</t>
  </si>
  <si>
    <t>供应商数据完整性评分</t>
  </si>
  <si>
    <t>string</t>
  </si>
  <si>
    <t>QAL-025</t>
  </si>
  <si>
    <t>责任人</t>
  </si>
  <si>
    <t>物料数据完整性评分</t>
  </si>
  <si>
    <t>QAL-026</t>
  </si>
  <si>
    <t>当前状态</t>
  </si>
  <si>
    <t>当前未关闭的客户投诉数量</t>
  </si>
  <si>
    <t>ID</t>
  </si>
  <si>
    <t>投诉ID,投诉状态</t>
  </si>
  <si>
    <t>CRM投诉数据同步任务</t>
  </si>
  <si>
    <t>客户服务经理</t>
  </si>
  <si>
    <t>QAL-027</t>
  </si>
  <si>
    <t>超期情况</t>
  </si>
  <si>
    <t>已逾期的客户投诉数量</t>
  </si>
  <si>
    <t>ID, OVERDUE_DAYS</t>
  </si>
  <si>
    <t>投诉ID,投诉状态,逾期天数</t>
  </si>
  <si>
    <t>PUR-001</t>
  </si>
  <si>
    <t>采购分析中心</t>
  </si>
  <si>
    <t>计划送货数量</t>
  </si>
  <si>
    <t>准时到料率分析</t>
  </si>
  <si>
    <t>统计周期内计划采购订单数量</t>
  </si>
  <si>
    <t>采购订单模块</t>
  </si>
  <si>
    <t>订单ID,订单状态</t>
  </si>
  <si>
    <t>PUR-002</t>
  </si>
  <si>
    <t>准时到料数量</t>
  </si>
  <si>
    <t>按时到货的采购订单数量</t>
  </si>
  <si>
    <t>COUNT(DISTINCT CASE WHEN 到货日期 &lt;= 计划到货日期 THEN 订单ID END)</t>
  </si>
  <si>
    <t>订单ID,到货日期,计划到货日期</t>
  </si>
  <si>
    <t>PUR-003</t>
  </si>
  <si>
    <t>到料达成率</t>
  </si>
  <si>
    <t>采购订单按时到货率</t>
  </si>
  <si>
    <t>实际完成的订单批次÷商定并确认的计划达成订单批次×100%；（准时送货单数/计划总单数）</t>
  </si>
  <si>
    <t>PUR-004</t>
  </si>
  <si>
    <t>到货金额</t>
  </si>
  <si>
    <t>采购降本增效分析</t>
  </si>
  <si>
    <t>统计周期内采购到货总金额</t>
  </si>
  <si>
    <t>SUM(到货金额)</t>
  </si>
  <si>
    <t>订单ID,到货金额</t>
  </si>
  <si>
    <t>时间、组织、供应商</t>
  </si>
  <si>
    <t>PUR-005</t>
  </si>
  <si>
    <t>降本目标</t>
  </si>
  <si>
    <t>采购降本目标金额</t>
  </si>
  <si>
    <t>SUM(降本目标)</t>
  </si>
  <si>
    <t>PUR_PO</t>
  </si>
  <si>
    <t>采购预算表</t>
  </si>
  <si>
    <t>BUDGET_AMOUNT, COST_REDUCTION_TARGET</t>
  </si>
  <si>
    <t>预算金额,降本目标</t>
  </si>
  <si>
    <t>ERP预算数据同步任务</t>
  </si>
  <si>
    <t>预算分析</t>
  </si>
  <si>
    <t>PUR-006</t>
  </si>
  <si>
    <t>实际降本金额</t>
  </si>
  <si>
    <t>实际采购降本金额</t>
  </si>
  <si>
    <t>SUM(标准成本 - 实际成本)</t>
  </si>
  <si>
    <t>PUR-007</t>
  </si>
  <si>
    <t>降本比例</t>
  </si>
  <si>
    <t>采购降本达成率</t>
  </si>
  <si>
    <t>实际降本金额 / 降本目标金额 * 100</t>
  </si>
  <si>
    <t>MDM-001</t>
  </si>
  <si>
    <t>主数据管理</t>
  </si>
  <si>
    <t>客户主数据完整性</t>
  </si>
  <si>
    <t>客户主数据完整性评分</t>
  </si>
  <si>
    <t>完整字段数 / 必填字段总数 * 100</t>
  </si>
  <si>
    <t>客户管理</t>
  </si>
  <si>
    <t>全量</t>
  </si>
  <si>
    <t>MDM-002</t>
  </si>
  <si>
    <t>供应商主数据完整性</t>
  </si>
  <si>
    <t>供应商主数据完整性评分</t>
  </si>
  <si>
    <t>供应商管理</t>
  </si>
  <si>
    <t>MDM-003</t>
  </si>
  <si>
    <t>物料主数据一致性</t>
  </si>
  <si>
    <t>物料主数据一致性评分</t>
  </si>
  <si>
    <t>一致字段数 / 总字段数 * 100</t>
  </si>
  <si>
    <t>维护品号信息+维护品号群组+库存明细表</t>
  </si>
  <si>
    <t>FIELD_CONSISTENCY_CHECK</t>
  </si>
  <si>
    <t>字段一致性检查</t>
  </si>
  <si>
    <t>MDM-004</t>
  </si>
  <si>
    <t>组织架构主数据准确性</t>
  </si>
  <si>
    <t>架构树</t>
  </si>
  <si>
    <t>组织主数据准确性评分</t>
  </si>
  <si>
    <t>准确字段数 / 总字段数 * 100</t>
  </si>
  <si>
    <t>东宝</t>
  </si>
  <si>
    <t>人员和组织结构数据变动频繁</t>
  </si>
  <si>
    <t>组织主数据表</t>
  </si>
  <si>
    <t>FIELD_ACCURACY_CHECK</t>
  </si>
  <si>
    <t>字段准确性检查</t>
  </si>
  <si>
    <t>MDM-005</t>
  </si>
  <si>
    <t>人员主数据时效性</t>
  </si>
  <si>
    <t>列表展示</t>
  </si>
  <si>
    <t>员工主数据时效性评分</t>
  </si>
  <si>
    <t>及时更新记录数 / 总记录数 * 100</t>
  </si>
  <si>
    <t>员工主数据表</t>
  </si>
  <si>
    <t>DATA_UPDATE_TIME_CHECK</t>
  </si>
  <si>
    <t>数据更新时间检查</t>
  </si>
  <si>
    <t>列表</t>
  </si>
  <si>
    <t>当前现状</t>
  </si>
  <si>
    <t>指标权限</t>
  </si>
  <si>
    <t>系统计算</t>
  </si>
  <si>
    <t>ERP-维护销售订单-销售订单明细表</t>
  </si>
  <si>
    <t>每日凌晨8:00前</t>
  </si>
  <si>
    <t>[完整性]ORDER_ID IS NOT NULL; ORDER_AMOUNT IS NOT NULL; CUSTOMER_ID IS NOT NULL; ORDER_DATE IS NOT NULL; [准确性]ORDER_AMOUNT &gt;= 0; [有效性]ApproveStatus IN ('Y','N'); [一致性]关联SALES_ORDER_DOC_D.ORDER_ID参照完整; [唯一性]ORDER_ID + ORDER_DTL_ID不重复</t>
  </si>
  <si>
    <t>[查看]总经理,副总经理,销售总监,财务总监; [编辑]销售总监; [管理]ETL工程师,数据治理经理</t>
  </si>
  <si>
    <t>ERP-客户销货统计表，销售订单关联销货单、推销单</t>
  </si>
  <si>
    <t>关联SALES_ISSUE_D获取出货明细; 关联CUSTOMER.CUSTOMER_BUSINESS_ID获取客户信息; 关联COMPANY.COMPANY_ID获取公司信息; 筛选已审核:ApproveStatus='Y'; 按月份筛选</t>
  </si>
  <si>
    <t>[完整性]ISSUE_ID IS NOT NULL; DELIVERY_AMOUNT IS NOT NULL; CUSTOMER_ID IS NOT NULL; COMPANY_ID IS NOT NULL; DELIVERY_DATE IS NOT NULL; [准确性]DELIVERY_AMOUNT &gt;= 0; [有效性]ApproveStatus = 'Y'; [一致性]关联SALES_ISSUE_D.ISSUE_ID参照完整; 关联CUSTOMER.CUSTOMER_ID参照完整; 关联COMPANY.COMPANY_ID参照完整; [唯一性]ISSUE_ID + ISSUE_DTL_ID不重复</t>
  </si>
  <si>
    <t>ERP-维护收款单-收款明细表</t>
  </si>
  <si>
    <t>AR_RECEIPT</t>
  </si>
  <si>
    <t>与AR_RECEIPT_D.RECEIPT_ID关联获取收款明细; 关联CUSTOMER.CUSTOMER_ID获取客户信息; 筛选已审核:ApproveStatus='Y'; 按月份筛选</t>
  </si>
  <si>
    <t>[完整性]RECEIPT_ID IS NOT NULL; RECEIPT_AMOUNT IS NOT NULL; CUSTOMER_ID IS NOT NULL; RECEIPT_DATE IS NOT NULL; [准确性]RECEIPT_AMOUNT &gt;= 0; [有效性]ApproveStatus = 'Y'; [一致性]关联AR_RECEIPT_D.RECEIPT_ID参照完整; 关联CUSTOMER.CUSTOMER_ID参照完整; [唯一性]RECEIPT_ID + RECEIPT_DTL_ID不重复</t>
  </si>
  <si>
    <t>[查看]总经理,副总经理,财务总监; [编辑]财务总监; [管理]ETL工程师,数据治理经理</t>
  </si>
  <si>
    <t>系统计算+人工填报计划</t>
  </si>
  <si>
    <t>ERP-销售订单模块+鼎捷BI年度销售计划填报</t>
  </si>
  <si>
    <t>[完整性]ACTUAL_AMOUNT IS NOT NULL; TARGET_AMOUNT IS NOT NULL; [准确性]ACTUAL_AMOUNT &gt;= 0; TARGET_AMOUNT &gt;= 0; [一致性]实际金额与SALES_ORDER_DOC汇总金额交叉校验; [及时性]数据按月更新</t>
  </si>
  <si>
    <t>[查看]总经理,副总经理,销售总监; [编辑]销售总监; [管理]BI工程师,数据治理经理</t>
  </si>
  <si>
    <t>[完整性]年度累计实际 IS NOT NULL; 年度累计目标 IS NOT NULL; [准确性]年度累计实际 &gt;= 0; 年度累计目标 &gt;= 0; [一致性]年度累计实际 = SUM(月度实际金额); [及时性]数据按月更新</t>
  </si>
  <si>
    <t>ERP-工单管理模块+MES-计划管理</t>
  </si>
  <si>
    <t>关联MO_DTL.MO_ID获取工单明细; 关联ITEM.ITEM_BUSINESS_ID获取物料信息; 关联WORKSHOP获取车间信息; 筛选已审核:ApproveStatus='Y'; 按月份筛选</t>
  </si>
  <si>
    <t>[完整性]MO_ID IS NOT NULL; PLAN_QTY IS NOT NULL; ITEM_BUSINESS_ID IS NOT NULL; WORKSHOP_ID IS NOT NULL; [准确性]PLAN_QTY &gt;= 0; ACTUAL_QTY &gt;= 0; ACTUAL_QTY &lt;= PLAN_QTY * 允许偏差范围; [有效性]ApproveStatus = 'Y'; [一致性]关联MO_DTL.MO_ID参照完整; 关联ITEM.ITEM_BUSINESS_ID参照完整; 关联WORKSHOP.WORKSHOP_ID参照完整; [唯一性]MO_ID不重复</t>
  </si>
  <si>
    <t>[查看]总经理,副总经理,生产总监; [编辑]生产总监; [管理]ETL工程师,数据治理经理</t>
  </si>
  <si>
    <t>ERP-销售管理-销货单</t>
  </si>
  <si>
    <t>与SALES_ORDER_DOC_D关联获取订单明细; 关联CUSTOMER.CUSTOMER_ID获取客户信息; 筛选准交:ACTUAL_DELIVERY_DATE&lt;=DELIVERY_DATE; 按月份筛选</t>
  </si>
  <si>
    <t>[完整性]ORDER_ID IS NOT NULL; DELIVERY_DATE IS NOT NULL; CUSTOMER_ID IS NOT NULL; [有效性]ACTUAL_DELIVERY_DATE &gt;= ORDER_DATE; [一致性]关联SALES_ORDER_DOC_D.ORDER_ID参照完整; 关联CUSTOMER.CUSTOMER_ID参照完整; [唯一性]ORDER_ID不重复</t>
  </si>
  <si>
    <t>[查看]总经理,副总经理,生产总监; [编辑]生产总监; [管理]BI工程师,数据治理经理</t>
  </si>
  <si>
    <t>系统计算+提供操作演示</t>
  </si>
  <si>
    <t>ERP-财务总账（待核实）</t>
  </si>
  <si>
    <t>关联ITEM.ITEM_BUSINESS_ID获取物料信息; 排除废品库:WAREHOUSE_NAME!='废品库'; 按月份筛选</t>
  </si>
  <si>
    <t>[完整性]WAREHOUSE_ID IS NOT NULL; ITEM_BUSINESS_ID IS NOT NULL; BEGIN_INVENTORY IS NOT NULL; END_INVENTORY IS NOT NULL; SALES_COST IS NOT NULL; [准确性]BEGIN_INVENTORY &gt;= 0; END_INVENTORY &gt;= 0; SALES_COST &gt; 0; [有效性]WAREHOUSE_NAME != '废品库'; [一致性]关联ITEM.ITEM_BUSINESS_ID参照完整; 期末库存 = 期初库存 + 本期入库 - 本期出库</t>
  </si>
  <si>
    <t>统计周期内生产人员月度人均产出效率</t>
  </si>
  <si>
    <t>入库金额钎焊+可拆销售额/生产人员月度人力成本</t>
  </si>
  <si>
    <t>需确定</t>
  </si>
  <si>
    <t>OUTPUT_VALUE, EMPLOYEE_ID</t>
  </si>
  <si>
    <t>[完整性]TIANBAO_ID IS NOT NULL; OUTPUT_VALUE IS NOT NULL; EMPLOYEE_ID IS NOT NULL; [准确性]OUTPUT_VALUE &gt;= 0; [一致性]关联EMPLOYEE.EMPLOYEE_ID参照完整; [及时性]填报数据在规定时间内提交</t>
  </si>
  <si>
    <t>[查看]总经理,副总经理,生产总监,人力资源经理; [编辑]生产总监; [管理]BI工程师,数据治理经理</t>
  </si>
  <si>
    <t>系统计算+提供代码</t>
  </si>
  <si>
    <t>筛选已审核:ApproveStatus='Y'; 筛选首次检验:INSPECTION_TYPE='首检'; 关联ITEM.ITEM_BUSINESS_ID获取物料信息; 按月份筛选</t>
  </si>
  <si>
    <t>[完整性]INSPECTION_ID IS NOT NULL; BATCH_ID IS NOT NULL; INSPECTION_TOTAL IS NOT NULL; QUALIFIED_QTY IS NOT NULL; [准确性]QUALIFIED_QTY &lt;= INSPECTION_TOTAL; INSPECTION_TOTAL &gt;= 0; [有效性]ApproveStatus = 'Y'; INSPECTION_TYPE = '首检'; [一致性]关联MO.MO_ID参照完整; 关联ITEM.ITEM_BUSINESS_ID参照完整</t>
  </si>
  <si>
    <t>[查看]总经理,副总经理,质量总监; [编辑]质量总监; [管理]ETL工程师,数据治理经理</t>
  </si>
  <si>
    <t>ERP-总批次、OA-不合格批次</t>
  </si>
  <si>
    <t>关联XPO_AA.PO_ID获取采购订单信息; 关联ITEM.ITEM_BUSINESS_ID获取物料信息; 按月份筛选</t>
  </si>
  <si>
    <t>[完整性]IQC_ID IS NOT NULL; BATCH_ID IS NOT NULL; TOTAL_BATCH_COUNT IS NOT NULL; QUALIFIED_BATCH_COUNT IS NOT NULL; [准确性]QUALIFIED_BATCH_COUNT &lt;= TOTAL_BATCH_COUNT; TOTAL_BATCH_COUNT &gt;= 0; [一致性]关联XPO_AA.PO_ID参照完整; 关联ITEM.ITEM_BUSINESS_ID参照完整; [唯一性]BATCH_ID不重复</t>
  </si>
  <si>
    <t>客户投诉次数占出货总次数的比率</t>
  </si>
  <si>
    <t>客诉数量/出库数量</t>
  </si>
  <si>
    <t>OA-客诉、ERP-出库数量</t>
  </si>
  <si>
    <t>CUSTOMER_COMPLAINT</t>
  </si>
  <si>
    <t>关联CUSTOMER.CUSTOMER_ID获取客户信息; 关联SALES_ISSUE获取出货数量; 按月份筛选</t>
  </si>
  <si>
    <t>[完整性]COMPLAINT_ID IS NOT NULL; CUSTOMER_ID IS NOT NULL; COMPLAINT_COUNT IS NOT NULL; DELIVERY_COUNT IS NOT NULL; [准确性]COMPLAINT_COUNT &gt;= 0; DELIVERY_COUNT &gt; 0; [一致性]关联CUSTOMER.CUSTOMER_ID参照完整; 关联SALES_ISSUE出货数量交叉校验</t>
  </si>
  <si>
    <t>关联MO.MO_ID获取工单信息; 关联ITEM.ITEM_BUSINESS_ID获取物料信息; 筛选报废:INSPECTION_RESULT='报废'; 筛选已审核:ApproveStatus='Y'; 按月份筛选</t>
  </si>
  <si>
    <t>[完整性]RECEIPT_ID IS NOT NULL; SCRAP_QTY IS NOT NULL; TOTAL_PRODUCTION_QTY IS NOT NULL; MO_ID IS NOT NULL; [准确性]SCRAP_QTY &gt;= 0; TOTAL_PRODUCTION_QTY &gt;= 0; SCRAP_QTY &lt;= TOTAL_PRODUCTION_QTY; [有效性]ApproveStatus = 'Y'; INSPECTION_RESULT = '报废'; [一致性]关联MO.MO_ID参照完整; 关联ITEM.ITEM_BUSINESS_ID参照完整</t>
  </si>
  <si>
    <t>人工计算</t>
  </si>
  <si>
    <t>ERP-采购订单</t>
  </si>
  <si>
    <t>关联XPO_AA_D获取采购明细; 筛选已审核:ApproveStatus='Y'; 按月份筛选</t>
  </si>
  <si>
    <t>[完整性]PO_ID IS NOT NULL; DELIVERY_DATE IS NOT NULL; SUPPLIER_ID IS NOT NULL; [有效性]ApproveStatus = 'Y'; [一致性]关联XPO_AA_D.PO_ID参照完整; 关联SUPPLIER.SUPPLIER_ID参照完整; [唯一性]PO_ID不重复</t>
  </si>
  <si>
    <t>[查看]总经理,副总经理,采购总监; [编辑]采购总监; [管理]ETL工程师,数据治理经理</t>
  </si>
  <si>
    <t>每月取同品号材料价格与一年前对比，有下降则视为降本，所有降本金额合计大于公司采购的可降本的材料采购金额的5%以上部分，为额外降本</t>
  </si>
  <si>
    <t>[完整性]PO_ID IS NOT NULL; STANDARD_COST IS NOT NULL; ACTUAL_COST IS NOT NULL; [准确性]STANDARD_COST &gt;= 0; ACTUAL_COST &gt;= 0; [有效性]ApproveStatus = 'Y'; [一致性]关联XPO_AA_D.PO_ID参照完整</t>
  </si>
  <si>
    <t>[查看]总经理,副总经理,采购总监,财务总监; [编辑]采购总监; [管理]BI工程师,数据治理经理</t>
  </si>
  <si>
    <t>[完整性]实际降本金额 IS NOT NULL; 降本目标金额 IS NOT NULL; [准确性]实际降本金额 &gt;= 0; 降本目标金额 &gt;= 0; [一致性]实际降本金额 = (标准成本 - 实际成本) * 采购量; [及时性]数据按月更新</t>
  </si>
  <si>
    <t>KPI-017</t>
  </si>
  <si>
    <t>统计周期内本月成品销售额+期末成品成本-期初成品成本(科目余额表对接财务王总)</t>
  </si>
  <si>
    <t>本月成品销售额+期末成品成本-期初成品成本</t>
  </si>
  <si>
    <t>[完整性]TIANBAO_ID IS NOT NULL; AMOEBA_ID IS NOT NULL; OUTPUT_VALUE IS NOT NULL; [准确性]OUTPUT_VALUE &gt;= 0; [一致性]关联阿米巴组织参照完整; [及时性]填报数据在规定时间内提交</t>
  </si>
  <si>
    <t>[查看]总经理,副总经理,生产总监,财务总监; [编辑]生产总监; [管理]ETL工程师,数据治理经理</t>
  </si>
  <si>
    <t>[完整性]ORDER_ID IS NOT NULL; ORDER_AMOUNT IS NOT NULL; CUSTOMER_ID IS NOT NULL; ORDER_DATE IS NOT NULL; [准确性]ORDER_AMOUNT &gt;= 0; [有效性]ApproveStatus IN ('Y','N'); [一致性]关联SALES_ORDER_DOC_D.ORDER_ID参照完整; 关联CUSTOMER.CUSTOMER_ID参照完整; [唯一性]ORDER_ID + ORDER_DTL_ID不重复</t>
  </si>
  <si>
    <t>[查看]销售总监,销售经理,财务经理,财务总监; [编辑]销售经理; [管理]BI工程师,数据治理经理</t>
  </si>
  <si>
    <t>[查看]销售总监,销售经理; [编辑]销售经理; [管理]BI工程师,数据治理经理</t>
  </si>
  <si>
    <t>ERP-应收账龄分析表</t>
  </si>
  <si>
    <t>AR_AGING</t>
  </si>
  <si>
    <t>关联CUSTOMER.CUSTOMER_ID获取客户信息; 筛选未到期:AGING_DAYS&lt;=CREDIT_PERIOD; 按月份筛选</t>
  </si>
  <si>
    <t>[完整性]AGING_ID IS NOT NULL; CUSTOMER_ID IS NOT NULL; AMOUNT IS NOT NULL; AGING_DAYS IS NOT NULL; [准确性]AMOUNT &gt;= 0; AGING_DAYS &gt;= 0; [有效性]AGING_DAYS &lt;= CREDIT_PERIOD(未到期); [一致性]关联CUSTOMER.CUSTOMER_ID参照完整</t>
  </si>
  <si>
    <t>关联CUSTOMER.CUSTOMER_ID获取客户信息; 筛选账龄1-30天:AGING_DAYS BETWEEN 1 AND 30; 按月份筛选</t>
  </si>
  <si>
    <t>[完整性]AGING_ID IS NOT NULL; CUSTOMER_ID IS NOT NULL; AMOUNT IS NOT NULL; AGING_DAYS IS NOT NULL; [准确性]AMOUNT &gt;= 0; AGING_DAYS &gt;= 1; [有效性]AGING_DAYS BETWEEN 1 AND 30; [一致性]关联CUSTOMER.CUSTOMER_ID参照完整</t>
  </si>
  <si>
    <t>关联CUSTOMER.CUSTOMER_ID获取客户信息; 筛选账龄31-60天:AGING_DAYS BETWEEN 31 AND 60; 按月份筛选</t>
  </si>
  <si>
    <t>[完整性]AGING_ID IS NOT NULL; CUSTOMER_ID IS NOT NULL; AMOUNT IS NOT NULL; AGING_DAYS IS NOT NULL; [准确性]AMOUNT &gt;= 0; [有效性]AGING_DAYS BETWEEN 31 AND 60; [一致性]关联CUSTOMER.CUSTOMER_ID参照完整</t>
  </si>
  <si>
    <t>关联CUSTOMER.CUSTOMER_ID获取客户信息; 筛选账龄61-90天:AGING_DAYS BETWEEN 61 AND 90; 按月份筛选</t>
  </si>
  <si>
    <t>[完整性]AGING_ID IS NOT NULL; CUSTOMER_ID IS NOT NULL; AMOUNT IS NOT NULL; AGING_DAYS IS NOT NULL; [准确性]AMOUNT &gt;= 0; [有效性]AGING_DAYS BETWEEN 61 AND 90; [一致性]关联CUSTOMER.CUSTOMER_ID参照完整</t>
  </si>
  <si>
    <t>关联CUSTOMER.CUSTOMER_ID获取客户信息; 筛选账龄91-180天:AGING_DAYS BETWEEN 91 AND 180; 按月份筛选</t>
  </si>
  <si>
    <t>[完整性]AGING_ID IS NOT NULL; CUSTOMER_ID IS NOT NULL; AMOUNT IS NOT NULL; AGING_DAYS IS NOT NULL; [准确性]AMOUNT &gt;= 0; [有效性]AGING_DAYS BETWEEN 91 AND 180; [一致性]关联CUSTOMER.CUSTOMER_ID参照完整</t>
  </si>
  <si>
    <t>ERP-应收账龄分析表 -- 怎么算超期 客户的付款方式里面会有账期（每个客户有对应的账龄）</t>
  </si>
  <si>
    <t>关联CUSTOMER.CUSTOMER_ID获取客户信息; 筛选超期:AGING_DAYS&gt;CREDIT_PERIOD; 按月份筛选</t>
  </si>
  <si>
    <t>[完整性]AGING_ID IS NOT NULL; CUSTOMER_ID IS NOT NULL; AMOUNT IS NOT NULL; AGING_DAYS IS NOT NULL; [准确性]AMOUNT &gt;= 0; [有效性]AGING_DAYS &gt; CREDIT_PERIOD(超期); [一致性]关联CUSTOMER.CUSTOMER_ID参照完整</t>
  </si>
  <si>
    <t>ERP-账龄分析表</t>
  </si>
  <si>
    <t>关联CUSTOMER.CUSTOMER_ID获取客户信息; 筛选逾期:AGING_DAYS&gt;CREDIT_PERIOD; 按月份筛选</t>
  </si>
  <si>
    <t>[完整性]AGING_ID IS NOT NULL; CUSTOMER_ID IS NOT NULL; AMOUNT IS NOT NULL; AGING_DAYS IS NOT NULL; [准确性]AMOUNT &gt;= 0; [有效性]AGING_DAYS &gt; CREDIT_PERIOD(逾期); [一致性]关联CUSTOMER.CUSTOMER_ID参照完整</t>
  </si>
  <si>
    <t>[查看]销售总监,销售经理,财务经理,财务总监; [编辑]销售经理; [管理]ETL工程师,数据治理经理</t>
  </si>
  <si>
    <t>关联CUSTOMER.CUSTOMER_ID获取客户信息; 筛选账龄大于90天:AGING_DAYS&gt;90; 按月份筛选</t>
  </si>
  <si>
    <t>[完整性]AGING_ID IS NOT NULL; CUSTOMER_ID IS NOT NULL; AMOUNT IS NOT NULL; AGING_DAYS IS NOT NULL; [准确性]AMOUNT &gt;= 0; [有效性]AGING_DAYS &gt; 90; [一致性]关联CUSTOMER.CUSTOMER_ID参照完整</t>
  </si>
  <si>
    <t>关联CUSTOMER.CUSTOMER_ID获取客户信息; 筛选账龄大于180天:AGING_DAYS&gt;180; 按月份筛选</t>
  </si>
  <si>
    <t>[完整性]AGING_ID IS NOT NULL; CUSTOMER_ID IS NOT NULL; AMOUNT IS NOT NULL; AGING_DAYS IS NOT NULL; [准确性]AMOUNT &gt;= 0; [有效性]AGING_DAYS &gt; 180; [一致性]关联CUSTOMER.CUSTOMER_ID参照完整</t>
  </si>
  <si>
    <t>关联CUSTOMER.CUSTOMER_ID获取客户信息; 筛选逾期:AGING_DAYS&gt;CREDIT_PERIOD; 按月份排序</t>
  </si>
  <si>
    <t>[完整性]AGING_ID IS NOT NULL; SHIP_TO_CUSTOMER_ID IS NOT NULL; AMOUNT IS NOT NULL; AGING_DAYS IS NOT NULL; [准确性]AMOUNT &gt;= 0; [有效性]AGING_DAYS &gt; CREDIT_PERIOD(逾期); [一致性]关联CUSTOMER.CUSTOMER_ID参照完整; [唯一性]CUSTOMER_ID + AGING_ID不重复</t>
  </si>
  <si>
    <t>ERP-销售订单模块</t>
  </si>
  <si>
    <t>ORDER_ID</t>
  </si>
  <si>
    <t>销售订单ID</t>
  </si>
  <si>
    <t>[完整性]ORDER_ID IS NOT NULL; [准确性]COUNT(DISTINCT ORDER_ID) &gt;= 0; [一致性]关联SALES_ORDER_DOC_D.ORDER_ID参照完整; [唯一性]ORDER_ID不重复</t>
  </si>
  <si>
    <t>[查看]生产计划经理,生产经理,生产总监; [编辑]生产计划经理; [管理]BI工程师,数据治理经理</t>
  </si>
  <si>
    <t>销售订单ID,交货日期,实际交货日期</t>
  </si>
  <si>
    <t>与SALES_ORDER_DOC_D关联获取订单明细; 筛选准交:ACTUAL_DELIVERY_DATE&lt;=DELIVERY_DATE; 按月份筛选</t>
  </si>
  <si>
    <t>[完整性]ORDER_ID IS NOT NULL; DELIVERY_DATE IS NOT NULL; ACTUAL_DELIVERY_DATE IS NOT NULL; [有效性]ACTUAL_DELIVERY_DATE &lt;= DELIVERY_DATE(准交); [一致性]关联SALES_ORDER_DOC_D.ORDER_ID参照完整; [唯一性]ORDER_ID不重复</t>
  </si>
  <si>
    <t>ERP-销售订单模块 - 发货计划</t>
  </si>
  <si>
    <t>与SALES_ORDER_DOC_D关联获取订单明细; 筛选延期:ACTUAL_DELIVERY_DATE&gt;DELIVERY_DATE; 按月份筛选</t>
  </si>
  <si>
    <t>[完整性]ORDER_ID IS NOT NULL; DELIVERY_DATE IS NOT NULL; ACTUAL_DELIVERY_DATE IS NOT NULL; [有效性]ACTUAL_DELIVERY_DATE &gt; DELIVERY_DATE(延期); [一致性]关联SALES_ORDER_DOC_D.ORDER_ID参照完整; [唯一性]ORDER_ID不重复</t>
  </si>
  <si>
    <t>与SALES_ORDER_DOC_D关联获取订单明细; 准交条件:ACTUAL_DELIVERY_DATE&lt;=DELIVERY_DATE; 延期条件:ACTUAL_DELIVERY_DATE&gt;DELIVERY_DATE; 按月份筛选</t>
  </si>
  <si>
    <t>[完整性]ORDER_ID IS NOT NULL; DELIVERY_DATE IS NOT NULL; ACTUAL_DELIVERY_DATE IS NOT NULL; [准确性]准交数 + 延期数 = 总订单数; [有效性]ACTUAL_DELIVERY_DATE与DELIVERY_DATE逻辑校验; [一致性]关联SALES_ORDER_DOC_D.ORDER_ID参照完整</t>
  </si>
  <si>
    <t>ERP-财务总账-库存明细表+品号群组表+MES-库存信息</t>
  </si>
  <si>
    <t>关联ITEM.ITEM_BUSINESS_ID获取物料信息; 关联品号群组表筛选原材料:ITEM_CATEGORY='原材料'; 排除废品库:WAREHOUSE_NAME!='废品库'; 按月份筛选</t>
  </si>
  <si>
    <t>[完整性]WAREHOUSE_ID IS NOT NULL; ITEM_BUSINESS_ID IS NOT NULL; AMOUNT IS NOT NULL; [准确性]AMOUNT &gt;= 0; [有效性]WAREHOUSE_NAME != '废品库'; ITEM_CATEGORY = '原材料'; [一致性]关联ITEM.ITEM_BUSINESS_ID参照完整; 关联品号群组表参照完整</t>
  </si>
  <si>
    <t>[查看]仓库经理,生产计划经理,生产总监; [编辑]仓库经理; [管理]ETL工程师,数据治理经理</t>
  </si>
  <si>
    <t>关联ITEM.ITEM_BUSINESS_ID获取物料信息; 关联品号群组表筛选半成品:ITEM_CATEGORY='半成品'; 排除废品库:WAREHOUSE_NAME!='废品库'; 按月份筛选</t>
  </si>
  <si>
    <t>[完整性]WAREHOUSE_ID IS NOT NULL; ITEM_BUSINESS_ID IS NOT NULL; AMOUNT IS NOT NULL; [准确性]AMOUNT &gt;= 0; [有效性]WAREHOUSE_NAME != '废品库'; ITEM_CATEGORY = '半成品'; [一致性]关联ITEM.ITEM_BUSINESS_ID参照完整; 关联品号群组表参照完整</t>
  </si>
  <si>
    <t>ERP-财务总账（待核实）+MES-库存信息</t>
  </si>
  <si>
    <t>[完整性]WAREHOUSE_ID IS NOT NULL; ITEM_BUSINESS_ID IS NOT NULL; BEGIN_INVENTORY IS NOT NULL; END_INVENTORY IS NOT NULL; SALES_COST IS NOT NULL; [准确性]BEGIN_INVENTORY &gt;= 0; END_INVENTORY &gt;= 0; SALES_COST &gt; 0; [有效性]WAREHOUSE_NAME != '废品库'; [一致性]关联ITEM.ITEM_BUSINESS_ID参照完整; 周转天数 = (期初+期末)/2*30/销售额</t>
  </si>
  <si>
    <t>sum(呆滞物料数量 × 该物料的单位成本)需要确定超期一年算呆滞</t>
  </si>
  <si>
    <t>ERP-库存明细表+品号群组表+MES库存信息（判断库龄）</t>
  </si>
  <si>
    <t>关联ITEM.ITEM_BUSINESS_ID获取物料信息; 筛选呆滞:INVENTORY_AGE&gt;STALE_THRESHOLD; 排除废品库:WAREHOUSE_NAME!='废品库'; 按月份筛选</t>
  </si>
  <si>
    <t>[完整性]WAREHOUSE_ID IS NOT NULL; ITEM_BUSINESS_ID IS NOT NULL; AMOUNT IS NOT NULL; INVENTORY_AGE IS NOT NULL; [准确性]AMOUNT &gt;= 0; [有效性]WAREHOUSE_NAME != '废品库'; INVENTORY_AGE &gt; STALE_THRESHOLD(呆滞); [一致性]关联ITEM.ITEM_BUSINESS_ID参照完整</t>
  </si>
  <si>
    <t>ERP-库存明细表+品号群组表+MES库存信息（成品入库在20天以内发货的）</t>
  </si>
  <si>
    <t>关联ITEM.ITEM_BUSINESS_ID获取物料信息; 筛选库龄小于等于20天:INVENTORY_AGE&lt;=20; 排除废品库:WAREHOUSE_NAME!='废品库'; 按月份筛选</t>
  </si>
  <si>
    <t>[完整性]WAREHOUSE_ID IS NOT NULL; ITEM_BUSINESS_ID IS NOT NULL; AMOUNT IS NOT NULL; INVENTORY_AGE IS NOT NULL; [准确性]AMOUNT &gt;= 0; [有效性]WAREHOUSE_NAME != '废品库'; INVENTORY_AGE &lt;= 20; [一致性]关联ITEM.ITEM_BUSINESS_ID参照完整</t>
  </si>
  <si>
    <t>[查看]仓库经理,生产计划经理,生产总监; [编辑]仓库经理; [管理]BI工程师,数据治理经理</t>
  </si>
  <si>
    <t>ERP-库存明细表+品号群组表+MES库存信息（成品入库大于20天就算超期，会按季度进行区分【3个月以内，3-6个月等等】）</t>
  </si>
  <si>
    <t>关联ITEM.ITEM_BUSINESS_ID获取物料信息; 筛选库龄大于20天:INVENTORY_AGE&gt;20; 排除废品库:WAREHOUSE_NAME!='废品库'; 按月份筛选</t>
  </si>
  <si>
    <t>[完整性]WAREHOUSE_ID IS NOT NULL; ITEM_BUSINESS_ID IS NOT NULL; AMOUNT IS NOT NULL; INVENTORY_AGE IS NOT NULL; [准确性]AMOUNT &gt;= 0; [有效性]WAREHOUSE_NAME != '废品库'; INVENTORY_AGE &gt; 20; [一致性]关联ITEM.ITEM_BUSINESS_ID参照完整</t>
  </si>
  <si>
    <t>ERP-库存明细表+品号群组表+MES库存信息（会按季度进行区分【3个月以内，3-6个月等等】）</t>
  </si>
  <si>
    <t>关联ITEM.ITEM_BUSINESS_ID获取物料信息; 按库龄区间分组(0-1月,1-2月,2-6月,6-12月,大于12月); 排除废品库:WAREHOUSE_NAME!='废品库'; 按月份筛选</t>
  </si>
  <si>
    <t>[完整性]WAREHOUSE_ID IS NOT NULL; ITEM_BUSINESS_ID IS NOT NULL; AMOUNT IS NOT NULL; INVENTORY_AGE IS NOT NULL; [准确性]AMOUNT &gt;= 0; [有效性]WAREHOUSE_NAME != '废品库'; 库龄区间分组完整(0-1月,1-2月,2-6月,6-12月,大于12月); [一致性]关联ITEM.ITEM_BUSINESS_ID参照完整</t>
  </si>
  <si>
    <t>ERP-库存明细表+品号群组表+MES库存信息</t>
  </si>
  <si>
    <t>关联ITEM.ITEM_BUSINESS_ID获取物料信息; 关联CUSTOMER.CUSTOMER_ID获取客户信息; 排除废品库:WAREHOUSE_NAME!='废品库'; 按月份筛选</t>
  </si>
  <si>
    <t>[完整性]WAREHOUSE_ID IS NOT NULL; SHIP_TO_CUSTOMER_ID IS NOT NULL; ITEM_BUSINESS_ID IS NOT NULL; AMOUNT IS NOT NULL; [准确性]AMOUNT &gt;= 0; [有效性]WAREHOUSE_NAME != '废品库'; [一致性]关联ITEM.ITEM_BUSINESS_ID参照完整; 关联CUSTOMER.CUSTOMER_ID参照完整; 客户占比合计 = 100%</t>
  </si>
  <si>
    <t>关联ITEM.ITEM_BUSINESS_ID获取物料信息; 筛选库龄1-30天:INVENTORY_AGE BETWEEN 1 AND 30; 排除废品库:WAREHOUSE_NAME!='废品库'; 按月份筛选</t>
  </si>
  <si>
    <t>[完整性]WAREHOUSE_ID IS NOT NULL; ITEM_BUSINESS_ID IS NOT NULL; AMOUNT IS NOT NULL; INVENTORY_AGE IS NOT NULL; [准确性]AMOUNT &gt;= 0; [有效性]WAREHOUSE_NAME != '废品库'; INVENTORY_AGE BETWEEN 1 AND 30; [一致性]关联ITEM.ITEM_BUSINESS_ID参照完整</t>
  </si>
  <si>
    <t>关联ITEM.ITEM_BUSINESS_ID获取物料信息; 筛选库龄31-60天:INVENTORY_AGE BETWEEN 31 AND 60; 排除废品库:WAREHOUSE_NAME!='废品库'; 按月份筛选</t>
  </si>
  <si>
    <t>[完整性]WAREHOUSE_ID IS NOT NULL; ITEM_BUSINESS_ID IS NOT NULL; AMOUNT IS NOT NULL; INVENTORY_AGE IS NOT NULL; [准确性]AMOUNT &gt;= 0; [有效性]WAREHOUSE_NAME != '废品库'; INVENTORY_AGE BETWEEN 31 AND 60; [一致性]关联ITEM.ITEM_BUSINESS_ID参照完整</t>
  </si>
  <si>
    <t>关联ITEM.ITEM_BUSINESS_ID获取物料信息; 筛选库龄61-90天:INVENTORY_AGE BETWEEN 61 AND 90; 排除废品库:WAREHOUSE_NAME!='废品库'; 按月份筛选</t>
  </si>
  <si>
    <t>[完整性]WAREHOUSE_ID IS NOT NULL; ITEM_BUSINESS_ID IS NOT NULL; AMOUNT IS NOT NULL; INVENTORY_AGE IS NOT NULL; [准确性]AMOUNT &gt;= 0; [有效性]WAREHOUSE_NAME != '废品库'; INVENTORY_AGE BETWEEN 61 AND 90; [一致性]关联ITEM.ITEM_BUSINESS_ID参照完整</t>
  </si>
  <si>
    <t>关联ITEM.ITEM_BUSINESS_ID获取物料信息; 关联CUSTOMER.CUSTOMER_ID获取客户信息; 筛选库龄大于20天:INVENTORY_AGE&gt;20; 排除废品库:WAREHOUSE_NAME!='废品库'; 按月份筛选</t>
  </si>
  <si>
    <t>[完整性]WAREHOUSE_ID IS NOT NULL; SHIP_TO_CUSTOMER_ID IS NOT NULL; ITEM_BUSINESS_ID IS NOT NULL; AMOUNT IS NOT NULL; INVENTORY_AGE IS NOT NULL; [准确性]AMOUNT &gt;= 0; [有效性]WAREHOUSE_NAME != '废品库'; INVENTORY_AGE &gt; 20; [一致性]关联CUSTOMER.CUSTOMER_ID参照完整; 关联ITEM.ITEM_BUSINESS_ID参照完整</t>
  </si>
  <si>
    <t>ERP-工单管理 + MES-计划管理</t>
  </si>
  <si>
    <t>关联MO_DTL.MO_ID获取工单明细; 关联WORKSHOP.WORKSHOP_ID获取车间信息; 筛选已审核:ApproveStatus='Y'; 按月份筛选</t>
  </si>
  <si>
    <t>[完整性]MO_ID IS NOT NULL; PLAN_QTY IS NOT NULL; ITEM_BUSINESS_ID IS NOT NULL; WORKSHOP_ID IS NOT NULL; [准确性]COUNT(DISTINCT MO_ID) &gt;= 0; PLAN_QTY &gt;= 0; [有效性]ApproveStatus = 'Y'; [一致性]关联MO_DTL.MO_ID参照完整; 关联WORKSHOP.WORKSHOP_ID参照完整; [唯一性]MO_ID不重复</t>
  </si>
  <si>
    <t>[查看]生产总监,生产经理; [编辑]生产经理; [管理]BI工程师,数据治理经理</t>
  </si>
  <si>
    <t>关联MO_DTL.MO_ID获取工单明细; 关联WORKSHOP.WORKSHOP_ID获取车间信息; 筛选准交:ACTUAL_COMPLETION_DATE&lt;=PLAN_COMPLETION_DATE; 筛选已审核:ApproveStatus='Y'; 按月份筛选</t>
  </si>
  <si>
    <t>[完整性]MO_ID IS NOT NULL; PLAN_COMPLETION_DATE IS NOT NULL; ACTUAL_COMPLETION_DATE IS NOT NULL; WORKSHOP_ID IS NOT NULL; [有效性]ApproveStatus = 'Y'; ACTUAL_COMPLETION_DATE &lt;= PLAN_COMPLETION_DATE(准交); [一致性]关联MO_DTL.MO_ID参照完整; 关联WORKSHOP.WORKSHOP_ID参照完整</t>
  </si>
  <si>
    <t>关联MO_DTL.MO_ID获取工单明细; 关联WORKSHOP.WORKSHOP_ID获取车间信息; 筛选延期:ACTUAL_COMPLETION_DATE&gt;PLAN_COMPLETION_DATE; 筛选已审核:ApproveStatus='Y'; 按月份筛选</t>
  </si>
  <si>
    <t>[完整性]MO_ID IS NOT NULL; PLAN_COMPLETION_DATE IS NOT NULL; ACTUAL_COMPLETION_DATE IS NOT NULL; WORKSHOP_ID IS NOT NULL; [有效性]ApproveStatus = 'Y'; ACTUAL_COMPLETION_DATE &gt; PLAN_COMPLETION_DATE(延期); [一致性]关联MO_DTL.MO_ID参照完整; 关联WORKSHOP.WORKSHOP_ID参照完整</t>
  </si>
  <si>
    <t>钎焊车间准交工单达成率</t>
  </si>
  <si>
    <t>[完整性]MO_ID IS NOT NULL; PLAN_QTY IS NOT NULL; ACTUAL_QTY IS NOT NULL; PLAN_COMPLETION_DATE IS NOT NULL; ACTUAL_COMPLETION_DATE IS NOT NULL; [准确性]达成率 = ACTUAL_QTY / PLAN_QTY; PLAN_QTY &gt;= 0; ACTUAL_QTY &gt;= 0; [有效性]ApproveStatus = 'Y'; [一致性]关联MO_DTL.MO_ID参照完整</t>
  </si>
  <si>
    <t>[查看]生产总监,生产经理,生产计划经理; [编辑]生产经理; [管理]BI工程师,数据治理经理</t>
  </si>
  <si>
    <t>可拆车间准交工单达成率</t>
  </si>
  <si>
    <t>[完整性]MO_ID IS NOT NULL; PLAN_QTY IS NOT NULL; ACTUAL_QTY IS NOT NULL; PLAN_COMPLETION_DATE IS NOT NULL; ACTUAL_COMPLETION_DATE IS NOT NULL; [准确性]工单达成率 = 准交工单数 / 总工单数; [有效性]ApproveStatus = 'Y'; [一致性]关联MO_DTL.MO_ID参照完整; 关联WORKSHOP.WORKSHOP_ID参照完整</t>
  </si>
  <si>
    <t>可拆车间延期工单延期率</t>
  </si>
  <si>
    <t>[完整性]MO_ID IS NOT NULL; PLAN_COMPLETION_DATE IS NOT NULL; ACTUAL_COMPLETION_DATE IS NOT NULL; [准确性]延期率 = 延期工单数 / 总工单数; [有效性]ApproveStatus = 'Y'; [一致性]关联MO_DTL.MO_ID参照完整; 关联WORKSHOP.WORKSHOP_ID参照完整</t>
  </si>
  <si>
    <t>可拆车间生产工单准交率、延期率月度趋势</t>
  </si>
  <si>
    <t>[完整性]MO_ID IS NOT NULL; PLAN_COMPLETION_DATE IS NOT NULL; ACTUAL_COMPLETION_DATE IS NOT NULL; [准确性]按月统计达成率与延期率趋势数据; [有效性]ApproveStatus = 'Y'; [一致性]关联MO_DTL.MO_ID参照完整; 关联WORKSHOP.WORKSHOP_ID参照完整; [及时性]数据按周更新</t>
  </si>
  <si>
    <t>统计周期内生产人员月度人力成本</t>
  </si>
  <si>
    <t>生产人员月度人力成本</t>
  </si>
  <si>
    <t>SALARY</t>
  </si>
  <si>
    <t>关联EMPLOYEE.EMPLOYEE_ID获取员工信息; 关联ORGANIZATION获取部门信息; 按月份筛选</t>
  </si>
  <si>
    <t>[完整性]EMPLOYEE_ID IS NOT NULL; AMOUNT IS NOT NULL; AMOEBA_ID IS NOT NULL; [准确性]AMOUNT &gt;= 0; [一致性]关联EMPLOYEE.EMPLOYEE_ID参照完整; 关联ORGANIZATION.ORG_ID参照完整; [唯一性]EMPLOYEE_ID + 月份不重复</t>
  </si>
  <si>
    <t>[查看]生产总监,生产经理,人力资源经理; [编辑]生产经理; [管理]ETL工程师,数据治理经理</t>
  </si>
  <si>
    <t>（本期出库销售额/本期全员平均人数（需要后期提供）/12）</t>
  </si>
  <si>
    <t>[完整性]TIANBAO_ID IS NOT NULL; OUTPUT_VALUE IS NOT NULL; EMPLOYEE_ID IS NOT NULL; [准确性]OUTPUT_VALUE &gt;= 0; [一致性]关联EMPLOYEE.EMPLOYEE_ID参照完整; 人均产出 = 总产值 / 平均人数; [及时性]填报数据在规定时间内提交</t>
  </si>
  <si>
    <t>[查看]生产总监,生产经理,人力资源经理; [编辑]生产经理; [管理]BI工程师,数据治理经理</t>
  </si>
  <si>
    <t>[完整性]OUTPUT_PER_EMPLOYEE IS NOT NULL; [准确性]OUTPUT_PER_EMPLOYEE &gt;= 0; [一致性]人均产出 = 总产值 / 全员平均人数; [及时性]数据按月更新</t>
  </si>
  <si>
    <t>钎焊车间统计周期内一次生产合格台数与总生产台数的比率</t>
  </si>
  <si>
    <t>关联MO.MO_ID获取工单信息; 关联ITEM.ITEM_BUSINESS_ID获取物料信息; 筛选已审核:ApproveStatus='Y'; 按月份筛选</t>
  </si>
  <si>
    <t>[完整性]INSPECTION_ID IS NOT NULL; BATCH_ID IS NOT NULL; WORKSHOP_ID IS NOT NULL; INSPECTION_RESULT IS NOT NULL; [准确性]INSPECTION_TOTAL &gt;= 0; QUALIFIED_QTY &lt;= INSPECTION_TOTAL; [有效性]ApproveStatus = 'Y'; [一致性]关联MO.MO_ID参照完整; 关联ITEM.ITEM_BUSINESS_ID参照完整</t>
  </si>
  <si>
    <t>[查看]质量总监,质量经理; [编辑]质量经理; [管理]BI工程师,数据治理经理</t>
  </si>
  <si>
    <t>钎焊车间统计周期内返工生产台数与总生产台数的比率</t>
  </si>
  <si>
    <t>关联MO.MO_ID获取工单信息; 关联ITEM.ITEM_BUSINESS_ID获取物料信息; 筛选返工:INSPECTION_RESULT='返工'; 筛选已审核:ApproveStatus='Y'; 按月份筛选</t>
  </si>
  <si>
    <t>[完整性]INSPECTION_ID IS NOT NULL; BATCH_ID IS NOT NULL; WORKSHOP_ID IS NOT NULL; INSPECTION_RESULT IS NOT NULL; [准确性]返工率 = 返工台数 / 生产台数; [有效性]ApproveStatus = 'Y'; INSPECTION_RESULT = '返工'; [一致性]关联MO.MO_ID参照完整; 关联ITEM.ITEM_BUSINESS_ID参照完整</t>
  </si>
  <si>
    <t>钎焊车间统计周期内实际报废重量与生产重量的比率</t>
  </si>
  <si>
    <t>[完整性]INSPECTION_ID IS NOT NULL; BATCH_ID IS NOT NULL; WORKSHOP_ID IS NOT NULL; INSPECTION_RESULT IS NOT NULL; [准确性]报废率 = 报废重量 / 生产重量; [有效性]ApproveStatus = 'Y'; INSPECTION_RESULT = '报废'; [一致性]关联MO.MO_ID参照完整; 关联ITEM.ITEM_BUSINESS_ID参照完整</t>
  </si>
  <si>
    <t>钎焊车间统计周期内实际报废重量对应金额汇总</t>
  </si>
  <si>
    <t>MES-质量控制台（ERP-品号单位成本）</t>
  </si>
  <si>
    <t>关联MO.MO_ID获取工单信息; 关联ITEM.ITEM_BUSINESS_ID获取物料单位成本; 筛选报废:INSPECTION_RESULT='报废'; 筛选已审核:ApproveStatus='Y'; 按月份筛选</t>
  </si>
  <si>
    <t>[完整性]INSPECTION_ID IS NOT NULL; BATCH_ID IS NOT NULL; WORKSHOP_ID IS NOT NULL; INSPECTION_RESULT IS NOT NULL; [准确性]报废金额 = 报废重量 * 品号单位成本; [有效性]ApproveStatus = 'Y'; INSPECTION_RESULT = '报废'; [一致性]关联MO.MO_ID参照完整; 关联ITEM.ITEM_BUSINESS_ID获取单位成本</t>
  </si>
  <si>
    <t>板片车间统计周期内实际报废重量</t>
  </si>
  <si>
    <t>关联MO.MO_ID获取工单信息; 关联ITEM.ITEM_BUSINESS_ID获取物料信息; 筛选板片类:ITEM_CODE LIKE '3%'; 筛选报废:INSPECTION_RESULT='报废'; 筛选已审核:ApproveStatus='Y'; 按月份筛选</t>
  </si>
  <si>
    <t>[完整性]INSPECTION_ID IS NOT NULL; BATCH_ID IS NOT NULL; WORKSHOP_ID IS NOT NULL; INSPECTION_RESULT IS NOT NULL; [准确性]板片报废重量 = 各工单实际报废重量 * E10重量; [有效性]ApproveStatus = 'Y'; INSPECTION_RESULT = '报废'; ITEM_CODE LIKE '3%'; [一致性]关联MO.MO_ID参照完整; 关联ITEM.ITEM_BUSINESS_ID参照完整</t>
  </si>
  <si>
    <t>板片车间统计周期内实际生产重量</t>
  </si>
  <si>
    <t>关联MO.MO_ID获取工单信息; 关联BOM获取物料重量信息; 关联ITEM.ITEM_BUSINESS_ID获取物料信息; 筛选已审核:ApproveStatus='Y'; 按月份筛选</t>
  </si>
  <si>
    <t>[完整性]INSPECTION_ID IS NOT NULL; BATCH_ID IS NOT NULL; WORKSHOP_ID IS NOT NULL; [准确性]总生产重量 = SUM(各工单总生产板片重量, 当月BOM用料重量); [有效性]ApproveStatus = 'Y'; [一致性]关联MO.MO_ID参照完整; 关联BOM获取物料重量信息; 关联ITEM.ITEM_BUSINESS_ID参照完整</t>
  </si>
  <si>
    <t>板片车间统计周期内实际报废重量与生产重量的比率</t>
  </si>
  <si>
    <t>[完整性]INSPECTION_ID IS NOT NULL; BATCH_ID IS NOT NULL; INSPECTION_RESULT IS NOT NULL; [准确性]报废率 = 报废重量 / 生产重量 * 100%; [有效性]ApproveStatus = 'Y'; INSPECTION_RESULT = '报废'; [一致性]关联MO.MO_ID参照完整; 关联ITEM.ITEM_BUSINESS_ID参照完整</t>
  </si>
  <si>
    <t>可拆车间统计周期内总生产台数</t>
  </si>
  <si>
    <t>MES-可拆报工记录</t>
  </si>
  <si>
    <t>PROD_REPORT</t>
  </si>
  <si>
    <t>生产报工表</t>
  </si>
  <si>
    <t>PROD_QTY</t>
  </si>
  <si>
    <t>生产数量</t>
  </si>
  <si>
    <t>筛选可拆车间:WORKSHOP_ID='可拆'; 筛选已审核:ApproveStatus='Y'; 按月份筛选</t>
  </si>
  <si>
    <t>[完整性]REPORT_ID IS NOT NULL; PROD_QTY IS NOT NULL; WORKSHOP_ID IS NOT NULL; [准确性]PROD_QTY &gt;= 0; [有效性]ApproveStatus = 'Y'; WORKSHOP_ID = '可拆'; [一致性]关联MO.MO_ID参照完整; [唯一性]REPORT_ID不重复</t>
  </si>
  <si>
    <t>[查看]质量总监,质量经理; [编辑]质量经理; [管理]ETL工程师,数据治理经理</t>
  </si>
  <si>
    <t>可拆车间统计周期内实际返工台数</t>
  </si>
  <si>
    <t>REWORK_QTY</t>
  </si>
  <si>
    <t>返工数量</t>
  </si>
  <si>
    <t>筛选可拆车间:WORKSHOP_ID='可拆'; 筛选返工记录:INSPECTION_RESULT='返工'; 按月份筛选</t>
  </si>
  <si>
    <t>[完整性]INSPECTION_ID IS NOT NULL; REWORK_QTY IS NOT NULL; WORKSHOP_ID IS NOT NULL; [准确性]REWORK_QTY &gt;= 0; [有效性]INSPECTION_RESULT = '返工'; WORKSHOP_ID = '可拆'; [一致性]关联MO.MO_ID参照完整</t>
  </si>
  <si>
    <t>可拆车间统计周期内一次生产合格台数与总生产台数的比率</t>
  </si>
  <si>
    <t>筛选可拆车间:WORKSHOP_ID='可拆'; 筛选首次检验:INSPECTION_TYPE='首检'; 按月份筛选</t>
  </si>
  <si>
    <t>[完整性]INSPECTION_ID IS NOT NULL; INSPECTION_TOTAL IS NOT NULL; QUALIFIED_QTY IS NOT NULL; [准确性]一次合格率 = QUALIFIED_QTY / INSPECTION_TOTAL; QUALIFIED_QTY &lt;= INSPECTION_TOTAL; [有效性]INSPECTION_TYPE = '首检'; WORKSHOP_ID = '可拆'; [一致性]关联MO.MO_ID参照完整</t>
  </si>
  <si>
    <t>统计周期内总来料批次</t>
  </si>
  <si>
    <t>ERP-总批次</t>
  </si>
  <si>
    <t>BATCH_ID</t>
  </si>
  <si>
    <t>批次ID</t>
  </si>
  <si>
    <t>关联XPO_AA.PO_ID获取采购订单信息; 按月份筛选</t>
  </si>
  <si>
    <t>[完整性]IQC_ID IS NOT NULL; BATCH_ID IS NOT NULL; [准确性]COUNT(DISTINCT BATCH_ID) &gt;= 0; [一致性]关联XPO_AA.PO_ID参照完整; 关联ITEM.ITEM_BUSINESS_ID参照完整; [唯一性]BATCH_ID不重复</t>
  </si>
  <si>
    <t>[查看]质量总监,质量经理,采购经理; [编辑]质量经理; [管理]BI工程师,数据治理经理</t>
  </si>
  <si>
    <t>统计周期内总来料合格批次</t>
  </si>
  <si>
    <t>QUALIFIED_BATCH_COUNT</t>
  </si>
  <si>
    <t>合格批次数</t>
  </si>
  <si>
    <t>关联XPO_AA.PO_ID获取采购订单信息; 关联ITEM.ITEM_BUSINESS_ID获取物料信息; 筛选合格:QUALIFIED_FLAG='Y'; 按月份筛选</t>
  </si>
  <si>
    <t>[完整性]IQC_ID IS NOT NULL; BATCH_ID IS NOT NULL; QUALIFIED_BATCH_COUNT IS NOT NULL; [准确性]QUALIFIED_BATCH_COUNT &gt;= 0; [有效性]QUALIFIED_FLAG = 'Y'; [一致性]关联XPO_AA.PO_ID参照完整; 关联ITEM.ITEM_BUSINESS_ID参照完整</t>
  </si>
  <si>
    <t>统计周期内总来料不合格批次</t>
  </si>
  <si>
    <t>OA-不合格批次</t>
  </si>
  <si>
    <t>UNQUALIFIED_BATCH_COUNT</t>
  </si>
  <si>
    <t>不合格批次数</t>
  </si>
  <si>
    <t>关联XPO_AA.PO_ID获取采购订单信息; 关联ITEM.ITEM_BUSINESS_ID获取物料信息; 筛选不合格:QUALIFIED_FLAG='N'; 按月份筛选</t>
  </si>
  <si>
    <t>[完整性]IQC_ID IS NOT NULL; BATCH_ID IS NOT NULL; UNQUALIFIED_BATCH_COUNT IS NOT NULL; [准确性]UNQUALIFIED_BATCH_COUNT &gt;= 0; [有效性]QUALIFIED_FLAG = 'N'; [一致性]关联XPO_AA.PO_ID参照完整; 关联ITEM.ITEM_BUSINESS_ID参照完整</t>
  </si>
  <si>
    <t>统计周期内总来料合格批次/总来料批次</t>
  </si>
  <si>
    <t>[完整性]IQC_ID IS NOT NULL; BATCH_ID IS NOT NULL; TOTAL_BATCH_COUNT IS NOT NULL; QUALIFIED_BATCH_COUNT IS NOT NULL; [准确性]来料合格率 = QUALIFIED_BATCH_COUNT / TOTAL_BATCH_COUNT; QUALIFIED_BATCH_COUNT &lt;= TOTAL_BATCH_COUNT; [一致性]关联XPO_AA.PO_ID参照完整; 关联ITEM.ITEM_BUSINESS_ID参照完整</t>
  </si>
  <si>
    <t>钎焊车间统计周期内总客诉量</t>
  </si>
  <si>
    <t>OA-客诉</t>
  </si>
  <si>
    <t>COMPLAINT_COUNT</t>
  </si>
  <si>
    <t>投诉数量</t>
  </si>
  <si>
    <t>关联CUSTOMER.CUSTOMER_ID获取客户信息; 按月份筛选</t>
  </si>
  <si>
    <t>[完整性]COMPLAINT_ID IS NOT NULL; CUSTOMER_ID IS NOT NULL; COMPLAINT_COUNT IS NOT NULL; [准确性]COMPLAINT_COUNT &gt;= 0; [有效性]COMPLAINT_DATE有效日期; [一致性]关联CUSTOMER.CUSTOMER_ID参照完整; [唯一性]COMPLAINT_ID不重复</t>
  </si>
  <si>
    <t>[查看]质量总监,质量经理,客户服务经理,销售经理; [编辑]质量经理; [管理]BI工程师,数据治理经理</t>
  </si>
  <si>
    <t>钎焊车间统计周期内客诉数量与出库数量的比率再乘于1000000</t>
  </si>
  <si>
    <t>[完整性]COMPLAINT_ID IS NOT NULL; CUSTOMER_ID IS NOT NULL; COMPLAINT_COUNT IS NOT NULL; DELIVERY_COUNT IS NOT NULL; [准确性]客诉PPM = COMPLAINT_COUNT / DELIVERY_COUNT * 1000000; DELIVERY_COUNT &gt; 0; [一致性]关联CUSTOMER.CUSTOMER_ID参照完整; 关联SALES_ISSUE出货数量交叉校验</t>
  </si>
  <si>
    <t>钎焊车间统计周期内已关闭客诉数量</t>
  </si>
  <si>
    <t>COMPLAINT_ID, COMPLAINT_STATUS</t>
  </si>
  <si>
    <t>筛选已关闭:COMPLAINT_STATUS='已关闭'; 按月份筛选</t>
  </si>
  <si>
    <t>[完整性]COMPLAINT_ID IS NOT NULL; CUSTOMER_ID IS NOT NULL; COMPLAINT_STATUS IS NOT NULL; [有效性]COMPLAINT_STATUS = '已关闭'; [一致性]关联CUSTOMER.CUSTOMER_ID参照完整; [唯一性]COMPLAINT_ID不重复</t>
  </si>
  <si>
    <t>钎焊车间统计周期内未关闭客诉数量</t>
  </si>
  <si>
    <t>筛选未关闭:COMPLAINT_STATUS!='已关闭'; 按月份筛选</t>
  </si>
  <si>
    <t>[完整性]COMPLAINT_ID IS NOT NULL; CUSTOMER_ID IS NOT NULL; COMPLAINT_STATUS IS NOT NULL; [有效性]COMPLAINT_STATUS != '已关闭'; [一致性]关联CUSTOMER.CUSTOMER_ID参照完整; [唯一性]COMPLAINT_ID不重复</t>
  </si>
  <si>
    <t>钎焊车间统计周期内已关闭客诉数量与总客诉量的比率</t>
  </si>
  <si>
    <t>关联CUSTOMER.CUSTOMER_ID获取客户信息; 已关闭:COMPLAINT_STATUS='已关闭'; 总客诉:COMPLAINT_STATUS IS NOT NULL; 按月份筛选</t>
  </si>
  <si>
    <t>[完整性]COMPLAINT_ID IS NOT NULL; CUSTOMER_ID IS NOT NULL; COMPLAINT_STATUS IS NOT NULL; [准确性]客诉关闭率 = 已关闭客诉数 / 总客诉数; [有效性]COMPLAINT_STATUS IS NOT NULL; [一致性]关联CUSTOMER.CUSTOMER_ID参照完整</t>
  </si>
  <si>
    <t>可拆车间统计周期内客诉不良品总数与总出货数量的比率</t>
  </si>
  <si>
    <t>（客诉不良品总数 / 总出货量）× 100%（按数量）</t>
  </si>
  <si>
    <t>[完整性]COMPLAINT_ID IS NOT NULL; CUSTOMER_ID IS NOT NULL; COMPLAINT_COUNT IS NOT NULL; DELIVERY_COUNT IS NOT NULL; [准确性]客诉率 = COMPLAINT_COUNT / DELIVERY_COUNT; DELIVERY_COUNT &gt; 0; [一致性]关联CUSTOMER.CUSTOMER_ID参照完整; 关联SALES_ISSUE出货数量交叉校验</t>
  </si>
  <si>
    <t>[查看]质量总监,质量经理,客户服务经理,销售经理; [编辑]质量经理; [管理]MDM管理员,数据治理经理</t>
  </si>
  <si>
    <t>可拆车间统计周期内客诉率按月度展示</t>
  </si>
  <si>
    <t>COMPLAINT_ID, COMPLAINT_DATE</t>
  </si>
  <si>
    <t>投诉ID,投诉日期</t>
  </si>
  <si>
    <t>[完整性]COMPLAINT_ID IS NOT NULL; CUSTOMER_ID IS NOT NULL; COMPLAINT_DATE IS NOT NULL; [准确性]按周统计客诉率趋势数据; [一致性]关联CUSTOMER.CUSTOMER_ID参照完整; [及时性]数据按周更新</t>
  </si>
  <si>
    <t>可拆车间统计周期内已关闭客诉数量与总客诉量的比率</t>
  </si>
  <si>
    <t>可拆车间统计周期内各类客诉责任数量与总客诉责任数量的比率</t>
  </si>
  <si>
    <t>RESPONSIBLE_PERSON</t>
  </si>
  <si>
    <t>[完整性]COMPLAINT_ID IS NOT NULL; CUSTOMER_ID IS NOT NULL; RESPONSIBLE_PERSON IS NOT NULL; [准确性]责任分布占比合计 = 100%; [有效性]RESPONSIBLE_PERSON有效值; [一致性]关联CUSTOMER.CUSTOMER_ID参照完整</t>
  </si>
  <si>
    <t>未关闭客诉的客诉明细</t>
  </si>
  <si>
    <t>COMPLAINT_DETAIL</t>
  </si>
  <si>
    <t>投诉明细</t>
  </si>
  <si>
    <t>[完整性]COMPLAINT_ID IS NOT NULL; CUSTOMER_ID IS NOT NULL; COMPLAINT_DETAIL IS NOT NULL; [有效性]COMPLAINT_DETAIL有效内容; [一致性]关联CUSTOMER.CUSTOMER_ID参照完整; [唯一性]COMPLAINT_ID不重复</t>
  </si>
  <si>
    <t>未关闭客诉的责任人</t>
  </si>
  <si>
    <t>[完整性]COMPLAINT_ID IS NOT NULL; CUSTOMER_ID IS NOT NULL; RESPONSIBLE_PERSON IS NOT NULL; [有效性]RESPONSIBLE_PERSON有效值; [一致性]关联CUSTOMER.CUSTOMER_ID参照完整</t>
  </si>
  <si>
    <t>[查看]质量总监,质量经理; [编辑]质量经理; [管理]MDM管理员,数据治理经理</t>
  </si>
  <si>
    <t>未关闭客诉的当前状态</t>
  </si>
  <si>
    <t>关联CUSTOMER.CUSTOMER_ID获取客户信息; 按COMPLAINT_STATUS分组统计; 按月份筛选</t>
  </si>
  <si>
    <t>[完整性]COMPLAINT_ID IS NOT NULL; CUSTOMER_ID IS NOT NULL; COMPLAINT_STATUS IS NOT NULL; [准确性]按COMPLAINT_STATUS分组统计; [有效性]COMPLAINT_STATUS有效枚举值; [一致性]关联CUSTOMER.CUSTOMER_ID参照完整</t>
  </si>
  <si>
    <t>未关闭客诉的超期情况</t>
  </si>
  <si>
    <t>关联CUSTOMER.CUSTOMER_ID获取客户信息; 筛选超期:OVERDUE_DAYS&gt;COMPLAINT_DEADLINE; 按月份筛选</t>
  </si>
  <si>
    <t>[完整性]COMPLAINT_ID IS NOT NULL; CUSTOMER_ID IS NOT NULL; OVERDUE_DAYS IS NOT NULL; [准确性]OVERDUE_DAYS &gt;= 0; [有效性]OVERDUE_DAYS &gt; COMPLAINT_DEADLINE(超期); [一致性]关联CUSTOMER.CUSTOMER_ID参照完整</t>
  </si>
  <si>
    <t>统计周期内的计划送货数量总和</t>
  </si>
  <si>
    <t>ERP-采购订单模块</t>
  </si>
  <si>
    <t>PO_ID</t>
  </si>
  <si>
    <t>采购订单ID,订单状态</t>
  </si>
  <si>
    <t>[完整性]PO_ID IS NOT NULL; SUPPLIER_ID IS NOT NULL; DELIVERY_DATE IS NOT NULL; [准确性]COUNT(DISTINCT PO_ID) &gt;= 0; [有效性]ApproveStatus = 'Y'; [一致性]关联XPO_AA_D.PO_ID参照完整; 关联SUPPLIER.SUPPLIER_ID参照完整; [唯一性]PO_ID不重复</t>
  </si>
  <si>
    <t>[查看]采购总监,采购经理; [编辑]采购经理; [管理]BI工程师,数据治理经理</t>
  </si>
  <si>
    <t>统计周期内的准时到料数量总和</t>
  </si>
  <si>
    <t>采购订单ID,到货日期,计划到货日期</t>
  </si>
  <si>
    <t>[完整性]PO_ID IS NOT NULL; DELIVERY_DATE IS NOT NULL; ACTUAL_RECEIPT_DATE IS NOT NULL; [准确性]准时到料数 = COUNT(CASE WHEN ACTUAL_RECEIPT_DATE &lt;= DELIVERY_DATE THEN PO_ID END); [有效性]ApproveStatus = 'Y'; [一致性]关联XPO_AA_D.PO_ID参照完整</t>
  </si>
  <si>
    <t>统计周期内的准时到料数量总和与计划送货数量总和的比率</t>
  </si>
  <si>
    <t>[完整性]PO_ID IS NOT NULL; DELIVERY_DATE IS NOT NULL; ACTUAL_RECEIPT_DATE IS NOT NULL; [准确性]到料达成率 = 准时到料数 / 计划总单数; [有效性]ApproveStatus = 'Y'; [一致性]关联XPO_AA_D.PO_ID参照完整</t>
  </si>
  <si>
    <t>采购订单ID,到货金额</t>
  </si>
  <si>
    <t>[完整性]PO_ID IS NOT NULL; SUPPLIER_ID IS NOT NULL; AMOUNT IS NOT NULL; [准确性]AMOUNT &gt;= 0; [有效性]ApproveStatus = 'Y'; [一致性]关联XPO_AA_D.PO_ID参照完整; 关联SUPPLIER.SUPPLIER_ID参照完整</t>
  </si>
  <si>
    <t>[查看]采购总监,采购经理,财务经理; [编辑]采购经理; [管理]BI工程师,数据治理经理</t>
  </si>
  <si>
    <t>筛选已审核预算:ApproveStatus='Y'; 按月份筛选; 按组织过滤</t>
  </si>
  <si>
    <t>[完整性]BUDGET_ID IS NOT NULL; BUDGET_AMOUNT IS NOT NULL; COST_REDUCTION_TARGET IS NOT NULL; [准确性]BUDGET_AMOUNT &gt;= 0; COST_REDUCTION_TARGET &gt;= 0; [有效性]ApproveStatus = 'Y'; [唯一性]BUDGET_ID + 月份不重复</t>
  </si>
  <si>
    <t>[完整性]PO_ID IS NOT NULL; STANDARD_COST IS NOT NULL; ACTUAL_COST IS NOT NULL; [准确性]实际降本金额 = (STANDARD_COST - ACTUAL_COST) * 采购量; STANDARD_COST &gt;= 0; ACTUAL_COST &gt;= 0; [有效性]ApproveStatus = 'Y'; [一致性]关联XPO_AA_D.PO_ID参照完整</t>
  </si>
  <si>
    <t>实际采购降本金额与采购降本目标金额的比率</t>
  </si>
  <si>
    <t>[完整性]实际降本金额 IS NOT NULL; 降本目标金额 IS NOT NULL; [准确性]降本比例 = 实际降本金额 / 降本目标金额 * 100; 实际降本金额 &gt;= 0; 降本目标金额 &gt; 0; [一致性]实际降本金额与XPO_AA汇总交叉校验; [及时性]数据按月更新</t>
  </si>
  <si>
    <t>检查CUSTOMER表必填字段完整性:REQUIRED_FIELDS IS NOT NULL; 全量扫描; 按组织过滤</t>
  </si>
  <si>
    <t>[完整性]CUSTOMER_ID IS NOT NULL; CUSTOMER_NAME IS NOT NULL; CUSTOMER_BUSINESS_ID IS NOT NULL; [准确性]必填字段完整性 &gt;= 95%; [有效性]CUSTOMER_CODE格式校验; [一致性]关联组织架构CUSTOMER_BUSINESS_ID参照完整; [唯一性]CUSTOMER_ID不重复</t>
  </si>
  <si>
    <t>[查看]数据治理经理,MDM管理员,销售经理; [编辑]数据治理经理; [管理]MDM管理员,数据治理经理</t>
  </si>
  <si>
    <t>检查SUPPLIER表必填字段完整性:REQUIRED_FIELDS IS NOT NULL; 全量扫描; 按组织过滤</t>
  </si>
  <si>
    <t>[完整性]SUPPLIER_ID IS NOT NULL; SUPPLIER_NAME IS NOT NULL; SUPPLIER_BUSINESS_ID IS NOT NULL; [准确性]必填字段完整性 &gt;= 95%; [有效性]SUPPLIER_CODE格式校验; [一致性]关联组织架构SUPPLIER_BUSINESS_ID参照完整; [唯一性]SUPPLIER_ID不重复</t>
  </si>
  <si>
    <t>[查看]数据治理经理,MDM管理员,采购经理; [编辑]数据治理经理; [管理]MDM管理员,数据治理经理</t>
  </si>
  <si>
    <t>关联品号群组表校验字段一致性; 关联库存明细表交叉校验; 检查ITEM_CODE与ITEM_NAME匹配; 全量扫描; 按组织过滤</t>
  </si>
  <si>
    <t>[完整性]ITEM_BUSINESS_ID IS NOT NULL; ITEM_CODE IS NOT NULL; ITEM_NAME IS NOT NULL; [准确性]字段一致性检查通过率 &gt;= 95%; [一致性]关联品号群组表参照完整; ITEM_CODE与ITEM_NAME匹配校验; 关联库存明细表交叉校验; [唯一性]ITEM_BUSINESS_ID不重复</t>
  </si>
  <si>
    <t>[查看]数据治理经理,MDM管理员,研发经理; [编辑]数据治理经理; [管理]MDM管理员,数据治理经理</t>
  </si>
  <si>
    <t>ORGANIZATION</t>
  </si>
  <si>
    <t>检查ORGANIZATION表架构层级准确性; 校验父子组织关系: PARENT_ORG_ID IS NOT NULL; 全量扫描</t>
  </si>
  <si>
    <t>[完整性]ORG_ID IS NOT NULL; ORG_NAME IS NOT NULL; [准确性]架构层级无循环引用; [有效性]PARENT_ORG_ID IS NOT NULL(除根节点); [一致性]PARENT_ORG_ID参照完整; [唯一性]ORG_ID不重复</t>
  </si>
  <si>
    <t>[查看]数据治理经理,MDM管理员,人力资源经理; [编辑]数据治理经理; [管理]MDM管理员,数据治理经理</t>
  </si>
  <si>
    <t>检查EMPLOYEE表数据更新时效性:LAST_UPDATE_TIME; 全量扫描</t>
  </si>
  <si>
    <t>[完整性]EMPLOYEE_ID IS NOT NULL; EMPLOYEE_NAME IS NOT NULL; ORG_ID IS NOT NULL; [及时性]LAST_UPDATE_TIME在30天内更新; [一致性]关联ORGANIZATION.ORG_ID参照完整; [唯一性]EMPLOYEE_ID不重复</t>
  </si>
  <si>
    <t>汇总维度</t>
  </si>
  <si>
    <t>新下单客户</t>
  </si>
  <si>
    <t>当月出库销售额大于2000的客户，并且该客户不在客户档案中被认定为新下单客户</t>
  </si>
  <si>
    <t>钎焊车间统计周期内一次生产合格重量与总生产重量的比率</t>
  </si>
  <si>
    <t>钎焊返工重量/钎焊生产重量</t>
  </si>
  <si>
    <t>实际报废数量÷当月生产数量×100%（报废数量/生产数量）</t>
  </si>
  <si>
    <t>板片报废数量</t>
  </si>
  <si>
    <t>板片车间统计周期内实际报废数量</t>
  </si>
  <si>
    <t>SUM(各工单实际报废数量)数量*E10数量</t>
  </si>
  <si>
    <t>总生产数量</t>
  </si>
  <si>
    <t>板片车间统计周期内实际生产数量</t>
  </si>
  <si>
    <t>SUM(各工单总生产板片数量，当月BOM用料数量)数量之和</t>
  </si>
  <si>
    <t>板片车间统计周期内实际报废数量与生产数量的比率</t>
  </si>
  <si>
    <t>实际报废数量÷当月生产数量 ×100%（报废数量/生产数量）</t>
  </si>
  <si>
    <t>钎焊车间统计周期内客诉率按月度展示</t>
  </si>
  <si>
    <t>一次合格率（钎焊【重量和数量维度】、可拆）</t>
  </si>
  <si>
    <t>质量主管</t>
  </si>
  <si>
    <t xml:space="preserve">[查看]总经理,副总经理,质量总监; </t>
  </si>
  <si>
    <t>报废率（钎焊【重量和数量】、板片【数量和重量】）</t>
  </si>
  <si>
    <t xml:space="preserve">[查看]总经理,副总经理,生产总监; </t>
  </si>
  <si>
    <t>月度</t>
  </si>
  <si>
    <t>统计周期内生产中心人员月度人均产出效率</t>
  </si>
  <si>
    <t>月度生产入库（销售出库额*90%）/月生产中心人力成本(人事手工统计)</t>
  </si>
  <si>
    <t>ERP-客户销货统计表，销售订单关联销货单、推销单、ERP-维护折扣与折让，人事-人事手工统计的数据</t>
  </si>
  <si>
    <t>人事经理（刘媛洁）</t>
  </si>
  <si>
    <t>[查看]总经理,副总经理,生产总监,人力资源经理;</t>
  </si>
  <si>
    <t>统计周期内生产中心非一线人员月度人均产出效率</t>
  </si>
  <si>
    <t>月度生产入库（销售出库额*90%）/月生产中心非一线人力成本(人事手工统计)</t>
  </si>
  <si>
    <t>统计周期内生产中心人员月度人力成本</t>
  </si>
  <si>
    <t>生产中心人员月度人力成本</t>
  </si>
  <si>
    <t>人事-人事手工统计的数据</t>
  </si>
  <si>
    <t>后期人事提供</t>
  </si>
  <si>
    <t>生产副总、生产总监、计划经理、计划员、车间主管、人事经理、人事专员</t>
  </si>
  <si>
    <t>[查看]生产总监,生产经理,人力资源经理;</t>
  </si>
  <si>
    <t>统计周期内生产中心非一线人员月度人力成本</t>
  </si>
  <si>
    <t>生产中心非一线人员月度人力成本</t>
  </si>
  <si>
    <t>库存周转分析（物料级别）</t>
  </si>
  <si>
    <t>ERP-财务总账（科目余额表）+ERP-出库销售额（受财务关账影响）</t>
  </si>
  <si>
    <t>财务总监（王霞芳）</t>
  </si>
  <si>
    <t>生产副总、生产总监、计划经理、计划员、仓库主管</t>
  </si>
  <si>
    <t>[查看]仓库经理,生产计划经理,生产总监;</t>
  </si>
  <si>
    <t>每天的资金余额</t>
  </si>
  <si>
    <t>分析维度</t>
  </si>
  <si>
    <t>指标现状</t>
  </si>
  <si>
    <t>数据负责人</t>
  </si>
  <si>
    <t>指标查看权限</t>
  </si>
  <si>
    <t>年度、月度、周度、产品、国内外、应用行业</t>
  </si>
  <si>
    <t>去废品、去宝得精密、去样机订单、去质保订单、去指定结束订单、去折扣折让的本币未税金额合计</t>
  </si>
  <si>
    <t>ERP-维护销售订单-销售订单明细表、ERP-维护折扣与折让</t>
  </si>
  <si>
    <t>内勤主管（蒋丽伟）</t>
  </si>
  <si>
    <t>奚总、财务总监、管理部经理</t>
  </si>
  <si>
    <t xml:space="preserve">[查看]总经理,副总经理,销售总监,财务总监; </t>
  </si>
  <si>
    <t>去废品、去退货、去折扣折让之后的本币未税金额合计</t>
  </si>
  <si>
    <t>ERP-客户销货统计表，销售订单关联销货单、推销单、ERP-维护折扣与折让</t>
  </si>
  <si>
    <t>年度、月度、周度、产品</t>
  </si>
  <si>
    <t>去废品的金额</t>
  </si>
  <si>
    <t xml:space="preserve">[查看]总经理,副总经理,财务总监; </t>
  </si>
  <si>
    <t>年度、月度、产品</t>
  </si>
  <si>
    <t>实际值/计划值(接单、出库)</t>
  </si>
  <si>
    <t>[查看]总经理,副总经理,销售总监;</t>
  </si>
  <si>
    <t>年度、产品</t>
  </si>
  <si>
    <t>年度实际值/年度计划值(接单、出库)</t>
  </si>
  <si>
    <t>销售副总（彭广田）</t>
  </si>
  <si>
    <t xml:space="preserve">[查看]总经理,副总经理,销售总监; </t>
  </si>
  <si>
    <t>月度、周度、产品</t>
  </si>
  <si>
    <t>实际完成工单/总工单</t>
  </si>
  <si>
    <t>计划主管（奚君臣）</t>
  </si>
  <si>
    <t>[查看]总经理,副总经理,生产总监;</t>
  </si>
  <si>
    <t>（期初原材料（原材料+委托加工物料+周转材料）+期初自制半成品（库存商品-库存商品-自制半成品）+期末原材料（原材料+委托加工物料+周转材料）+期末自制半成品（库存商品-库存商品-自制半成品））/2*30/对应账期的出库销售额（率的话需要除于360）</t>
  </si>
  <si>
    <t>ERP-财务总账（科目余额表）+ERP-出库销售额</t>
  </si>
  <si>
    <t>[查看]总经理,副总经理,财务总监;</t>
  </si>
  <si>
    <t>统计周期内生产BC人员月度人均产出效率</t>
  </si>
  <si>
    <t>月度生产入库（销售出库额*90%）/月生产BC人力成本(人事手工统计)</t>
  </si>
  <si>
    <t>ERP+东宝</t>
  </si>
  <si>
    <t>一次合格率（钎焊、可拆）</t>
  </si>
  <si>
    <t>月度、周度、产品、重量、数量</t>
  </si>
  <si>
    <t>质量主管（李灵）</t>
  </si>
  <si>
    <t>月度、周度</t>
  </si>
  <si>
    <t>确定从QMS系统获取</t>
  </si>
  <si>
    <t>[查看]总经理,副总经理,质量总监;</t>
  </si>
  <si>
    <t>客诉率（钎焊PPM）</t>
  </si>
  <si>
    <t>报废率（钎焊、板片）</t>
  </si>
  <si>
    <t>月度、周度、供应商</t>
  </si>
  <si>
    <t>采购经理（万荣云）</t>
  </si>
  <si>
    <t xml:space="preserve">[查看]总经理,副总经理,采购总监; </t>
  </si>
  <si>
    <t>ERP-采购订单模块+RPA获取铜现价</t>
  </si>
  <si>
    <t>同物料与往年环比（钢卷、铜卷除外）</t>
  </si>
  <si>
    <t xml:space="preserve">[查看]总经理,副总经理,采购总监,财务总监; </t>
  </si>
  <si>
    <t>以系统数据为准</t>
  </si>
  <si>
    <t xml:space="preserve">[查看]总经理,副总经理,生产总监,财务总监; </t>
  </si>
  <si>
    <t>销售副总、销售总监、</t>
  </si>
  <si>
    <t>[查看]销售总监,销售经理,财务经理,财务总监;</t>
  </si>
  <si>
    <t xml:space="preserve">[查看]销售总监,销售经理,财务经理,财务总监; </t>
  </si>
  <si>
    <t>月度、产品</t>
  </si>
  <si>
    <t xml:space="preserve">[查看]销售总监,销售经理; </t>
  </si>
  <si>
    <t>入库天数小于7天或入库天数小于（7天+账期）【去废品、去宝得精密、去样机订单、去质保订单、去指定结束订单、去折扣折让的本币未税金额合计】</t>
  </si>
  <si>
    <t>ERP-销售订单模块+ERP-工单管理+ERP-生产入库</t>
  </si>
  <si>
    <t>系统计算（需确定销售-工单-入库之间的关联性）</t>
  </si>
  <si>
    <t>入库日期加7天，再加上客户账期（如果客户没有账期的话则是7天），客户有账期的话则是7天+账期</t>
  </si>
  <si>
    <t>7&lt;（入库天数+7天）&lt;=37或者7&lt;（7天+账期）&lt;=37【去废品、去宝得精密、去样机订单、去质保订单、去指定结束订单、去折扣折让的本币未税金额合计】</t>
  </si>
  <si>
    <t>37&lt;（入库天数+7天）&lt;=67或者37&lt;（7天+账期）&lt;=67【去废品、去宝得精密、去样机订单、去质保订单、去指定结束订单、去折扣折让的本币未税金额合计】</t>
  </si>
  <si>
    <t>67&lt;（入库天数+7天）&lt;=97或者67&lt;（7天+账期）&lt;=97【去废品、去宝得精密、去样机订单、去质保订单、去指定结束订单、去折扣折让的本币未税金额合计】</t>
  </si>
  <si>
    <t>97&lt;（入库天数+7天）&lt;=187或者97&lt;（7天+账期）&lt;=187【去废品、去宝得精密、去样机订单、去质保订单、去指定结束订单、去折扣折让的本币未税金额合计】</t>
  </si>
  <si>
    <t>187&lt;（入库天数+7天）或者187&lt;（7天+账期）【去废品、去宝得精密、去样机订单、去质保订单、去指定结束订单、去折扣折让的本币未税金额合计】</t>
  </si>
  <si>
    <t>入库天数大于7天或者入库天数大于（7天+账期）【去废品、去宝得精密、去样机订单、去质保订单、去指定结束订单、去折扣折让的本币未税金额合计】</t>
  </si>
  <si>
    <t>97&lt;（入库天数+7天）&lt;187或者97&lt;（7天+账期）&lt;=187【去废品、去宝得精密、去样机订单、去质保订单、去指定结束订单、去折扣折让的本币未税金额合计】</t>
  </si>
  <si>
    <t>ORDER BY 逾期金额 DESC【去废品、去宝得精密、去样机订单、去质保订单、去指定结束订单、去折扣折让的本币未税金额合计】</t>
  </si>
  <si>
    <t>月度、周度、日度、产品</t>
  </si>
  <si>
    <t>COUNT(去废品、去宝得精密、去样机订单、去质保订单、去指定结束订单的订单ID)</t>
  </si>
  <si>
    <t>生产副总、生产总监、销售副总、销售总监、计划经理、计划员</t>
  </si>
  <si>
    <t>[查看]生产计划经理,生产经理,生产总监;</t>
  </si>
  <si>
    <t>ERP-销售订单模块 +ERP-生产入库单</t>
  </si>
  <si>
    <t xml:space="preserve">[查看]生产计划经理,生产经理,生产总监; </t>
  </si>
  <si>
    <t>原材料+委托加工物资+周转材料（物料新建的时候，会选错物料属性，个别会导致分类错误）</t>
  </si>
  <si>
    <t>自制半成品（物料新建的时候，会选错物料属性，个别会导致分类错误）</t>
  </si>
  <si>
    <t xml:space="preserve">[查看]仓库经理,生产计划经理,生产总监; </t>
  </si>
  <si>
    <t>原材料呆滞库存金额</t>
  </si>
  <si>
    <t>MES-库存原材料+ERP-单价表（如缺失单价的话，需要人补，最近一次单价）</t>
  </si>
  <si>
    <t>生产副总、生产总监、销售副总、销售总监、计划经理、计划员、仓库主管</t>
  </si>
  <si>
    <t>小于7天</t>
  </si>
  <si>
    <t>仓库主管（奚君臣）</t>
  </si>
  <si>
    <t>成品超期库存</t>
  </si>
  <si>
    <t>成品超期的成品库存金额</t>
  </si>
  <si>
    <t>7+天</t>
  </si>
  <si>
    <t>生产副总、生产总监、计划经理、计划员、质量部经理、仓库主管</t>
  </si>
  <si>
    <t>库龄区间</t>
  </si>
  <si>
    <t>SUM(CASE WHEN 库龄天数 BETWEEN 20 AND 30 THEN 金额 ELSE 0 END)</t>
  </si>
  <si>
    <t>客户、金额</t>
  </si>
  <si>
    <t>生产副总、生产总监、计划经理、计划员、车间主管</t>
  </si>
  <si>
    <t xml:space="preserve">[查看]生产总监,生产经理; </t>
  </si>
  <si>
    <t>（计划完工日期（1、每个业务人员填写的计划完工日期会尽可能偏向自己，所以计划完工日期填的比较不合实际；2、实际的产能无法满足计划完工日期；3、没有每个产品的标准交期）和实际完工日期的比较）</t>
  </si>
  <si>
    <t>[查看]生产总监,生产经理;</t>
  </si>
  <si>
    <t xml:space="preserve">[查看]生产总监,生产经理,生产计划经理; </t>
  </si>
  <si>
    <t>[查看]生产总监,生产经理,生产计划经理;</t>
  </si>
  <si>
    <t>统计周期内生产BC人员月度人力成本</t>
  </si>
  <si>
    <t>生产BC人员月度人力成本</t>
  </si>
  <si>
    <t>（本期出库销售额/月底人数(包含模具公司，月底人数指的是每月底或昨天的人数)）/12</t>
  </si>
  <si>
    <t>ERP+MES+东宝</t>
  </si>
  <si>
    <t>人事-花名册+ERP-客户销货统计表，销售订单关联销货单、推销单、ERP-维护折扣与折让</t>
  </si>
  <si>
    <t>生产副总、生产总监、计划经理、计划员、车间主管、质量经理、质量主管</t>
  </si>
  <si>
    <t>[查看]质量总监,质量经理;</t>
  </si>
  <si>
    <t>sum(实际报废重量*对应品号单价)【单价取财务最近一期核算单价】</t>
  </si>
  <si>
    <t>月度、周度、日度</t>
  </si>
  <si>
    <t>qms后续提供重量字段（等系统运行段时间后再对接计算公式）</t>
  </si>
  <si>
    <t>等系统运行段时间后再对接计算公式</t>
  </si>
  <si>
    <t xml:space="preserve">[查看]质量总监,质量经理; </t>
  </si>
  <si>
    <t>[查看]质量总监,质量经理,采购经理;</t>
  </si>
  <si>
    <t>月度、周度、日度、产品、供应商</t>
  </si>
  <si>
    <t>OA-客诉（客诉提报模块，产品类型判断钎焊或者可拆）</t>
  </si>
  <si>
    <t>生产副总、生产总监、计划经理、计划员、车间主管、质量经理、质量主管、销售副总、销售总监</t>
  </si>
  <si>
    <t>[查看]质量总监,质量经理,客户服务经理,销售经理;</t>
  </si>
  <si>
    <t>OA-客诉（客诉提报模块中取文档状态为结束的）</t>
  </si>
  <si>
    <t xml:space="preserve">[查看]质量总监,质量经理,客户服务经理,销售经理; </t>
  </si>
  <si>
    <t>生产副总、生产总监、计划经理、计划员、车间主管、采购经理、采购员、质量经理、质量主管</t>
  </si>
  <si>
    <t>[查看]采购总监,采购经理;</t>
  </si>
  <si>
    <t xml:space="preserve">[查看]采购总监,采购经理; </t>
  </si>
  <si>
    <t>SUM(到货金额)按入库日期进行统计</t>
  </si>
  <si>
    <t>ERP-采购订单模块+到货+入库</t>
  </si>
  <si>
    <t xml:space="preserve">[查看]采购总监,采购经理,财务经理; </t>
  </si>
  <si>
    <t>是看全量的物料（涨价and降价都需要列出来）</t>
  </si>
  <si>
    <t>获取历史采购订单数据，每年对应料的平均单价，当年的物料单价和历年物料均价做比较</t>
  </si>
  <si>
    <t>不考虑当年内降价的情况</t>
  </si>
  <si>
    <t>采购经理、采购员</t>
  </si>
  <si>
    <t>模具公司的需要单独统计</t>
  </si>
  <si>
    <t>系统获取</t>
  </si>
  <si>
    <t>系统管理员</t>
  </si>
  <si>
    <t xml:space="preserve">[查看]数据治理经理,MDM管理员,销售经理; </t>
  </si>
  <si>
    <t xml:space="preserve">[查看]数据治理经理,MDM管理员,采购经理; </t>
  </si>
  <si>
    <t>研发总监（张冬林）</t>
  </si>
  <si>
    <t xml:space="preserve">[查看]数据治理经理,MDM管理员,研发经理; </t>
  </si>
  <si>
    <t>[查看]数据治理经理,MDM管理员,人力资源经理;</t>
  </si>
  <si>
    <t xml:space="preserve">[查看]数据治理经理,MDM管理员,人力资源经理; </t>
  </si>
  <si>
    <t>成品库龄分析表</t>
  </si>
  <si>
    <t>人效相关</t>
  </si>
  <si>
    <t>单价</t>
  </si>
  <si>
    <t>指标</t>
  </si>
  <si>
    <t>入库7天内未发</t>
  </si>
  <si>
    <t>生产人效</t>
  </si>
  <si>
    <t>逾期30天未发货库存-公司仓</t>
  </si>
  <si>
    <t>逾期30天未发货库存-中转仓</t>
  </si>
  <si>
    <t>本期全员平均人数</t>
  </si>
  <si>
    <t>年度计划值</t>
  </si>
  <si>
    <t>与年度计划差额</t>
  </si>
  <si>
    <t>公司人效</t>
  </si>
  <si>
    <t>销售计划准确率</t>
  </si>
  <si>
    <t>公司人均是150，乘于当前人数</t>
  </si>
  <si>
    <t>公司的产值目前</t>
  </si>
  <si>
    <t>area_name</t>
  </si>
  <si>
    <t>out_amount</t>
  </si>
  <si>
    <t>bad_amount</t>
  </si>
  <si>
    <t>fx_amount</t>
  </si>
  <si>
    <t>ychgl</t>
  </si>
  <si>
    <t>bfl</t>
  </si>
  <si>
    <t>fgl</t>
  </si>
  <si>
    <t>排片</t>
  </si>
  <si>
    <t>真空炉</t>
  </si>
  <si>
    <t>钎焊测试</t>
  </si>
  <si>
    <t>包装</t>
  </si>
  <si>
    <t>库存周转天数</t>
    <phoneticPr fontId="8" type="noConversion"/>
  </si>
  <si>
    <t>（期初原材料（原材料+委托加工物料+周转材料）+期初自制半成品（库存商品_库存商品_自制半成品）+期末原材料（原材料+委托加工物料+周转材料）+期末自制半成品（库存商品-库存商品-自制半成品））/2*30/对应账期的出库销售额</t>
    <phoneticPr fontId="8" type="noConversion"/>
  </si>
  <si>
    <t>料号</t>
    <phoneticPr fontId="8" type="noConversion"/>
  </si>
  <si>
    <t>库存余额中的金额</t>
    <phoneticPr fontId="8" type="noConversion"/>
  </si>
  <si>
    <t>库存余额中的余额</t>
    <phoneticPr fontId="8" type="noConversion"/>
  </si>
  <si>
    <t>期间入库</t>
    <phoneticPr fontId="8" type="noConversion"/>
  </si>
  <si>
    <t>期间出库</t>
    <phoneticPr fontId="8" type="noConversion"/>
  </si>
  <si>
    <t>库存周转率</t>
    <phoneticPr fontId="8" type="noConversion"/>
  </si>
  <si>
    <t>原材料A/半成品A</t>
    <phoneticPr fontId="8" type="noConversion"/>
  </si>
  <si>
    <t>以一个月30天来算</t>
    <phoneticPr fontId="8" type="noConversion"/>
  </si>
  <si>
    <t>以三个月90天来算</t>
    <phoneticPr fontId="8" type="noConversion"/>
  </si>
  <si>
    <t>以一年360天来算</t>
    <phoneticPr fontId="8" type="noConversion"/>
  </si>
  <si>
    <t>需要完成不同周期下的库存周转率_天数（应该要对每期库存的明细数据进行保存（优先先保存每月初和月末的数据））</t>
    <phoneticPr fontId="8" type="noConversion"/>
  </si>
  <si>
    <t>期间出库需要去查找不同单据的领用情况（销售出库单、生产领用单、研发领用单；这个是难点重点）</t>
    <phoneticPr fontId="8" type="noConversion"/>
  </si>
  <si>
    <t>计算每个原材料、半成品的库存周转率、天数（财务口径）</t>
    <phoneticPr fontId="8" type="noConversion"/>
  </si>
  <si>
    <t>库存周转率_天数 汇总层级（财务口径）</t>
    <phoneticPr fontId="8" type="noConversion"/>
  </si>
  <si>
    <t>对应账期的出库成本/（（期初原材料（原材料+委托加工物料+周转材料）+期初自制半成品（库存商品_库存商品_自制半成品）+期末原材料（原材料+委托加工物料+周转材料）+期末自制半成品（库存商品-库存商品-自制半成品））/2）</t>
    <phoneticPr fontId="8" type="noConversion"/>
  </si>
  <si>
    <t>账期需要确定是统一1个月、还是3个月、还是一年这种情况</t>
    <phoneticPr fontId="8" type="noConversion"/>
  </si>
  <si>
    <t>对应账期的出库成本/（（期初原材料（原材料+委托加工物料+周转材料）+期初自制半成品（库存商品_库存商品_自制半成品）+期末原材料（原材料+委托加工物料+周转材料）+期末自制半成品（库存商品-库存商品-自制半成品））/2）*30（以账期为1个月为例）</t>
    <phoneticPr fontId="8" type="noConversion"/>
  </si>
  <si>
    <t>科目余额表500100/2*30/对应账期的出库销售额</t>
    <phoneticPr fontId="6" type="noConversion"/>
  </si>
  <si>
    <t>库存周转率（在库）</t>
    <phoneticPr fontId="8" type="noConversion"/>
  </si>
  <si>
    <t>库存周转天数（在库）</t>
    <phoneticPr fontId="8" type="noConversion"/>
  </si>
  <si>
    <t>ERP-应收票据中获取，但前提需要维护数据（票据类型取非电子汇票and票据状态为一般的则是商业承兑）</t>
    <phoneticPr fontId="6" type="noConversion"/>
  </si>
  <si>
    <t>ERP-银行存款日记帐（出纳管理中每个银行账号的余额进行汇总）</t>
    <phoneticPr fontId="6" type="noConversion"/>
  </si>
  <si>
    <t>应付款_到期应付</t>
    <phoneticPr fontId="6" type="noConversion"/>
  </si>
  <si>
    <t>入库到今天数&gt;账期+7天【到货入库之后，根据每个采购协议合同中账期+7天作为阈值】</t>
    <phoneticPr fontId="6" type="noConversion"/>
  </si>
  <si>
    <t>开了验收单的就是应付款，到期</t>
    <phoneticPr fontId="6" type="noConversion"/>
  </si>
  <si>
    <t>销售出库毛利分析表(销售奖金预估表)</t>
    <phoneticPr fontId="6" type="noConversion"/>
  </si>
  <si>
    <r>
      <t>客户、产品、</t>
    </r>
    <r>
      <rPr>
        <sz val="11"/>
        <color rgb="FFFF0000"/>
        <rFont val="等线"/>
        <charset val="134"/>
        <scheme val="minor"/>
      </rPr>
      <t>行业（新）</t>
    </r>
    <phoneticPr fontId="6" type="noConversion"/>
  </si>
  <si>
    <t>毛利（客户、产品、行业（新））</t>
    <phoneticPr fontId="6" type="noConversion"/>
  </si>
  <si>
    <t>银行存款总额（截至到昨天）</t>
    <phoneticPr fontId="6" type="noConversion"/>
  </si>
  <si>
    <t>银行承兑汇票总额（截至到昨天）</t>
    <phoneticPr fontId="6" type="noConversion"/>
  </si>
  <si>
    <t>商业承兑汇票总额（截至到昨天）</t>
    <phoneticPr fontId="6" type="noConversion"/>
  </si>
  <si>
    <t>库存周转率（在库+在制）</t>
    <phoneticPr fontId="8" type="noConversion"/>
  </si>
  <si>
    <t>库存周转天数（在库+在制）</t>
    <phoneticPr fontId="8" type="noConversion"/>
  </si>
  <si>
    <t>应付款_应付</t>
    <phoneticPr fontId="6" type="noConversion"/>
  </si>
  <si>
    <t>开了验收单的就是应付款</t>
    <phoneticPr fontId="6" type="noConversion"/>
  </si>
  <si>
    <t>到货入库之后就要进行统计</t>
    <phoneticPr fontId="6" type="noConversion"/>
  </si>
  <si>
    <t>经和销售调研：目前报表只有在年底时才会统计毛利，平时借用报表去获得成本用以销售报价（告知报表中的数据和平常使用下来准确度可接受）具体需要提供对应程序代码后才能知道是否存在问题</t>
  </si>
  <si>
    <t>ERP-应收票据中获取，（票据类型取电子汇票and票据状态为一般的则是银行承兑）</t>
    <phoneticPr fontId="6" type="noConversion"/>
  </si>
  <si>
    <t>物号，料号，三个月周期</t>
    <phoneticPr fontId="8" type="noConversion"/>
  </si>
  <si>
    <t>降价物料、涨价物料、合计</t>
    <phoneticPr fontId="8" type="noConversion"/>
  </si>
  <si>
    <t>取销售奖金预估表中的结果值进行客户、产品、行业的汇总即可</t>
    <phoneticPr fontId="6" type="noConversion"/>
  </si>
  <si>
    <t>毛利率</t>
    <phoneticPr fontId="6" type="noConversion"/>
  </si>
  <si>
    <t>KPI-002</t>
    <phoneticPr fontId="8" type="noConversion"/>
  </si>
  <si>
    <t>KPI-018</t>
  </si>
  <si>
    <t>KPI-019</t>
  </si>
  <si>
    <t>KPI-020</t>
  </si>
  <si>
    <t>KPI-021</t>
  </si>
  <si>
    <t>KPI-022</t>
  </si>
  <si>
    <t>SAL-001</t>
    <phoneticPr fontId="8" type="noConversion"/>
  </si>
  <si>
    <t>企业经营驾驶舱</t>
    <phoneticPr fontId="8" type="noConversion"/>
  </si>
  <si>
    <t>库存周转率</t>
    <phoneticPr fontId="6" type="noConversion"/>
  </si>
  <si>
    <t>钎焊一次合格率</t>
    <phoneticPr fontId="6" type="noConversion"/>
  </si>
  <si>
    <t>可拆一次合格率</t>
    <phoneticPr fontId="6" type="noConversion"/>
  </si>
  <si>
    <t>钎焊报废率</t>
    <phoneticPr fontId="6" type="noConversion"/>
  </si>
  <si>
    <t>板片报废率</t>
    <phoneticPr fontId="6" type="noConversion"/>
  </si>
  <si>
    <t>月度、产品</t>
    <phoneticPr fontId="6" type="noConversion"/>
  </si>
  <si>
    <t>月度销售达成率</t>
    <phoneticPr fontId="6" type="noConversion"/>
  </si>
  <si>
    <t>生产中心人均产出效率</t>
    <phoneticPr fontId="6" type="noConversion"/>
  </si>
  <si>
    <t>BC人均产出效率</t>
    <phoneticPr fontId="6" type="noConversion"/>
  </si>
  <si>
    <t>非BC人均产出效率</t>
    <phoneticPr fontId="6" type="noConversion"/>
  </si>
  <si>
    <t>统计周期内生产人员月度人均产出效率</t>
    <phoneticPr fontId="6" type="noConversion"/>
  </si>
  <si>
    <t>统计周期内生产非BC人员月度人均产出效率</t>
    <phoneticPr fontId="6" type="noConversion"/>
  </si>
  <si>
    <t>新下单客户</t>
    <phoneticPr fontId="6" type="noConversion"/>
  </si>
  <si>
    <t>毛利</t>
    <phoneticPr fontId="6" type="noConversion"/>
  </si>
  <si>
    <t>银行存款总额</t>
  </si>
  <si>
    <t>银行承兑汇票总额</t>
  </si>
  <si>
    <t>商业承兑汇票总额</t>
  </si>
  <si>
    <t>资金余额</t>
    <phoneticPr fontId="6" type="noConversion"/>
  </si>
  <si>
    <t>应付款</t>
    <phoneticPr fontId="6" type="noConversion"/>
  </si>
  <si>
    <t>到期应付款</t>
    <phoneticPr fontId="6" type="noConversion"/>
  </si>
  <si>
    <t>应付经营</t>
    <phoneticPr fontId="6" type="noConversion"/>
  </si>
  <si>
    <t>能耗设备总数</t>
    <phoneticPr fontId="6" type="noConversion"/>
  </si>
  <si>
    <t>能耗设备在线数</t>
    <phoneticPr fontId="6" type="noConversion"/>
  </si>
  <si>
    <t>能耗设备离线数</t>
    <phoneticPr fontId="6" type="noConversion"/>
  </si>
  <si>
    <t>能耗设备功率</t>
    <phoneticPr fontId="6" type="noConversion"/>
  </si>
  <si>
    <t>能耗设备能耗</t>
    <phoneticPr fontId="6" type="noConversion"/>
  </si>
  <si>
    <t>数采设备利用率OEE</t>
    <phoneticPr fontId="6" type="noConversion"/>
  </si>
  <si>
    <t>数采设备总数</t>
    <phoneticPr fontId="6" type="noConversion"/>
  </si>
  <si>
    <t>数采设备在线数</t>
    <phoneticPr fontId="6" type="noConversion"/>
  </si>
  <si>
    <t>数采设备离线数</t>
    <phoneticPr fontId="6" type="noConversion"/>
  </si>
  <si>
    <t>钎焊炉产量</t>
    <phoneticPr fontId="6" type="noConversion"/>
  </si>
  <si>
    <t>油压机产量</t>
    <phoneticPr fontId="6" type="noConversion"/>
  </si>
  <si>
    <t>氦检产量</t>
    <phoneticPr fontId="6" type="noConversion"/>
  </si>
  <si>
    <t>生命周期</t>
    <phoneticPr fontId="6" type="noConversion"/>
  </si>
  <si>
    <t>维修记录</t>
    <phoneticPr fontId="6" type="noConversion"/>
  </si>
  <si>
    <t>报修记录</t>
    <phoneticPr fontId="6" type="noConversion"/>
  </si>
  <si>
    <t>设备类型</t>
  </si>
  <si>
    <t>月、天、设备类型</t>
  </si>
  <si>
    <t>模具类型</t>
  </si>
  <si>
    <t>设备模具分析</t>
  </si>
  <si>
    <t>在库库存周转率</t>
    <phoneticPr fontId="6" type="noConversion"/>
  </si>
  <si>
    <t>在库库存周转天数</t>
    <phoneticPr fontId="8" type="noConversion"/>
  </si>
  <si>
    <t>人均产出效率</t>
    <phoneticPr fontId="6" type="noConversion"/>
  </si>
  <si>
    <t>生产中心人力成本</t>
    <phoneticPr fontId="6" type="noConversion"/>
  </si>
  <si>
    <t>BC人力成本</t>
    <phoneticPr fontId="6" type="noConversion"/>
  </si>
  <si>
    <t>非BC人力成本</t>
    <phoneticPr fontId="6" type="noConversion"/>
  </si>
  <si>
    <t>人效趋势</t>
    <phoneticPr fontId="6" type="noConversion"/>
  </si>
  <si>
    <t>统计周期内的生产人效的趋势</t>
    <phoneticPr fontId="6" type="noConversion"/>
  </si>
  <si>
    <t>月度、周度、产品、重量</t>
    <phoneticPr fontId="6" type="noConversion"/>
  </si>
  <si>
    <t>月度、周度、产品、数量</t>
    <phoneticPr fontId="6" type="noConversion"/>
  </si>
  <si>
    <t>月度、周度、日度、重量</t>
    <phoneticPr fontId="6" type="noConversion"/>
  </si>
  <si>
    <t>月度、周度、日度、数量</t>
    <phoneticPr fontId="6" type="noConversion"/>
  </si>
  <si>
    <t>KPI-023</t>
  </si>
  <si>
    <t>KPI-024</t>
  </si>
  <si>
    <t>KPI-025</t>
  </si>
  <si>
    <t>KPI-026</t>
  </si>
  <si>
    <t>KPI-027</t>
  </si>
  <si>
    <t>KPI-028</t>
  </si>
  <si>
    <t>KPI-029</t>
  </si>
  <si>
    <t>KPI-030</t>
  </si>
  <si>
    <t>KPI-031</t>
  </si>
  <si>
    <t>KPI-032</t>
  </si>
  <si>
    <t>KPI-033</t>
  </si>
  <si>
    <t>KPI-034</t>
  </si>
  <si>
    <t>KPI-035</t>
  </si>
  <si>
    <t>KPI-036</t>
  </si>
  <si>
    <t>KPI-037</t>
  </si>
  <si>
    <t>KPI-038</t>
  </si>
  <si>
    <t>KPI-039</t>
  </si>
  <si>
    <t>KPI-040</t>
  </si>
  <si>
    <t>KPI-041</t>
  </si>
  <si>
    <t>KPI-042</t>
  </si>
  <si>
    <t>KPI-043</t>
  </si>
  <si>
    <t>KPI-044</t>
  </si>
  <si>
    <t>KPI-045</t>
  </si>
  <si>
    <t>KPI-046</t>
  </si>
  <si>
    <t>KPI-047</t>
  </si>
  <si>
    <t>SAL-016</t>
  </si>
  <si>
    <t>SAL-017</t>
  </si>
  <si>
    <t>SAL-018</t>
  </si>
  <si>
    <t>PLN-017</t>
  </si>
  <si>
    <t>PRO-012</t>
  </si>
  <si>
    <t>PRO-013</t>
  </si>
  <si>
    <t>PRO-014</t>
  </si>
  <si>
    <t>QAL-028</t>
  </si>
  <si>
    <t>QAL-029</t>
  </si>
  <si>
    <t>QAL-030</t>
  </si>
  <si>
    <t>QAL-031</t>
  </si>
  <si>
    <t>QAL-032</t>
  </si>
  <si>
    <t>QAL-033</t>
  </si>
  <si>
    <t>统计周期内生产中心人员月度人力成本</t>
    <phoneticPr fontId="6" type="noConversion"/>
  </si>
  <si>
    <t>统计周期内生产BC人员月度人力成本</t>
    <phoneticPr fontId="6" type="noConversion"/>
  </si>
  <si>
    <t>统计周期内生产非BC人员月度人力成本</t>
    <phoneticPr fontId="6" type="noConversion"/>
  </si>
  <si>
    <t>统计周期内出库销售额对应生产中心人均产出</t>
    <phoneticPr fontId="6" type="noConversion"/>
  </si>
  <si>
    <t>统计周期内出库销售额对应生产BC人均产出</t>
    <phoneticPr fontId="6" type="noConversion"/>
  </si>
  <si>
    <t>统计周期内出库销售额对应生产非BC人均产出</t>
    <phoneticPr fontId="6" type="noConversion"/>
  </si>
  <si>
    <t>ERP-维护销售订单-销售订单明细表、ERP-维护折扣与折让</t>
    <phoneticPr fontId="8" type="noConversion"/>
  </si>
  <si>
    <t>ERP-客户销货统计表，销售订单关联销货单、销退单、ERP-维护折扣与折让</t>
    <phoneticPr fontId="8" type="noConversion"/>
  </si>
  <si>
    <t>销售经营</t>
    <phoneticPr fontId="6" type="noConversion"/>
  </si>
  <si>
    <t>接单销售额</t>
    <phoneticPr fontId="6" type="noConversion"/>
  </si>
  <si>
    <t>月、周、设备类型</t>
    <phoneticPr fontId="6" type="noConversion"/>
  </si>
  <si>
    <t>设备模具分析</t>
    <phoneticPr fontId="6" type="noConversion"/>
  </si>
  <si>
    <t>准交率</t>
    <phoneticPr fontId="6" type="noConversion"/>
  </si>
  <si>
    <t>研发分析</t>
    <phoneticPr fontId="6" type="noConversion"/>
  </si>
  <si>
    <t>新产品销售额</t>
    <phoneticPr fontId="6" type="noConversion"/>
  </si>
  <si>
    <t>新品研发完成率</t>
    <phoneticPr fontId="6" type="noConversion"/>
  </si>
  <si>
    <t>降本项目完成率</t>
    <phoneticPr fontId="6" type="noConversion"/>
  </si>
  <si>
    <t>新品人均销售额</t>
    <phoneticPr fontId="6" type="noConversion"/>
  </si>
  <si>
    <t>RAD-001</t>
    <phoneticPr fontId="6" type="noConversion"/>
  </si>
  <si>
    <t>研发分析中心</t>
    <phoneticPr fontId="6" type="noConversion"/>
  </si>
  <si>
    <t>项目情况汇总</t>
    <phoneticPr fontId="6" type="noConversion"/>
  </si>
  <si>
    <t>表格</t>
    <phoneticPr fontId="6" type="noConversion"/>
  </si>
  <si>
    <t>项目收益汇总</t>
    <phoneticPr fontId="6" type="noConversion"/>
  </si>
  <si>
    <t>逾期项目分析</t>
    <phoneticPr fontId="6" type="noConversion"/>
  </si>
  <si>
    <t>重点任务跟踪</t>
    <phoneticPr fontId="6" type="noConversion"/>
  </si>
  <si>
    <t>RAD-002</t>
  </si>
  <si>
    <t>RAD-003</t>
  </si>
  <si>
    <t>RAD-004</t>
  </si>
  <si>
    <t>RAD-005</t>
  </si>
  <si>
    <t>RAD-006</t>
  </si>
  <si>
    <t>RAD-007</t>
  </si>
  <si>
    <t>RAD-008</t>
  </si>
  <si>
    <t>PRJ-001</t>
    <phoneticPr fontId="6" type="noConversion"/>
  </si>
  <si>
    <t>项目分析中心</t>
    <phoneticPr fontId="6" type="noConversion"/>
  </si>
  <si>
    <t>新研发项目</t>
    <phoneticPr fontId="6" type="noConversion"/>
  </si>
  <si>
    <t>新投资设备</t>
    <phoneticPr fontId="6" type="noConversion"/>
  </si>
  <si>
    <t>工程项目</t>
    <phoneticPr fontId="6" type="noConversion"/>
  </si>
  <si>
    <t>PRJ-002</t>
  </si>
  <si>
    <t>PRJ-003</t>
  </si>
  <si>
    <t>项目分析</t>
    <phoneticPr fontId="6" type="noConversion"/>
  </si>
  <si>
    <t>钎焊一线人均产出效率</t>
    <phoneticPr fontId="6" type="noConversion"/>
  </si>
  <si>
    <t>可拆一线人均产出效率</t>
    <phoneticPr fontId="6" type="noConversion"/>
  </si>
  <si>
    <t>钎焊非一线人均产出效率</t>
    <phoneticPr fontId="6" type="noConversion"/>
  </si>
  <si>
    <t>可拆非一线人均产出效率</t>
    <phoneticPr fontId="6" type="noConversion"/>
  </si>
  <si>
    <t>统计周期内钎焊一线人员月度人均产出效率</t>
    <phoneticPr fontId="6" type="noConversion"/>
  </si>
  <si>
    <t>月度生产入库（销售出库额*90%）/钎焊一线人员</t>
    <phoneticPr fontId="6" type="noConversion"/>
  </si>
  <si>
    <t>统计周期内可拆一线人员月度人均产出效率</t>
    <phoneticPr fontId="6" type="noConversion"/>
  </si>
  <si>
    <t>月度生产入库（销售出库额*90%）/可拆一线人员</t>
    <phoneticPr fontId="6" type="noConversion"/>
  </si>
  <si>
    <t>统计周期内钎焊非一线人员月度人均产出效率</t>
    <phoneticPr fontId="6" type="noConversion"/>
  </si>
  <si>
    <t>统计周期内可拆非一线人员月度人均产出效率</t>
    <phoneticPr fontId="6" type="noConversion"/>
  </si>
  <si>
    <t>月度生产入库（销售出库额*90%）/钎焊非一线人员</t>
    <phoneticPr fontId="6" type="noConversion"/>
  </si>
  <si>
    <t>月度生产入库（销售出库额*90%）/可拆非一线人员</t>
    <phoneticPr fontId="6" type="noConversion"/>
  </si>
  <si>
    <t>月度</t>
    <phoneticPr fontId="6" type="noConversion"/>
  </si>
  <si>
    <t>维修及时率</t>
    <phoneticPr fontId="6" type="noConversion"/>
  </si>
  <si>
    <t>模具类型</t>
    <phoneticPr fontId="6" type="noConversion"/>
  </si>
  <si>
    <t>设备模具分析</t>
    <phoneticPr fontId="6" type="noConversion"/>
  </si>
  <si>
    <t>点检记录</t>
    <phoneticPr fontId="6" type="noConversion"/>
  </si>
  <si>
    <t>模具公司人均产出效率</t>
    <phoneticPr fontId="6" type="noConversion"/>
  </si>
  <si>
    <t>模具公司产出</t>
    <phoneticPr fontId="6" type="noConversion"/>
  </si>
  <si>
    <t>统计周期内模具公司的产出</t>
    <phoneticPr fontId="6" type="noConversion"/>
  </si>
  <si>
    <t>月度生产入库（销售出库额*90%）</t>
  </si>
  <si>
    <t>统计周期内模具公司人员月度人均产出效率</t>
    <phoneticPr fontId="6" type="noConversion"/>
  </si>
  <si>
    <t>月度生产入库（销售出库额*90%）/模具公司人员</t>
    <phoneticPr fontId="6" type="noConversion"/>
  </si>
  <si>
    <t>KPI-048</t>
  </si>
  <si>
    <t>KPI-049</t>
  </si>
  <si>
    <t>KPI-050</t>
  </si>
  <si>
    <t>KPI-051</t>
  </si>
  <si>
    <t>KPI-052</t>
  </si>
  <si>
    <t>KPI-053</t>
  </si>
  <si>
    <t>KPI-054</t>
  </si>
  <si>
    <t>KPI-055</t>
  </si>
  <si>
    <t>KPI-056</t>
  </si>
  <si>
    <t>KPI-057</t>
  </si>
  <si>
    <t>KPI-058</t>
  </si>
  <si>
    <t>KPI-059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</si>
</sst>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微软雅黑"/>
      <charset val="134"/>
    </font>
    <font>
      <sz val="11"/>
      <name val="等线"/>
      <charset val="134"/>
      <scheme val="minor"/>
    </font>
    <font>
      <b/>
      <sz val="10"/>
      <color rgb="FFFFFFFF"/>
      <name val="微软雅黑"/>
      <charset val="134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3" fillId="8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8" borderId="0" xfId="0" applyFill="1" applyAlignment="1"/>
    <xf numFmtId="0" fontId="0" fillId="8" borderId="0" xfId="0" applyFill="1">
      <alignment vertical="center"/>
    </xf>
    <xf numFmtId="0" fontId="4" fillId="9" borderId="1" xfId="0" applyFont="1" applyFill="1" applyBorder="1" applyAlignment="1">
      <alignment horizontal="center" vertical="center" wrapText="1"/>
    </xf>
    <xf numFmtId="18" fontId="0" fillId="0" borderId="0" xfId="0" applyNumberFormat="1">
      <alignment vertical="center"/>
    </xf>
    <xf numFmtId="18" fontId="0" fillId="6" borderId="0" xfId="0" applyNumberFormat="1" applyFill="1">
      <alignment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>
      <alignment vertical="center"/>
    </xf>
    <xf numFmtId="0" fontId="7" fillId="4" borderId="0" xfId="0" applyFont="1" applyFill="1">
      <alignment vertical="center"/>
    </xf>
    <xf numFmtId="58" fontId="0" fillId="0" borderId="0" xfId="0" applyNumberFormat="1">
      <alignment vertical="center"/>
    </xf>
    <xf numFmtId="0" fontId="7" fillId="6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56300</xdr:colOff>
      <xdr:row>35</xdr:row>
      <xdr:rowOff>177000</xdr:rowOff>
    </xdr:from>
    <xdr:to>
      <xdr:col>5</xdr:col>
      <xdr:colOff>2256300</xdr:colOff>
      <xdr:row>37</xdr:row>
      <xdr:rowOff>171400</xdr:rowOff>
    </xdr:to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34</xdr:col>
      <xdr:colOff>454914</xdr:colOff>
      <xdr:row>63</xdr:row>
      <xdr:rowOff>65333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533400"/>
          <a:ext cx="18971260" cy="1073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pane xSplit="3" topLeftCell="D1" activePane="topRight" state="frozen"/>
      <selection pane="topRight" activeCell="C13" sqref="C13"/>
    </sheetView>
  </sheetViews>
  <sheetFormatPr defaultColWidth="8.6640625" defaultRowHeight="14"/>
  <cols>
    <col min="1" max="1" width="7.1640625" style="16" customWidth="1"/>
    <col min="2" max="2" width="13.83203125" style="16" customWidth="1"/>
    <col min="3" max="3" width="13.1640625" style="16" customWidth="1"/>
    <col min="4" max="4" width="15.33203125" style="16" customWidth="1"/>
    <col min="5" max="5" width="11.25" style="16" customWidth="1"/>
    <col min="6" max="6" width="25" style="16" customWidth="1"/>
    <col min="7" max="7" width="15.83203125" style="16" customWidth="1"/>
    <col min="8" max="8" width="16.6640625" style="16" customWidth="1"/>
    <col min="9" max="9" width="10.83203125" style="16" customWidth="1"/>
    <col min="10" max="10" width="7.9140625" style="16" customWidth="1"/>
    <col min="11" max="11" width="10.25" style="16" customWidth="1"/>
    <col min="12" max="12" width="14.33203125" style="16" customWidth="1"/>
    <col min="13" max="13" width="9.9140625" style="16" customWidth="1"/>
    <col min="14" max="14" width="13.9140625" style="16" customWidth="1"/>
    <col min="15" max="15" width="4.83203125" style="16" customWidth="1"/>
    <col min="16" max="16" width="18.33203125" style="16" customWidth="1"/>
    <col min="17" max="18" width="8.6640625" style="16" customWidth="1"/>
    <col min="19" max="16384" width="8.6640625" style="16"/>
  </cols>
  <sheetData>
    <row r="1" spans="1:1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7">
      <c r="A2" s="16">
        <v>1</v>
      </c>
      <c r="B2" s="16" t="s">
        <v>16</v>
      </c>
      <c r="C2" s="16" t="s">
        <v>17</v>
      </c>
      <c r="D2" s="16" t="s">
        <v>18</v>
      </c>
      <c r="E2" s="16" t="s">
        <v>19</v>
      </c>
      <c r="F2" s="16" t="s">
        <v>20</v>
      </c>
      <c r="G2" s="16" t="s">
        <v>21</v>
      </c>
      <c r="H2" s="16" t="s">
        <v>21</v>
      </c>
      <c r="I2" s="16">
        <v>1433</v>
      </c>
      <c r="J2" s="16" t="s">
        <v>22</v>
      </c>
      <c r="K2" s="16" t="s">
        <v>23</v>
      </c>
    </row>
    <row r="3" spans="1:17" ht="28" customHeight="1">
      <c r="A3" s="16">
        <v>2</v>
      </c>
      <c r="B3" s="16" t="s">
        <v>24</v>
      </c>
      <c r="C3" s="16" t="s">
        <v>25</v>
      </c>
      <c r="D3" s="16" t="s">
        <v>26</v>
      </c>
      <c r="E3" s="16" t="s">
        <v>19</v>
      </c>
      <c r="F3" s="16" t="s">
        <v>20</v>
      </c>
      <c r="G3" s="16" t="s">
        <v>27</v>
      </c>
      <c r="H3" s="16" t="s">
        <v>27</v>
      </c>
      <c r="I3" s="16">
        <v>1433</v>
      </c>
      <c r="J3" s="16" t="s">
        <v>22</v>
      </c>
      <c r="K3" s="16" t="s">
        <v>23</v>
      </c>
      <c r="M3" s="16" t="s">
        <v>28</v>
      </c>
      <c r="O3" s="16" t="s">
        <v>29</v>
      </c>
      <c r="P3" s="16" t="s">
        <v>30</v>
      </c>
      <c r="Q3" s="16" t="s">
        <v>31</v>
      </c>
    </row>
    <row r="4" spans="1:17">
      <c r="A4" s="16">
        <v>3</v>
      </c>
      <c r="B4" s="16" t="s">
        <v>32</v>
      </c>
      <c r="C4" s="16" t="s">
        <v>33</v>
      </c>
      <c r="D4" s="16" t="s">
        <v>18</v>
      </c>
      <c r="E4" s="16" t="s">
        <v>19</v>
      </c>
      <c r="F4" s="16" t="s">
        <v>20</v>
      </c>
      <c r="G4" s="16" t="s">
        <v>34</v>
      </c>
      <c r="H4" s="16" t="s">
        <v>34</v>
      </c>
      <c r="I4" s="16">
        <v>3306</v>
      </c>
      <c r="J4" s="16" t="s">
        <v>22</v>
      </c>
      <c r="K4" s="16" t="s">
        <v>35</v>
      </c>
      <c r="M4" s="16" t="s">
        <v>36</v>
      </c>
      <c r="O4" s="16" t="s">
        <v>36</v>
      </c>
      <c r="P4" s="16" t="s">
        <v>37</v>
      </c>
    </row>
    <row r="5" spans="1:17">
      <c r="A5" s="16">
        <v>4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20</v>
      </c>
      <c r="G5" s="16" t="s">
        <v>42</v>
      </c>
      <c r="H5" s="16" t="s">
        <v>42</v>
      </c>
      <c r="I5" s="16">
        <v>1433</v>
      </c>
      <c r="J5" s="16" t="s">
        <v>22</v>
      </c>
      <c r="K5" s="16" t="s">
        <v>23</v>
      </c>
      <c r="L5" s="16">
        <v>2019</v>
      </c>
      <c r="M5" s="16" t="s">
        <v>43</v>
      </c>
    </row>
    <row r="6" spans="1:17">
      <c r="A6" s="16">
        <v>5</v>
      </c>
      <c r="B6" s="16" t="s">
        <v>44</v>
      </c>
      <c r="C6" s="16" t="s">
        <v>45</v>
      </c>
      <c r="D6" s="16" t="s">
        <v>46</v>
      </c>
      <c r="E6" s="16" t="s">
        <v>47</v>
      </c>
      <c r="F6" s="16" t="s">
        <v>20</v>
      </c>
    </row>
    <row r="7" spans="1:17">
      <c r="A7" s="16">
        <v>6</v>
      </c>
      <c r="B7" s="16" t="s">
        <v>48</v>
      </c>
      <c r="C7" s="16" t="s">
        <v>49</v>
      </c>
      <c r="D7" s="16" t="s">
        <v>50</v>
      </c>
      <c r="E7" s="16" t="s">
        <v>51</v>
      </c>
      <c r="F7" s="16" t="s">
        <v>20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8"/>
  <sheetViews>
    <sheetView workbookViewId="0">
      <selection activeCell="D97" sqref="D97"/>
    </sheetView>
  </sheetViews>
  <sheetFormatPr defaultColWidth="9" defaultRowHeight="14"/>
  <cols>
    <col min="1" max="1" width="9.5" style="2" customWidth="1"/>
    <col min="2" max="2" width="18.25" style="2" customWidth="1"/>
    <col min="3" max="5" width="20.25" style="2" customWidth="1"/>
    <col min="6" max="6" width="56.5" style="2" customWidth="1"/>
    <col min="7" max="7" width="50.83203125" style="2" customWidth="1"/>
    <col min="8" max="8" width="12.08203125" style="2" customWidth="1"/>
    <col min="9" max="9" width="13.5" style="2" customWidth="1"/>
    <col min="10" max="10" width="110.58203125" style="2" customWidth="1"/>
    <col min="11" max="11" width="17.5" style="2" customWidth="1"/>
    <col min="12" max="12" width="28.4140625" style="2" customWidth="1"/>
    <col min="13" max="13" width="16.9140625" style="2" customWidth="1"/>
    <col min="14" max="14" width="50.1640625" style="2" customWidth="1"/>
    <col min="15" max="15" width="13.5" style="2" customWidth="1"/>
    <col min="16" max="16" width="35.1640625" style="2" customWidth="1"/>
    <col min="17" max="17" width="48.58203125" style="2" customWidth="1"/>
    <col min="18" max="18" width="13.08203125" style="2" customWidth="1"/>
    <col min="19" max="19" width="12.08203125" style="2" customWidth="1"/>
    <col min="20" max="20" width="33.83203125" style="2" customWidth="1"/>
    <col min="21" max="21" width="54.1640625" style="2" customWidth="1"/>
    <col min="22" max="22" width="25.75" style="2" customWidth="1"/>
    <col min="23" max="23" width="11.25" style="2" customWidth="1"/>
    <col min="24" max="24" width="7.75" style="2" customWidth="1"/>
    <col min="25" max="25" width="19.4140625" style="2" customWidth="1"/>
  </cols>
  <sheetData>
    <row r="1" spans="1:25" s="3" customFormat="1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</row>
    <row r="2" spans="1: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s="14" t="s">
        <v>95</v>
      </c>
      <c r="T2" t="s">
        <v>96</v>
      </c>
      <c r="U2" t="s">
        <v>97</v>
      </c>
      <c r="V2" t="s">
        <v>98</v>
      </c>
      <c r="W2" t="s">
        <v>99</v>
      </c>
      <c r="X2" t="s">
        <v>100</v>
      </c>
      <c r="Y2" t="s">
        <v>101</v>
      </c>
    </row>
    <row r="3" spans="1:25">
      <c r="A3" t="s">
        <v>102</v>
      </c>
      <c r="B3" t="s">
        <v>78</v>
      </c>
      <c r="C3" t="s">
        <v>103</v>
      </c>
      <c r="D3" t="s">
        <v>80</v>
      </c>
      <c r="E3" t="s">
        <v>81</v>
      </c>
      <c r="F3" t="s">
        <v>104</v>
      </c>
      <c r="G3" t="s">
        <v>105</v>
      </c>
      <c r="H3" t="s">
        <v>84</v>
      </c>
      <c r="I3" t="s">
        <v>85</v>
      </c>
      <c r="J3" t="s">
        <v>106</v>
      </c>
      <c r="K3" t="s">
        <v>107</v>
      </c>
      <c r="L3" t="s">
        <v>108</v>
      </c>
      <c r="M3" t="s">
        <v>109</v>
      </c>
      <c r="N3" t="s">
        <v>110</v>
      </c>
      <c r="O3" t="s">
        <v>91</v>
      </c>
      <c r="P3" t="s">
        <v>111</v>
      </c>
      <c r="Q3" t="s">
        <v>112</v>
      </c>
      <c r="R3" t="s">
        <v>94</v>
      </c>
      <c r="S3" s="14" t="s">
        <v>95</v>
      </c>
      <c r="T3" t="s">
        <v>113</v>
      </c>
      <c r="U3" t="s">
        <v>114</v>
      </c>
      <c r="V3" t="s">
        <v>98</v>
      </c>
      <c r="W3" t="s">
        <v>99</v>
      </c>
      <c r="X3" t="s">
        <v>100</v>
      </c>
      <c r="Y3" t="s">
        <v>101</v>
      </c>
    </row>
    <row r="4" spans="1:25">
      <c r="A4" t="s">
        <v>115</v>
      </c>
      <c r="B4" t="s">
        <v>78</v>
      </c>
      <c r="C4" t="s">
        <v>116</v>
      </c>
      <c r="D4" t="s">
        <v>80</v>
      </c>
      <c r="E4" t="s">
        <v>81</v>
      </c>
      <c r="F4" t="s">
        <v>117</v>
      </c>
      <c r="G4" t="s">
        <v>118</v>
      </c>
      <c r="H4" t="s">
        <v>84</v>
      </c>
      <c r="I4" t="s">
        <v>85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91</v>
      </c>
      <c r="P4" t="s">
        <v>111</v>
      </c>
      <c r="Q4" t="s">
        <v>124</v>
      </c>
      <c r="R4" t="s">
        <v>94</v>
      </c>
      <c r="S4" s="14" t="s">
        <v>95</v>
      </c>
      <c r="T4" t="s">
        <v>125</v>
      </c>
      <c r="U4" t="s">
        <v>126</v>
      </c>
      <c r="V4" t="s">
        <v>127</v>
      </c>
      <c r="W4" t="s">
        <v>99</v>
      </c>
      <c r="X4" t="s">
        <v>100</v>
      </c>
      <c r="Y4" t="s">
        <v>101</v>
      </c>
    </row>
    <row r="5" spans="1:25">
      <c r="A5" t="s">
        <v>128</v>
      </c>
      <c r="B5" t="s">
        <v>78</v>
      </c>
      <c r="C5" t="s">
        <v>129</v>
      </c>
      <c r="D5" t="s">
        <v>80</v>
      </c>
      <c r="E5" t="s">
        <v>81</v>
      </c>
      <c r="F5" t="s">
        <v>130</v>
      </c>
      <c r="G5" t="s">
        <v>131</v>
      </c>
      <c r="H5" t="s">
        <v>132</v>
      </c>
      <c r="I5" t="s">
        <v>85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91</v>
      </c>
      <c r="P5" t="s">
        <v>111</v>
      </c>
      <c r="Q5" t="s">
        <v>138</v>
      </c>
      <c r="R5" t="s">
        <v>94</v>
      </c>
      <c r="S5" s="14" t="s">
        <v>139</v>
      </c>
      <c r="T5" t="s">
        <v>140</v>
      </c>
      <c r="U5" t="s">
        <v>141</v>
      </c>
      <c r="V5" t="s">
        <v>98</v>
      </c>
      <c r="W5" t="s">
        <v>142</v>
      </c>
      <c r="X5" t="s">
        <v>100</v>
      </c>
      <c r="Y5" t="s">
        <v>101</v>
      </c>
    </row>
    <row r="6" spans="1:25">
      <c r="A6" t="s">
        <v>143</v>
      </c>
      <c r="B6" t="s">
        <v>78</v>
      </c>
      <c r="C6" t="s">
        <v>144</v>
      </c>
      <c r="D6" t="s">
        <v>80</v>
      </c>
      <c r="E6" t="s">
        <v>81</v>
      </c>
      <c r="F6" t="s">
        <v>145</v>
      </c>
      <c r="G6" t="s">
        <v>146</v>
      </c>
      <c r="H6" t="s">
        <v>132</v>
      </c>
      <c r="I6" t="s">
        <v>85</v>
      </c>
      <c r="J6" t="s">
        <v>133</v>
      </c>
      <c r="K6" t="s">
        <v>134</v>
      </c>
      <c r="L6" t="s">
        <v>135</v>
      </c>
      <c r="N6" t="s">
        <v>147</v>
      </c>
      <c r="O6" t="s">
        <v>91</v>
      </c>
      <c r="P6" t="s">
        <v>148</v>
      </c>
      <c r="Q6" t="s">
        <v>138</v>
      </c>
      <c r="R6" t="s">
        <v>94</v>
      </c>
      <c r="S6" s="14" t="s">
        <v>139</v>
      </c>
      <c r="T6" t="s">
        <v>140</v>
      </c>
      <c r="U6" t="s">
        <v>141</v>
      </c>
      <c r="V6" t="s">
        <v>98</v>
      </c>
      <c r="W6" t="s">
        <v>142</v>
      </c>
      <c r="X6" t="s">
        <v>100</v>
      </c>
      <c r="Y6" t="s">
        <v>101</v>
      </c>
    </row>
    <row r="7" spans="1:25">
      <c r="A7" t="s">
        <v>149</v>
      </c>
      <c r="B7" t="s">
        <v>78</v>
      </c>
      <c r="C7" t="s">
        <v>150</v>
      </c>
      <c r="D7" t="s">
        <v>151</v>
      </c>
      <c r="E7" t="s">
        <v>81</v>
      </c>
      <c r="F7" t="s">
        <v>152</v>
      </c>
      <c r="G7" t="s">
        <v>153</v>
      </c>
      <c r="H7" t="s">
        <v>132</v>
      </c>
      <c r="I7" t="s">
        <v>154</v>
      </c>
      <c r="J7" t="s">
        <v>155</v>
      </c>
      <c r="K7" t="s">
        <v>120</v>
      </c>
      <c r="L7" t="s">
        <v>156</v>
      </c>
      <c r="M7" t="s">
        <v>157</v>
      </c>
      <c r="N7" t="s">
        <v>158</v>
      </c>
      <c r="O7" t="s">
        <v>91</v>
      </c>
      <c r="P7" t="s">
        <v>111</v>
      </c>
      <c r="Q7" t="s">
        <v>124</v>
      </c>
      <c r="R7" t="s">
        <v>94</v>
      </c>
      <c r="S7" s="14" t="s">
        <v>159</v>
      </c>
      <c r="T7" t="s">
        <v>160</v>
      </c>
      <c r="U7" t="s">
        <v>126</v>
      </c>
      <c r="V7" t="s">
        <v>161</v>
      </c>
      <c r="W7" t="s">
        <v>99</v>
      </c>
      <c r="X7" t="s">
        <v>100</v>
      </c>
      <c r="Y7" t="s">
        <v>101</v>
      </c>
    </row>
    <row r="8" spans="1:25">
      <c r="A8" t="s">
        <v>162</v>
      </c>
      <c r="B8" t="s">
        <v>78</v>
      </c>
      <c r="C8" t="s">
        <v>163</v>
      </c>
      <c r="D8" t="s">
        <v>151</v>
      </c>
      <c r="E8" t="s">
        <v>81</v>
      </c>
      <c r="F8" t="s">
        <v>164</v>
      </c>
      <c r="G8" t="s">
        <v>165</v>
      </c>
      <c r="H8" t="s">
        <v>132</v>
      </c>
      <c r="I8" t="s">
        <v>85</v>
      </c>
      <c r="J8" t="s">
        <v>166</v>
      </c>
      <c r="K8" t="s">
        <v>87</v>
      </c>
      <c r="L8" t="s">
        <v>88</v>
      </c>
      <c r="M8" t="s">
        <v>167</v>
      </c>
      <c r="N8" t="s">
        <v>168</v>
      </c>
      <c r="O8" t="s">
        <v>91</v>
      </c>
      <c r="P8" t="s">
        <v>111</v>
      </c>
      <c r="Q8" t="s">
        <v>93</v>
      </c>
      <c r="R8" t="s">
        <v>94</v>
      </c>
      <c r="S8" s="14" t="s">
        <v>139</v>
      </c>
      <c r="T8" t="s">
        <v>169</v>
      </c>
      <c r="U8" t="s">
        <v>97</v>
      </c>
      <c r="V8" t="s">
        <v>161</v>
      </c>
      <c r="W8" t="s">
        <v>142</v>
      </c>
      <c r="X8" t="s">
        <v>100</v>
      </c>
      <c r="Y8" t="s">
        <v>101</v>
      </c>
    </row>
    <row r="9" spans="1:25">
      <c r="A9" t="s">
        <v>170</v>
      </c>
      <c r="B9" t="s">
        <v>78</v>
      </c>
      <c r="C9" t="s">
        <v>171</v>
      </c>
      <c r="D9" t="s">
        <v>151</v>
      </c>
      <c r="E9" t="s">
        <v>81</v>
      </c>
      <c r="F9" t="s">
        <v>172</v>
      </c>
      <c r="G9" t="s">
        <v>173</v>
      </c>
      <c r="H9" t="s">
        <v>174</v>
      </c>
      <c r="I9" t="s">
        <v>85</v>
      </c>
      <c r="J9" t="s">
        <v>175</v>
      </c>
      <c r="K9" t="s">
        <v>176</v>
      </c>
      <c r="L9" t="s">
        <v>177</v>
      </c>
      <c r="M9" t="s">
        <v>178</v>
      </c>
      <c r="N9" t="s">
        <v>179</v>
      </c>
      <c r="O9" t="s">
        <v>91</v>
      </c>
      <c r="P9" t="s">
        <v>111</v>
      </c>
      <c r="Q9" t="s">
        <v>180</v>
      </c>
      <c r="R9" t="s">
        <v>94</v>
      </c>
      <c r="S9" t="s">
        <v>181</v>
      </c>
      <c r="T9" t="s">
        <v>182</v>
      </c>
      <c r="U9" t="s">
        <v>183</v>
      </c>
      <c r="V9" t="s">
        <v>127</v>
      </c>
      <c r="W9" t="s">
        <v>99</v>
      </c>
      <c r="X9" t="s">
        <v>184</v>
      </c>
      <c r="Y9" t="s">
        <v>101</v>
      </c>
    </row>
    <row r="10" spans="1:25">
      <c r="A10" t="s">
        <v>185</v>
      </c>
      <c r="B10" t="s">
        <v>78</v>
      </c>
      <c r="C10" t="s">
        <v>186</v>
      </c>
      <c r="D10" t="s">
        <v>151</v>
      </c>
      <c r="E10" t="s">
        <v>81</v>
      </c>
      <c r="F10" t="s">
        <v>187</v>
      </c>
      <c r="G10" s="7" t="s">
        <v>188</v>
      </c>
      <c r="H10" t="s">
        <v>84</v>
      </c>
      <c r="I10" t="s">
        <v>85</v>
      </c>
      <c r="J10" t="s">
        <v>189</v>
      </c>
      <c r="K10" t="s">
        <v>190</v>
      </c>
      <c r="L10" t="s">
        <v>191</v>
      </c>
      <c r="M10" t="s">
        <v>192</v>
      </c>
      <c r="N10" t="s">
        <v>193</v>
      </c>
      <c r="O10" t="s">
        <v>91</v>
      </c>
      <c r="P10" t="s">
        <v>111</v>
      </c>
      <c r="Q10" t="s">
        <v>194</v>
      </c>
      <c r="R10" t="s">
        <v>94</v>
      </c>
      <c r="S10" s="14" t="s">
        <v>139</v>
      </c>
      <c r="T10" t="s">
        <v>195</v>
      </c>
      <c r="U10" t="s">
        <v>196</v>
      </c>
      <c r="V10" t="s">
        <v>161</v>
      </c>
      <c r="W10" t="s">
        <v>142</v>
      </c>
      <c r="X10" t="s">
        <v>184</v>
      </c>
      <c r="Y10" t="s">
        <v>101</v>
      </c>
    </row>
    <row r="11" spans="1:25">
      <c r="A11" t="s">
        <v>197</v>
      </c>
      <c r="B11" t="s">
        <v>78</v>
      </c>
      <c r="C11" t="s">
        <v>198</v>
      </c>
      <c r="D11" t="s">
        <v>199</v>
      </c>
      <c r="E11" t="s">
        <v>81</v>
      </c>
      <c r="F11" t="s">
        <v>200</v>
      </c>
      <c r="G11" t="s">
        <v>201</v>
      </c>
      <c r="H11" t="s">
        <v>132</v>
      </c>
      <c r="I11" t="s">
        <v>16</v>
      </c>
      <c r="J11" t="s">
        <v>202</v>
      </c>
      <c r="K11" t="s">
        <v>203</v>
      </c>
      <c r="L11" t="s">
        <v>204</v>
      </c>
      <c r="M11" t="s">
        <v>205</v>
      </c>
      <c r="N11" t="s">
        <v>206</v>
      </c>
      <c r="O11" t="s">
        <v>91</v>
      </c>
      <c r="P11" t="s">
        <v>207</v>
      </c>
      <c r="R11" t="s">
        <v>94</v>
      </c>
      <c r="S11" s="14" t="s">
        <v>159</v>
      </c>
      <c r="T11" t="s">
        <v>208</v>
      </c>
      <c r="V11" t="s">
        <v>209</v>
      </c>
      <c r="W11" t="s">
        <v>99</v>
      </c>
      <c r="X11" t="s">
        <v>100</v>
      </c>
      <c r="Y11" t="s">
        <v>101</v>
      </c>
    </row>
    <row r="12" spans="1:25">
      <c r="A12" t="s">
        <v>210</v>
      </c>
      <c r="B12" t="s">
        <v>78</v>
      </c>
      <c r="C12" t="s">
        <v>211</v>
      </c>
      <c r="D12" t="s">
        <v>199</v>
      </c>
      <c r="E12" t="s">
        <v>81</v>
      </c>
      <c r="F12" t="s">
        <v>212</v>
      </c>
      <c r="G12" t="s">
        <v>213</v>
      </c>
      <c r="H12" t="s">
        <v>132</v>
      </c>
      <c r="I12" t="s">
        <v>214</v>
      </c>
      <c r="J12" t="s">
        <v>215</v>
      </c>
      <c r="K12" t="s">
        <v>216</v>
      </c>
      <c r="L12" t="s">
        <v>217</v>
      </c>
      <c r="M12" t="s">
        <v>218</v>
      </c>
      <c r="N12" t="s">
        <v>219</v>
      </c>
      <c r="O12" t="s">
        <v>91</v>
      </c>
      <c r="P12" t="s">
        <v>111</v>
      </c>
      <c r="R12" t="s">
        <v>94</v>
      </c>
      <c r="S12" s="14" t="s">
        <v>159</v>
      </c>
      <c r="T12" t="s">
        <v>220</v>
      </c>
      <c r="V12" t="s">
        <v>209</v>
      </c>
      <c r="W12" t="s">
        <v>99</v>
      </c>
      <c r="X12" t="s">
        <v>184</v>
      </c>
      <c r="Y12" t="s">
        <v>101</v>
      </c>
    </row>
    <row r="13" spans="1:25">
      <c r="A13" t="s">
        <v>221</v>
      </c>
      <c r="B13" t="s">
        <v>78</v>
      </c>
      <c r="C13" t="s">
        <v>222</v>
      </c>
      <c r="D13" t="s">
        <v>199</v>
      </c>
      <c r="E13" t="s">
        <v>81</v>
      </c>
      <c r="F13" t="s">
        <v>223</v>
      </c>
      <c r="G13" t="s">
        <v>224</v>
      </c>
      <c r="H13" t="s">
        <v>225</v>
      </c>
      <c r="I13" t="s">
        <v>226</v>
      </c>
      <c r="J13" t="s">
        <v>227</v>
      </c>
      <c r="K13" t="s">
        <v>228</v>
      </c>
      <c r="L13" t="s">
        <v>229</v>
      </c>
      <c r="M13" t="s">
        <v>230</v>
      </c>
      <c r="N13" t="s">
        <v>231</v>
      </c>
      <c r="O13" t="s">
        <v>91</v>
      </c>
      <c r="P13" t="s">
        <v>111</v>
      </c>
      <c r="Q13" t="s">
        <v>232</v>
      </c>
      <c r="R13" t="s">
        <v>94</v>
      </c>
      <c r="S13" s="14" t="s">
        <v>139</v>
      </c>
      <c r="T13" t="s">
        <v>233</v>
      </c>
      <c r="U13" t="s">
        <v>234</v>
      </c>
      <c r="V13" t="s">
        <v>98</v>
      </c>
      <c r="W13" t="s">
        <v>142</v>
      </c>
      <c r="X13" t="s">
        <v>184</v>
      </c>
      <c r="Y13" t="s">
        <v>101</v>
      </c>
    </row>
    <row r="14" spans="1:25">
      <c r="A14" t="s">
        <v>235</v>
      </c>
      <c r="B14" t="s">
        <v>78</v>
      </c>
      <c r="C14" t="s">
        <v>236</v>
      </c>
      <c r="D14" t="s">
        <v>199</v>
      </c>
      <c r="E14" t="s">
        <v>81</v>
      </c>
      <c r="F14" t="s">
        <v>237</v>
      </c>
      <c r="G14" t="s">
        <v>238</v>
      </c>
      <c r="H14" t="s">
        <v>225</v>
      </c>
      <c r="I14" t="s">
        <v>16</v>
      </c>
      <c r="J14" t="s">
        <v>239</v>
      </c>
      <c r="K14" t="s">
        <v>240</v>
      </c>
      <c r="L14" t="s">
        <v>241</v>
      </c>
      <c r="M14" t="s">
        <v>242</v>
      </c>
      <c r="N14" t="s">
        <v>243</v>
      </c>
      <c r="O14" t="s">
        <v>91</v>
      </c>
      <c r="P14" t="s">
        <v>244</v>
      </c>
      <c r="Q14" t="s">
        <v>245</v>
      </c>
      <c r="R14" t="s">
        <v>94</v>
      </c>
      <c r="S14" s="14" t="s">
        <v>159</v>
      </c>
      <c r="T14" t="s">
        <v>246</v>
      </c>
      <c r="U14" t="s">
        <v>247</v>
      </c>
      <c r="V14" t="s">
        <v>161</v>
      </c>
      <c r="W14" t="s">
        <v>99</v>
      </c>
      <c r="X14" t="s">
        <v>184</v>
      </c>
      <c r="Y14" t="s">
        <v>101</v>
      </c>
    </row>
    <row r="15" spans="1:25">
      <c r="A15" t="s">
        <v>248</v>
      </c>
      <c r="B15" t="s">
        <v>78</v>
      </c>
      <c r="C15" t="s">
        <v>249</v>
      </c>
      <c r="D15" t="s">
        <v>250</v>
      </c>
      <c r="E15" t="s">
        <v>81</v>
      </c>
      <c r="F15" t="s">
        <v>251</v>
      </c>
      <c r="G15" t="s">
        <v>252</v>
      </c>
      <c r="H15" t="s">
        <v>132</v>
      </c>
      <c r="I15" t="s">
        <v>85</v>
      </c>
      <c r="J15" t="s">
        <v>253</v>
      </c>
      <c r="K15" t="s">
        <v>254</v>
      </c>
      <c r="L15" t="s">
        <v>255</v>
      </c>
      <c r="M15" t="s">
        <v>256</v>
      </c>
      <c r="N15" t="s">
        <v>257</v>
      </c>
      <c r="O15" t="s">
        <v>91</v>
      </c>
      <c r="P15" t="s">
        <v>258</v>
      </c>
      <c r="Q15" t="s">
        <v>259</v>
      </c>
      <c r="R15" t="s">
        <v>94</v>
      </c>
      <c r="S15" s="14" t="s">
        <v>159</v>
      </c>
      <c r="T15" t="s">
        <v>260</v>
      </c>
      <c r="U15" t="s">
        <v>261</v>
      </c>
      <c r="V15" t="s">
        <v>262</v>
      </c>
      <c r="W15" t="s">
        <v>99</v>
      </c>
      <c r="X15" t="s">
        <v>100</v>
      </c>
      <c r="Y15" t="s">
        <v>101</v>
      </c>
    </row>
    <row r="16" spans="1:25">
      <c r="A16" t="s">
        <v>263</v>
      </c>
      <c r="B16" t="s">
        <v>78</v>
      </c>
      <c r="C16" t="s">
        <v>264</v>
      </c>
      <c r="D16" t="s">
        <v>250</v>
      </c>
      <c r="E16" t="s">
        <v>81</v>
      </c>
      <c r="F16" t="s">
        <v>265</v>
      </c>
      <c r="G16" s="7" t="s">
        <v>266</v>
      </c>
      <c r="H16" t="s">
        <v>84</v>
      </c>
      <c r="I16" t="s">
        <v>85</v>
      </c>
      <c r="K16" t="s">
        <v>254</v>
      </c>
      <c r="L16" t="s">
        <v>255</v>
      </c>
      <c r="M16" t="s">
        <v>267</v>
      </c>
      <c r="N16" t="s">
        <v>268</v>
      </c>
      <c r="O16" t="s">
        <v>91</v>
      </c>
      <c r="P16" t="s">
        <v>258</v>
      </c>
      <c r="Q16" t="s">
        <v>259</v>
      </c>
      <c r="R16" t="s">
        <v>94</v>
      </c>
      <c r="S16" t="s">
        <v>181</v>
      </c>
      <c r="T16" t="s">
        <v>269</v>
      </c>
      <c r="U16" t="s">
        <v>261</v>
      </c>
      <c r="V16" t="s">
        <v>262</v>
      </c>
      <c r="W16" t="s">
        <v>142</v>
      </c>
      <c r="X16" t="s">
        <v>184</v>
      </c>
      <c r="Y16" t="s">
        <v>101</v>
      </c>
    </row>
    <row r="17" spans="1:25">
      <c r="A17" t="s">
        <v>270</v>
      </c>
      <c r="B17" t="s">
        <v>78</v>
      </c>
      <c r="C17" t="s">
        <v>271</v>
      </c>
      <c r="D17" t="s">
        <v>250</v>
      </c>
      <c r="E17" t="s">
        <v>81</v>
      </c>
      <c r="F17" t="s">
        <v>272</v>
      </c>
      <c r="G17" s="7" t="s">
        <v>273</v>
      </c>
      <c r="H17" t="s">
        <v>132</v>
      </c>
      <c r="I17" t="s">
        <v>85</v>
      </c>
      <c r="K17" t="s">
        <v>274</v>
      </c>
      <c r="L17" t="s">
        <v>275</v>
      </c>
      <c r="M17" t="s">
        <v>276</v>
      </c>
      <c r="N17" t="s">
        <v>277</v>
      </c>
      <c r="O17" t="s">
        <v>91</v>
      </c>
      <c r="P17" t="s">
        <v>258</v>
      </c>
      <c r="Q17" t="s">
        <v>278</v>
      </c>
      <c r="R17" t="s">
        <v>94</v>
      </c>
      <c r="S17" t="s">
        <v>181</v>
      </c>
      <c r="T17" t="s">
        <v>269</v>
      </c>
      <c r="U17" t="s">
        <v>279</v>
      </c>
      <c r="V17" t="s">
        <v>262</v>
      </c>
      <c r="W17" t="s">
        <v>142</v>
      </c>
      <c r="X17" t="s">
        <v>184</v>
      </c>
      <c r="Y17" t="s">
        <v>101</v>
      </c>
    </row>
    <row r="18" spans="1:25">
      <c r="A18" t="s">
        <v>280</v>
      </c>
      <c r="B18" t="s">
        <v>281</v>
      </c>
      <c r="C18" t="s">
        <v>79</v>
      </c>
      <c r="D18" t="s">
        <v>282</v>
      </c>
      <c r="E18" t="s">
        <v>81</v>
      </c>
      <c r="F18" t="s">
        <v>283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  <c r="M18" t="s">
        <v>89</v>
      </c>
      <c r="N18" t="s">
        <v>90</v>
      </c>
      <c r="O18" t="s">
        <v>91</v>
      </c>
      <c r="P18" t="s">
        <v>284</v>
      </c>
      <c r="Q18" t="s">
        <v>93</v>
      </c>
      <c r="R18" t="s">
        <v>94</v>
      </c>
      <c r="S18" s="14" t="s">
        <v>95</v>
      </c>
      <c r="T18" t="s">
        <v>96</v>
      </c>
      <c r="U18" t="s">
        <v>97</v>
      </c>
      <c r="V18" t="s">
        <v>285</v>
      </c>
      <c r="W18" t="s">
        <v>142</v>
      </c>
      <c r="X18" t="s">
        <v>100</v>
      </c>
      <c r="Y18" t="s">
        <v>286</v>
      </c>
    </row>
    <row r="19" spans="1:25">
      <c r="A19" t="s">
        <v>287</v>
      </c>
      <c r="B19" t="s">
        <v>281</v>
      </c>
      <c r="C19" t="s">
        <v>103</v>
      </c>
      <c r="D19" t="s">
        <v>282</v>
      </c>
      <c r="E19" t="s">
        <v>81</v>
      </c>
      <c r="F19" t="s">
        <v>288</v>
      </c>
      <c r="G19" t="s">
        <v>105</v>
      </c>
      <c r="H19" t="s">
        <v>84</v>
      </c>
      <c r="I19" t="s">
        <v>85</v>
      </c>
      <c r="J19" t="s">
        <v>106</v>
      </c>
      <c r="K19" t="s">
        <v>107</v>
      </c>
      <c r="L19" t="s">
        <v>108</v>
      </c>
      <c r="M19" t="s">
        <v>109</v>
      </c>
      <c r="N19" t="s">
        <v>110</v>
      </c>
      <c r="O19" t="s">
        <v>91</v>
      </c>
      <c r="P19" t="s">
        <v>284</v>
      </c>
      <c r="Q19" t="s">
        <v>112</v>
      </c>
      <c r="R19" t="s">
        <v>94</v>
      </c>
      <c r="S19" s="14" t="s">
        <v>95</v>
      </c>
      <c r="T19" t="s">
        <v>113</v>
      </c>
      <c r="U19" t="s">
        <v>114</v>
      </c>
      <c r="V19" t="s">
        <v>285</v>
      </c>
      <c r="W19" t="s">
        <v>142</v>
      </c>
      <c r="X19" t="s">
        <v>100</v>
      </c>
      <c r="Y19" t="s">
        <v>286</v>
      </c>
    </row>
    <row r="20" spans="1:25">
      <c r="A20" t="s">
        <v>289</v>
      </c>
      <c r="B20" t="s">
        <v>281</v>
      </c>
      <c r="C20" t="s">
        <v>123</v>
      </c>
      <c r="D20" t="s">
        <v>282</v>
      </c>
      <c r="E20" t="s">
        <v>81</v>
      </c>
      <c r="F20" t="s">
        <v>290</v>
      </c>
      <c r="G20" t="s">
        <v>118</v>
      </c>
      <c r="H20" t="s">
        <v>84</v>
      </c>
      <c r="I20" t="s">
        <v>85</v>
      </c>
      <c r="J20" t="s">
        <v>119</v>
      </c>
      <c r="K20" t="s">
        <v>120</v>
      </c>
      <c r="L20" t="s">
        <v>121</v>
      </c>
      <c r="M20" t="s">
        <v>122</v>
      </c>
      <c r="N20" t="s">
        <v>123</v>
      </c>
      <c r="O20" t="s">
        <v>91</v>
      </c>
      <c r="P20" t="s">
        <v>291</v>
      </c>
      <c r="Q20" t="s">
        <v>124</v>
      </c>
      <c r="R20" t="s">
        <v>94</v>
      </c>
      <c r="S20" s="14" t="s">
        <v>95</v>
      </c>
      <c r="T20" t="s">
        <v>125</v>
      </c>
      <c r="U20" t="s">
        <v>126</v>
      </c>
      <c r="V20" t="s">
        <v>292</v>
      </c>
      <c r="W20" t="s">
        <v>142</v>
      </c>
      <c r="X20" t="s">
        <v>100</v>
      </c>
      <c r="Y20" t="s">
        <v>286</v>
      </c>
    </row>
    <row r="21" spans="1:25">
      <c r="A21" t="s">
        <v>293</v>
      </c>
      <c r="B21" t="s">
        <v>281</v>
      </c>
      <c r="C21" t="s">
        <v>294</v>
      </c>
      <c r="D21" t="s">
        <v>282</v>
      </c>
      <c r="E21" t="s">
        <v>81</v>
      </c>
      <c r="F21" t="s">
        <v>130</v>
      </c>
      <c r="G21" t="s">
        <v>131</v>
      </c>
      <c r="H21" t="s">
        <v>132</v>
      </c>
      <c r="I21" t="s">
        <v>85</v>
      </c>
      <c r="J21" t="s">
        <v>133</v>
      </c>
      <c r="K21" t="s">
        <v>134</v>
      </c>
      <c r="L21" t="s">
        <v>135</v>
      </c>
      <c r="M21" t="s">
        <v>136</v>
      </c>
      <c r="N21" t="s">
        <v>137</v>
      </c>
      <c r="O21" t="s">
        <v>91</v>
      </c>
      <c r="P21" t="s">
        <v>295</v>
      </c>
      <c r="Q21" t="s">
        <v>138</v>
      </c>
      <c r="R21" t="s">
        <v>94</v>
      </c>
      <c r="S21" s="14" t="s">
        <v>139</v>
      </c>
      <c r="T21" t="s">
        <v>140</v>
      </c>
      <c r="U21" t="s">
        <v>141</v>
      </c>
      <c r="V21" t="s">
        <v>285</v>
      </c>
      <c r="W21" t="s">
        <v>142</v>
      </c>
      <c r="X21" t="s">
        <v>100</v>
      </c>
      <c r="Y21" t="s">
        <v>296</v>
      </c>
    </row>
    <row r="22" spans="1:25">
      <c r="A22" t="s">
        <v>297</v>
      </c>
      <c r="B22" t="s">
        <v>281</v>
      </c>
      <c r="C22" t="s">
        <v>144</v>
      </c>
      <c r="D22" t="s">
        <v>282</v>
      </c>
      <c r="E22" t="s">
        <v>81</v>
      </c>
      <c r="F22" t="s">
        <v>145</v>
      </c>
      <c r="G22" t="s">
        <v>146</v>
      </c>
      <c r="H22" t="s">
        <v>132</v>
      </c>
      <c r="I22" t="s">
        <v>85</v>
      </c>
      <c r="J22" t="s">
        <v>133</v>
      </c>
      <c r="K22" t="s">
        <v>134</v>
      </c>
      <c r="L22" t="s">
        <v>135</v>
      </c>
      <c r="N22" t="s">
        <v>147</v>
      </c>
      <c r="O22" t="s">
        <v>91</v>
      </c>
      <c r="P22" t="s">
        <v>295</v>
      </c>
      <c r="Q22" t="s">
        <v>138</v>
      </c>
      <c r="R22" t="s">
        <v>94</v>
      </c>
      <c r="S22" s="14" t="s">
        <v>139</v>
      </c>
      <c r="T22" t="s">
        <v>140</v>
      </c>
      <c r="U22" t="s">
        <v>141</v>
      </c>
      <c r="V22" t="s">
        <v>285</v>
      </c>
      <c r="W22" t="s">
        <v>142</v>
      </c>
      <c r="X22" t="s">
        <v>100</v>
      </c>
      <c r="Y22" t="s">
        <v>296</v>
      </c>
    </row>
    <row r="23" spans="1:25">
      <c r="A23" t="s">
        <v>298</v>
      </c>
      <c r="B23" t="s">
        <v>281</v>
      </c>
      <c r="C23" t="s">
        <v>299</v>
      </c>
      <c r="D23" t="s">
        <v>300</v>
      </c>
      <c r="E23" t="s">
        <v>81</v>
      </c>
      <c r="F23" t="s">
        <v>301</v>
      </c>
      <c r="G23" t="s">
        <v>302</v>
      </c>
      <c r="H23" t="s">
        <v>84</v>
      </c>
      <c r="I23" t="s">
        <v>85</v>
      </c>
      <c r="J23" t="s">
        <v>303</v>
      </c>
      <c r="K23" t="s">
        <v>304</v>
      </c>
      <c r="L23" t="s">
        <v>305</v>
      </c>
      <c r="M23" t="s">
        <v>306</v>
      </c>
      <c r="N23" t="s">
        <v>307</v>
      </c>
      <c r="O23" t="s">
        <v>91</v>
      </c>
      <c r="P23" t="s">
        <v>308</v>
      </c>
      <c r="Q23" t="s">
        <v>309</v>
      </c>
      <c r="R23" t="s">
        <v>94</v>
      </c>
      <c r="S23" s="14" t="s">
        <v>159</v>
      </c>
      <c r="T23" t="s">
        <v>310</v>
      </c>
      <c r="U23" t="s">
        <v>311</v>
      </c>
      <c r="V23" t="s">
        <v>292</v>
      </c>
      <c r="W23" t="s">
        <v>142</v>
      </c>
      <c r="X23" t="s">
        <v>100</v>
      </c>
      <c r="Y23" t="s">
        <v>312</v>
      </c>
    </row>
    <row r="24" spans="1:25">
      <c r="A24" t="s">
        <v>313</v>
      </c>
      <c r="B24" t="s">
        <v>281</v>
      </c>
      <c r="C24" t="s">
        <v>314</v>
      </c>
      <c r="D24" t="s">
        <v>300</v>
      </c>
      <c r="E24" t="s">
        <v>81</v>
      </c>
      <c r="F24" t="s">
        <v>315</v>
      </c>
      <c r="G24" t="s">
        <v>316</v>
      </c>
      <c r="H24" t="s">
        <v>84</v>
      </c>
      <c r="I24" t="s">
        <v>85</v>
      </c>
      <c r="J24" t="s">
        <v>303</v>
      </c>
      <c r="K24" t="s">
        <v>304</v>
      </c>
      <c r="L24" t="s">
        <v>305</v>
      </c>
      <c r="M24" t="s">
        <v>306</v>
      </c>
      <c r="N24" t="s">
        <v>307</v>
      </c>
      <c r="O24" t="s">
        <v>91</v>
      </c>
      <c r="P24" t="s">
        <v>308</v>
      </c>
      <c r="Q24" t="s">
        <v>309</v>
      </c>
      <c r="R24" t="s">
        <v>94</v>
      </c>
      <c r="S24" s="14" t="s">
        <v>159</v>
      </c>
      <c r="T24" t="s">
        <v>310</v>
      </c>
      <c r="U24" t="s">
        <v>311</v>
      </c>
      <c r="V24" t="s">
        <v>292</v>
      </c>
      <c r="W24" t="s">
        <v>142</v>
      </c>
      <c r="X24" t="s">
        <v>100</v>
      </c>
      <c r="Y24" t="s">
        <v>312</v>
      </c>
    </row>
    <row r="25" spans="1:25">
      <c r="A25" t="s">
        <v>317</v>
      </c>
      <c r="B25" t="s">
        <v>281</v>
      </c>
      <c r="C25" t="s">
        <v>318</v>
      </c>
      <c r="D25" t="s">
        <v>300</v>
      </c>
      <c r="E25" t="s">
        <v>81</v>
      </c>
      <c r="F25" t="s">
        <v>319</v>
      </c>
      <c r="G25" t="s">
        <v>320</v>
      </c>
      <c r="H25" t="s">
        <v>84</v>
      </c>
      <c r="I25" t="s">
        <v>85</v>
      </c>
      <c r="J25" t="s">
        <v>303</v>
      </c>
      <c r="K25" t="s">
        <v>304</v>
      </c>
      <c r="L25" t="s">
        <v>305</v>
      </c>
      <c r="M25" t="s">
        <v>306</v>
      </c>
      <c r="N25" t="s">
        <v>307</v>
      </c>
      <c r="O25" t="s">
        <v>91</v>
      </c>
      <c r="P25" t="s">
        <v>308</v>
      </c>
      <c r="Q25" t="s">
        <v>309</v>
      </c>
      <c r="R25" t="s">
        <v>94</v>
      </c>
      <c r="S25" s="14" t="s">
        <v>159</v>
      </c>
      <c r="T25" t="s">
        <v>310</v>
      </c>
      <c r="U25" t="s">
        <v>311</v>
      </c>
      <c r="V25" t="s">
        <v>292</v>
      </c>
      <c r="W25" t="s">
        <v>142</v>
      </c>
      <c r="X25" t="s">
        <v>100</v>
      </c>
      <c r="Y25" t="s">
        <v>312</v>
      </c>
    </row>
    <row r="26" spans="1:25">
      <c r="A26" t="s">
        <v>321</v>
      </c>
      <c r="B26" t="s">
        <v>281</v>
      </c>
      <c r="C26" t="s">
        <v>322</v>
      </c>
      <c r="D26" t="s">
        <v>300</v>
      </c>
      <c r="E26" t="s">
        <v>81</v>
      </c>
      <c r="F26" t="s">
        <v>323</v>
      </c>
      <c r="G26" t="s">
        <v>324</v>
      </c>
      <c r="H26" t="s">
        <v>84</v>
      </c>
      <c r="I26" t="s">
        <v>85</v>
      </c>
      <c r="J26" t="s">
        <v>303</v>
      </c>
      <c r="K26" t="s">
        <v>304</v>
      </c>
      <c r="L26" t="s">
        <v>305</v>
      </c>
      <c r="M26" t="s">
        <v>306</v>
      </c>
      <c r="N26" t="s">
        <v>307</v>
      </c>
      <c r="O26" t="s">
        <v>91</v>
      </c>
      <c r="P26" t="s">
        <v>308</v>
      </c>
      <c r="Q26" t="s">
        <v>309</v>
      </c>
      <c r="R26" t="s">
        <v>94</v>
      </c>
      <c r="S26" s="14" t="s">
        <v>159</v>
      </c>
      <c r="T26" t="s">
        <v>310</v>
      </c>
      <c r="U26" t="s">
        <v>311</v>
      </c>
      <c r="V26" t="s">
        <v>292</v>
      </c>
      <c r="W26" t="s">
        <v>142</v>
      </c>
      <c r="X26" t="s">
        <v>184</v>
      </c>
      <c r="Y26" t="s">
        <v>312</v>
      </c>
    </row>
    <row r="27" spans="1:25">
      <c r="A27" t="s">
        <v>325</v>
      </c>
      <c r="B27" t="s">
        <v>281</v>
      </c>
      <c r="C27" t="s">
        <v>326</v>
      </c>
      <c r="D27" t="s">
        <v>300</v>
      </c>
      <c r="E27" t="s">
        <v>81</v>
      </c>
      <c r="F27" t="s">
        <v>327</v>
      </c>
      <c r="G27" t="s">
        <v>328</v>
      </c>
      <c r="H27" t="s">
        <v>84</v>
      </c>
      <c r="I27" t="s">
        <v>85</v>
      </c>
      <c r="J27" t="s">
        <v>303</v>
      </c>
      <c r="K27" t="s">
        <v>304</v>
      </c>
      <c r="L27" t="s">
        <v>305</v>
      </c>
      <c r="M27" t="s">
        <v>306</v>
      </c>
      <c r="N27" t="s">
        <v>307</v>
      </c>
      <c r="O27" t="s">
        <v>91</v>
      </c>
      <c r="P27" t="s">
        <v>308</v>
      </c>
      <c r="Q27" t="s">
        <v>309</v>
      </c>
      <c r="R27" t="s">
        <v>94</v>
      </c>
      <c r="S27" s="14" t="s">
        <v>159</v>
      </c>
      <c r="T27" t="s">
        <v>310</v>
      </c>
      <c r="U27" t="s">
        <v>311</v>
      </c>
      <c r="V27" t="s">
        <v>292</v>
      </c>
      <c r="W27" t="s">
        <v>142</v>
      </c>
      <c r="X27" t="s">
        <v>184</v>
      </c>
      <c r="Y27" t="s">
        <v>312</v>
      </c>
    </row>
    <row r="28" spans="1:25">
      <c r="A28" t="s">
        <v>329</v>
      </c>
      <c r="B28" t="s">
        <v>281</v>
      </c>
      <c r="C28" t="s">
        <v>330</v>
      </c>
      <c r="D28" t="s">
        <v>300</v>
      </c>
      <c r="E28" t="s">
        <v>81</v>
      </c>
      <c r="F28" t="s">
        <v>331</v>
      </c>
      <c r="G28" t="s">
        <v>332</v>
      </c>
      <c r="H28" t="s">
        <v>84</v>
      </c>
      <c r="I28" t="s">
        <v>85</v>
      </c>
      <c r="J28" t="s">
        <v>333</v>
      </c>
      <c r="K28" t="s">
        <v>304</v>
      </c>
      <c r="L28" t="s">
        <v>305</v>
      </c>
      <c r="M28" t="s">
        <v>306</v>
      </c>
      <c r="N28" t="s">
        <v>307</v>
      </c>
      <c r="O28" t="s">
        <v>91</v>
      </c>
      <c r="P28" t="s">
        <v>308</v>
      </c>
      <c r="Q28" t="s">
        <v>309</v>
      </c>
      <c r="R28" t="s">
        <v>94</v>
      </c>
      <c r="S28" s="14" t="s">
        <v>159</v>
      </c>
      <c r="T28" t="s">
        <v>310</v>
      </c>
      <c r="U28" t="s">
        <v>311</v>
      </c>
      <c r="V28" t="s">
        <v>292</v>
      </c>
      <c r="W28" t="s">
        <v>142</v>
      </c>
      <c r="X28" t="s">
        <v>100</v>
      </c>
      <c r="Y28" t="s">
        <v>334</v>
      </c>
    </row>
    <row r="29" spans="1:25">
      <c r="A29" t="s">
        <v>335</v>
      </c>
      <c r="B29" t="s">
        <v>281</v>
      </c>
      <c r="C29" t="s">
        <v>336</v>
      </c>
      <c r="D29" t="s">
        <v>337</v>
      </c>
      <c r="E29" t="s">
        <v>81</v>
      </c>
      <c r="F29" t="s">
        <v>338</v>
      </c>
      <c r="G29" t="s">
        <v>339</v>
      </c>
      <c r="H29" t="s">
        <v>84</v>
      </c>
      <c r="I29" t="s">
        <v>85</v>
      </c>
      <c r="J29" t="s">
        <v>340</v>
      </c>
      <c r="K29" t="s">
        <v>304</v>
      </c>
      <c r="L29" t="s">
        <v>305</v>
      </c>
      <c r="M29" t="s">
        <v>306</v>
      </c>
      <c r="N29" t="s">
        <v>307</v>
      </c>
      <c r="O29" t="s">
        <v>91</v>
      </c>
      <c r="P29" t="s">
        <v>341</v>
      </c>
      <c r="Q29" t="s">
        <v>309</v>
      </c>
      <c r="R29" t="s">
        <v>94</v>
      </c>
      <c r="S29" s="14" t="s">
        <v>159</v>
      </c>
      <c r="T29" t="s">
        <v>310</v>
      </c>
      <c r="U29" t="s">
        <v>311</v>
      </c>
      <c r="V29" t="s">
        <v>292</v>
      </c>
      <c r="W29" t="s">
        <v>99</v>
      </c>
      <c r="X29" t="s">
        <v>100</v>
      </c>
      <c r="Y29" t="s">
        <v>334</v>
      </c>
    </row>
    <row r="30" spans="1:25">
      <c r="A30" t="s">
        <v>342</v>
      </c>
      <c r="B30" t="s">
        <v>281</v>
      </c>
      <c r="C30" t="s">
        <v>343</v>
      </c>
      <c r="D30" t="s">
        <v>337</v>
      </c>
      <c r="E30" t="s">
        <v>81</v>
      </c>
      <c r="F30" t="s">
        <v>344</v>
      </c>
      <c r="G30" t="s">
        <v>345</v>
      </c>
      <c r="H30" t="s">
        <v>84</v>
      </c>
      <c r="I30" t="s">
        <v>85</v>
      </c>
      <c r="J30" t="s">
        <v>340</v>
      </c>
      <c r="K30" t="s">
        <v>304</v>
      </c>
      <c r="L30" t="s">
        <v>305</v>
      </c>
      <c r="M30" t="s">
        <v>306</v>
      </c>
      <c r="N30" t="s">
        <v>307</v>
      </c>
      <c r="O30" t="s">
        <v>91</v>
      </c>
      <c r="P30" t="s">
        <v>341</v>
      </c>
      <c r="Q30" t="s">
        <v>309</v>
      </c>
      <c r="R30" t="s">
        <v>94</v>
      </c>
      <c r="S30" s="14" t="s">
        <v>159</v>
      </c>
      <c r="T30" t="s">
        <v>310</v>
      </c>
      <c r="U30" t="s">
        <v>311</v>
      </c>
      <c r="V30" t="s">
        <v>292</v>
      </c>
      <c r="W30" t="s">
        <v>142</v>
      </c>
      <c r="X30" t="s">
        <v>100</v>
      </c>
      <c r="Y30" t="s">
        <v>334</v>
      </c>
    </row>
    <row r="31" spans="1:25">
      <c r="A31" t="s">
        <v>346</v>
      </c>
      <c r="B31" t="s">
        <v>281</v>
      </c>
      <c r="C31" t="s">
        <v>347</v>
      </c>
      <c r="D31" t="s">
        <v>337</v>
      </c>
      <c r="E31" t="s">
        <v>81</v>
      </c>
      <c r="F31" t="s">
        <v>331</v>
      </c>
      <c r="G31" t="s">
        <v>332</v>
      </c>
      <c r="H31" t="s">
        <v>84</v>
      </c>
      <c r="I31" t="s">
        <v>85</v>
      </c>
      <c r="J31" t="s">
        <v>340</v>
      </c>
      <c r="K31" t="s">
        <v>304</v>
      </c>
      <c r="L31" t="s">
        <v>305</v>
      </c>
      <c r="M31" t="s">
        <v>306</v>
      </c>
      <c r="N31" t="s">
        <v>307</v>
      </c>
      <c r="O31" t="s">
        <v>91</v>
      </c>
      <c r="P31" t="s">
        <v>341</v>
      </c>
      <c r="Q31" t="s">
        <v>309</v>
      </c>
      <c r="R31" t="s">
        <v>94</v>
      </c>
      <c r="S31" s="14" t="s">
        <v>159</v>
      </c>
      <c r="T31" t="s">
        <v>310</v>
      </c>
      <c r="U31" t="s">
        <v>311</v>
      </c>
      <c r="V31" t="s">
        <v>292</v>
      </c>
      <c r="W31" t="s">
        <v>142</v>
      </c>
      <c r="X31" t="s">
        <v>100</v>
      </c>
      <c r="Y31" t="s">
        <v>334</v>
      </c>
    </row>
    <row r="32" spans="1:25">
      <c r="A32" t="s">
        <v>348</v>
      </c>
      <c r="B32" t="s">
        <v>281</v>
      </c>
      <c r="C32" t="s">
        <v>349</v>
      </c>
      <c r="D32" t="s">
        <v>337</v>
      </c>
      <c r="E32" t="s">
        <v>81</v>
      </c>
      <c r="F32" t="s">
        <v>350</v>
      </c>
      <c r="G32" t="s">
        <v>351</v>
      </c>
      <c r="H32" t="s">
        <v>352</v>
      </c>
      <c r="I32" t="s">
        <v>85</v>
      </c>
      <c r="J32" t="s">
        <v>340</v>
      </c>
      <c r="K32" t="s">
        <v>304</v>
      </c>
      <c r="L32" t="s">
        <v>305</v>
      </c>
      <c r="M32" t="s">
        <v>353</v>
      </c>
      <c r="N32" t="s">
        <v>354</v>
      </c>
      <c r="O32" t="s">
        <v>91</v>
      </c>
      <c r="P32" t="s">
        <v>355</v>
      </c>
      <c r="Q32" t="s">
        <v>309</v>
      </c>
      <c r="R32" t="s">
        <v>94</v>
      </c>
      <c r="S32" s="14" t="s">
        <v>159</v>
      </c>
      <c r="T32" t="s">
        <v>310</v>
      </c>
      <c r="U32" t="s">
        <v>311</v>
      </c>
      <c r="V32" t="s">
        <v>292</v>
      </c>
      <c r="W32" t="s">
        <v>142</v>
      </c>
      <c r="X32" t="s">
        <v>184</v>
      </c>
      <c r="Y32" t="s">
        <v>356</v>
      </c>
    </row>
    <row r="33" spans="1:25">
      <c r="A33" t="s">
        <v>357</v>
      </c>
      <c r="B33" t="s">
        <v>358</v>
      </c>
      <c r="C33" t="s">
        <v>359</v>
      </c>
      <c r="D33" t="s">
        <v>360</v>
      </c>
      <c r="E33" t="s">
        <v>81</v>
      </c>
      <c r="F33" t="s">
        <v>361</v>
      </c>
      <c r="G33" t="s">
        <v>362</v>
      </c>
      <c r="H33" t="s">
        <v>363</v>
      </c>
      <c r="I33" t="s">
        <v>85</v>
      </c>
      <c r="J33" t="s">
        <v>364</v>
      </c>
      <c r="K33" t="s">
        <v>87</v>
      </c>
      <c r="L33" t="s">
        <v>88</v>
      </c>
      <c r="M33" t="s">
        <v>365</v>
      </c>
      <c r="N33" t="s">
        <v>366</v>
      </c>
      <c r="O33" t="s">
        <v>91</v>
      </c>
      <c r="P33" t="s">
        <v>367</v>
      </c>
      <c r="Q33" t="s">
        <v>93</v>
      </c>
      <c r="R33" t="s">
        <v>94</v>
      </c>
      <c r="S33" s="14" t="s">
        <v>159</v>
      </c>
      <c r="T33" t="s">
        <v>96</v>
      </c>
      <c r="U33" t="s">
        <v>97</v>
      </c>
      <c r="V33" t="s">
        <v>368</v>
      </c>
      <c r="W33" t="s">
        <v>142</v>
      </c>
      <c r="X33" t="s">
        <v>100</v>
      </c>
      <c r="Y33" t="s">
        <v>369</v>
      </c>
    </row>
    <row r="34" spans="1:25">
      <c r="A34" t="s">
        <v>370</v>
      </c>
      <c r="B34" t="s">
        <v>358</v>
      </c>
      <c r="C34" t="s">
        <v>371</v>
      </c>
      <c r="D34" t="s">
        <v>360</v>
      </c>
      <c r="E34" t="s">
        <v>81</v>
      </c>
      <c r="F34" t="s">
        <v>372</v>
      </c>
      <c r="G34" t="s">
        <v>373</v>
      </c>
      <c r="H34" t="s">
        <v>363</v>
      </c>
      <c r="I34" t="s">
        <v>85</v>
      </c>
      <c r="J34" t="s">
        <v>166</v>
      </c>
      <c r="K34" t="s">
        <v>87</v>
      </c>
      <c r="L34" t="s">
        <v>88</v>
      </c>
      <c r="M34" t="s">
        <v>365</v>
      </c>
      <c r="N34" t="s">
        <v>374</v>
      </c>
      <c r="O34" t="s">
        <v>91</v>
      </c>
      <c r="P34" t="s">
        <v>367</v>
      </c>
      <c r="Q34" t="s">
        <v>93</v>
      </c>
      <c r="R34" t="s">
        <v>94</v>
      </c>
      <c r="S34" s="14" t="s">
        <v>159</v>
      </c>
      <c r="T34" t="s">
        <v>169</v>
      </c>
      <c r="U34" t="s">
        <v>97</v>
      </c>
      <c r="V34" t="s">
        <v>368</v>
      </c>
      <c r="W34" t="s">
        <v>142</v>
      </c>
      <c r="X34" t="s">
        <v>100</v>
      </c>
      <c r="Y34" t="s">
        <v>369</v>
      </c>
    </row>
    <row r="35" spans="1:25">
      <c r="A35" t="s">
        <v>375</v>
      </c>
      <c r="B35" t="s">
        <v>358</v>
      </c>
      <c r="C35" t="s">
        <v>376</v>
      </c>
      <c r="D35" t="s">
        <v>360</v>
      </c>
      <c r="E35" t="s">
        <v>81</v>
      </c>
      <c r="F35" t="s">
        <v>377</v>
      </c>
      <c r="G35" t="s">
        <v>378</v>
      </c>
      <c r="H35" t="s">
        <v>363</v>
      </c>
      <c r="I35" t="s">
        <v>85</v>
      </c>
      <c r="J35" t="s">
        <v>379</v>
      </c>
      <c r="K35" t="s">
        <v>87</v>
      </c>
      <c r="L35" t="s">
        <v>88</v>
      </c>
      <c r="M35" t="s">
        <v>365</v>
      </c>
      <c r="N35" t="s">
        <v>374</v>
      </c>
      <c r="O35" t="s">
        <v>91</v>
      </c>
      <c r="P35" t="s">
        <v>367</v>
      </c>
      <c r="Q35" t="s">
        <v>93</v>
      </c>
      <c r="R35" t="s">
        <v>94</v>
      </c>
      <c r="S35" s="14" t="s">
        <v>159</v>
      </c>
      <c r="T35" t="s">
        <v>169</v>
      </c>
      <c r="U35" t="s">
        <v>97</v>
      </c>
      <c r="V35" t="s">
        <v>368</v>
      </c>
      <c r="W35" t="s">
        <v>142</v>
      </c>
      <c r="X35" t="s">
        <v>100</v>
      </c>
      <c r="Y35" t="s">
        <v>369</v>
      </c>
    </row>
    <row r="36" spans="1:25">
      <c r="A36" t="s">
        <v>380</v>
      </c>
      <c r="B36" t="s">
        <v>358</v>
      </c>
      <c r="C36" t="s">
        <v>381</v>
      </c>
      <c r="D36" t="s">
        <v>360</v>
      </c>
      <c r="E36" t="s">
        <v>81</v>
      </c>
      <c r="F36" t="s">
        <v>382</v>
      </c>
      <c r="G36" t="s">
        <v>165</v>
      </c>
      <c r="H36" t="s">
        <v>132</v>
      </c>
      <c r="I36" t="s">
        <v>85</v>
      </c>
      <c r="J36" t="s">
        <v>166</v>
      </c>
      <c r="K36" t="s">
        <v>87</v>
      </c>
      <c r="L36" t="s">
        <v>88</v>
      </c>
      <c r="M36" t="s">
        <v>365</v>
      </c>
      <c r="N36" t="s">
        <v>374</v>
      </c>
      <c r="O36" t="s">
        <v>91</v>
      </c>
      <c r="P36" t="s">
        <v>367</v>
      </c>
      <c r="Q36" t="s">
        <v>93</v>
      </c>
      <c r="R36" t="s">
        <v>94</v>
      </c>
      <c r="S36" s="14" t="s">
        <v>139</v>
      </c>
      <c r="T36" t="s">
        <v>169</v>
      </c>
      <c r="U36" t="s">
        <v>97</v>
      </c>
      <c r="V36" t="s">
        <v>368</v>
      </c>
      <c r="W36" t="s">
        <v>142</v>
      </c>
      <c r="X36" t="s">
        <v>100</v>
      </c>
      <c r="Y36" t="s">
        <v>383</v>
      </c>
    </row>
    <row r="37" spans="1:25">
      <c r="A37" t="s">
        <v>384</v>
      </c>
      <c r="B37" t="s">
        <v>358</v>
      </c>
      <c r="C37" t="s">
        <v>385</v>
      </c>
      <c r="D37" t="s">
        <v>386</v>
      </c>
      <c r="E37" t="s">
        <v>81</v>
      </c>
      <c r="F37" t="s">
        <v>387</v>
      </c>
      <c r="G37" t="s">
        <v>388</v>
      </c>
      <c r="H37" t="s">
        <v>84</v>
      </c>
      <c r="I37" t="s">
        <v>154</v>
      </c>
      <c r="J37" t="s">
        <v>389</v>
      </c>
      <c r="K37" t="s">
        <v>176</v>
      </c>
      <c r="L37" t="s">
        <v>177</v>
      </c>
      <c r="M37" t="s">
        <v>306</v>
      </c>
      <c r="N37" t="s">
        <v>390</v>
      </c>
      <c r="O37" t="s">
        <v>91</v>
      </c>
      <c r="P37" t="s">
        <v>391</v>
      </c>
      <c r="Q37" t="s">
        <v>180</v>
      </c>
      <c r="R37" t="s">
        <v>94</v>
      </c>
      <c r="S37" s="14" t="s">
        <v>159</v>
      </c>
      <c r="T37" t="s">
        <v>392</v>
      </c>
      <c r="U37" t="s">
        <v>183</v>
      </c>
      <c r="V37" t="s">
        <v>393</v>
      </c>
      <c r="W37" t="s">
        <v>99</v>
      </c>
      <c r="X37" t="s">
        <v>100</v>
      </c>
      <c r="Y37" t="s">
        <v>394</v>
      </c>
    </row>
    <row r="38" spans="1:25">
      <c r="A38" t="s">
        <v>395</v>
      </c>
      <c r="B38" t="s">
        <v>358</v>
      </c>
      <c r="C38" t="s">
        <v>396</v>
      </c>
      <c r="D38" t="s">
        <v>386</v>
      </c>
      <c r="E38" t="s">
        <v>81</v>
      </c>
      <c r="F38" t="s">
        <v>397</v>
      </c>
      <c r="G38" t="s">
        <v>398</v>
      </c>
      <c r="H38" t="s">
        <v>84</v>
      </c>
      <c r="I38" t="s">
        <v>154</v>
      </c>
      <c r="J38" t="s">
        <v>389</v>
      </c>
      <c r="K38" t="s">
        <v>176</v>
      </c>
      <c r="L38" t="s">
        <v>177</v>
      </c>
      <c r="M38" t="s">
        <v>306</v>
      </c>
      <c r="N38" t="s">
        <v>390</v>
      </c>
      <c r="O38" t="s">
        <v>91</v>
      </c>
      <c r="P38" t="s">
        <v>391</v>
      </c>
      <c r="Q38" t="s">
        <v>180</v>
      </c>
      <c r="R38" t="s">
        <v>94</v>
      </c>
      <c r="S38" s="14" t="s">
        <v>159</v>
      </c>
      <c r="T38" t="s">
        <v>392</v>
      </c>
      <c r="U38" t="s">
        <v>183</v>
      </c>
      <c r="V38" t="s">
        <v>393</v>
      </c>
      <c r="W38" t="s">
        <v>99</v>
      </c>
      <c r="X38" t="s">
        <v>184</v>
      </c>
      <c r="Y38" t="s">
        <v>394</v>
      </c>
    </row>
    <row r="39" spans="1:25">
      <c r="A39" t="s">
        <v>399</v>
      </c>
      <c r="B39" t="s">
        <v>358</v>
      </c>
      <c r="C39" t="s">
        <v>400</v>
      </c>
      <c r="D39" t="s">
        <v>386</v>
      </c>
      <c r="E39" t="s">
        <v>81</v>
      </c>
      <c r="F39" t="s">
        <v>401</v>
      </c>
      <c r="G39" t="s">
        <v>173</v>
      </c>
      <c r="H39" t="s">
        <v>363</v>
      </c>
      <c r="I39" t="s">
        <v>154</v>
      </c>
      <c r="J39" t="s">
        <v>402</v>
      </c>
      <c r="K39" t="s">
        <v>176</v>
      </c>
      <c r="L39" t="s">
        <v>177</v>
      </c>
      <c r="M39" t="s">
        <v>178</v>
      </c>
      <c r="N39" t="s">
        <v>179</v>
      </c>
      <c r="O39" t="s">
        <v>91</v>
      </c>
      <c r="P39" t="s">
        <v>391</v>
      </c>
      <c r="Q39" t="s">
        <v>180</v>
      </c>
      <c r="R39" t="s">
        <v>94</v>
      </c>
      <c r="S39" t="s">
        <v>181</v>
      </c>
      <c r="T39" t="s">
        <v>182</v>
      </c>
      <c r="U39" t="s">
        <v>183</v>
      </c>
      <c r="V39" t="s">
        <v>393</v>
      </c>
      <c r="W39" t="s">
        <v>99</v>
      </c>
      <c r="X39" t="s">
        <v>100</v>
      </c>
      <c r="Y39" t="s">
        <v>403</v>
      </c>
    </row>
    <row r="40" spans="1:25">
      <c r="A40" t="s">
        <v>404</v>
      </c>
      <c r="B40" t="s">
        <v>358</v>
      </c>
      <c r="C40" t="s">
        <v>405</v>
      </c>
      <c r="D40" t="s">
        <v>386</v>
      </c>
      <c r="E40" t="s">
        <v>81</v>
      </c>
      <c r="F40" t="s">
        <v>406</v>
      </c>
      <c r="G40" s="7" t="s">
        <v>407</v>
      </c>
      <c r="H40" t="s">
        <v>84</v>
      </c>
      <c r="I40" t="s">
        <v>154</v>
      </c>
      <c r="J40" t="s">
        <v>408</v>
      </c>
      <c r="K40" t="s">
        <v>176</v>
      </c>
      <c r="L40" t="s">
        <v>177</v>
      </c>
      <c r="M40" t="s">
        <v>306</v>
      </c>
      <c r="N40" t="s">
        <v>409</v>
      </c>
      <c r="O40" t="s">
        <v>91</v>
      </c>
      <c r="P40" t="s">
        <v>391</v>
      </c>
      <c r="Q40" t="s">
        <v>180</v>
      </c>
      <c r="R40" t="s">
        <v>94</v>
      </c>
      <c r="S40" s="14" t="s">
        <v>159</v>
      </c>
      <c r="T40" t="s">
        <v>392</v>
      </c>
      <c r="U40" t="s">
        <v>183</v>
      </c>
      <c r="V40" t="s">
        <v>393</v>
      </c>
      <c r="W40" t="s">
        <v>99</v>
      </c>
      <c r="X40" t="s">
        <v>100</v>
      </c>
      <c r="Y40" t="s">
        <v>334</v>
      </c>
    </row>
    <row r="41" spans="1:25">
      <c r="A41" t="s">
        <v>410</v>
      </c>
      <c r="B41" t="s">
        <v>358</v>
      </c>
      <c r="C41" t="s">
        <v>411</v>
      </c>
      <c r="D41" t="s">
        <v>412</v>
      </c>
      <c r="E41" t="s">
        <v>81</v>
      </c>
      <c r="F41" t="s">
        <v>413</v>
      </c>
      <c r="G41" t="s">
        <v>414</v>
      </c>
      <c r="H41" t="s">
        <v>84</v>
      </c>
      <c r="I41" t="s">
        <v>154</v>
      </c>
      <c r="J41" t="s">
        <v>415</v>
      </c>
      <c r="K41" t="s">
        <v>176</v>
      </c>
      <c r="L41" t="s">
        <v>177</v>
      </c>
      <c r="M41" t="s">
        <v>306</v>
      </c>
      <c r="N41" t="s">
        <v>416</v>
      </c>
      <c r="O41" t="s">
        <v>91</v>
      </c>
      <c r="P41" t="s">
        <v>391</v>
      </c>
      <c r="Q41" t="s">
        <v>180</v>
      </c>
      <c r="R41" t="s">
        <v>94</v>
      </c>
      <c r="S41" s="14" t="s">
        <v>159</v>
      </c>
      <c r="T41" t="s">
        <v>392</v>
      </c>
      <c r="U41" t="s">
        <v>183</v>
      </c>
      <c r="V41" t="s">
        <v>393</v>
      </c>
      <c r="W41" t="s">
        <v>142</v>
      </c>
      <c r="X41" t="s">
        <v>184</v>
      </c>
      <c r="Y41" t="s">
        <v>417</v>
      </c>
    </row>
    <row r="42" spans="1:25">
      <c r="A42" t="s">
        <v>418</v>
      </c>
      <c r="B42" t="s">
        <v>358</v>
      </c>
      <c r="C42" t="s">
        <v>419</v>
      </c>
      <c r="D42" t="s">
        <v>412</v>
      </c>
      <c r="E42" t="s">
        <v>81</v>
      </c>
      <c r="F42" t="s">
        <v>420</v>
      </c>
      <c r="G42" t="s">
        <v>421</v>
      </c>
      <c r="H42" t="s">
        <v>84</v>
      </c>
      <c r="I42" t="s">
        <v>154</v>
      </c>
      <c r="J42" t="s">
        <v>422</v>
      </c>
      <c r="K42" t="s">
        <v>176</v>
      </c>
      <c r="L42" t="s">
        <v>177</v>
      </c>
      <c r="M42" t="s">
        <v>306</v>
      </c>
      <c r="N42" t="s">
        <v>416</v>
      </c>
      <c r="O42" t="s">
        <v>91</v>
      </c>
      <c r="P42" t="s">
        <v>423</v>
      </c>
      <c r="Q42" t="s">
        <v>180</v>
      </c>
      <c r="R42" t="s">
        <v>94</v>
      </c>
      <c r="S42" s="14" t="s">
        <v>159</v>
      </c>
      <c r="T42" t="s">
        <v>392</v>
      </c>
      <c r="U42" t="s">
        <v>183</v>
      </c>
      <c r="V42" t="s">
        <v>393</v>
      </c>
      <c r="W42" t="s">
        <v>142</v>
      </c>
      <c r="X42" t="s">
        <v>100</v>
      </c>
      <c r="Y42" t="s">
        <v>334</v>
      </c>
    </row>
    <row r="43" spans="1:25" ht="70" customHeight="1">
      <c r="A43" t="s">
        <v>424</v>
      </c>
      <c r="B43" t="s">
        <v>358</v>
      </c>
      <c r="C43" t="s">
        <v>425</v>
      </c>
      <c r="D43" t="s">
        <v>412</v>
      </c>
      <c r="E43" t="s">
        <v>81</v>
      </c>
      <c r="F43" t="s">
        <v>426</v>
      </c>
      <c r="G43" s="10" t="s">
        <v>427</v>
      </c>
      <c r="H43" t="s">
        <v>363</v>
      </c>
      <c r="I43" t="s">
        <v>154</v>
      </c>
      <c r="J43" t="s">
        <v>428</v>
      </c>
      <c r="K43" t="s">
        <v>176</v>
      </c>
      <c r="L43" t="s">
        <v>177</v>
      </c>
      <c r="M43" t="s">
        <v>306</v>
      </c>
      <c r="N43" t="s">
        <v>429</v>
      </c>
      <c r="O43" t="s">
        <v>91</v>
      </c>
      <c r="P43" t="s">
        <v>430</v>
      </c>
      <c r="Q43" t="s">
        <v>180</v>
      </c>
      <c r="R43" t="s">
        <v>94</v>
      </c>
      <c r="S43" s="14" t="s">
        <v>159</v>
      </c>
      <c r="T43" t="s">
        <v>392</v>
      </c>
      <c r="U43" t="s">
        <v>183</v>
      </c>
      <c r="V43" t="s">
        <v>393</v>
      </c>
      <c r="W43" t="s">
        <v>142</v>
      </c>
      <c r="X43" t="s">
        <v>184</v>
      </c>
      <c r="Y43" t="s">
        <v>431</v>
      </c>
    </row>
    <row r="44" spans="1:25">
      <c r="A44" t="s">
        <v>432</v>
      </c>
      <c r="B44" t="s">
        <v>358</v>
      </c>
      <c r="C44" t="s">
        <v>433</v>
      </c>
      <c r="D44" t="s">
        <v>412</v>
      </c>
      <c r="E44" t="s">
        <v>81</v>
      </c>
      <c r="F44" t="s">
        <v>434</v>
      </c>
      <c r="G44" t="s">
        <v>435</v>
      </c>
      <c r="H44" t="s">
        <v>132</v>
      </c>
      <c r="I44" t="s">
        <v>154</v>
      </c>
      <c r="J44" t="s">
        <v>436</v>
      </c>
      <c r="K44" t="s">
        <v>176</v>
      </c>
      <c r="L44" t="s">
        <v>177</v>
      </c>
      <c r="M44" t="s">
        <v>437</v>
      </c>
      <c r="N44" t="s">
        <v>438</v>
      </c>
      <c r="O44" t="s">
        <v>91</v>
      </c>
      <c r="P44" t="s">
        <v>439</v>
      </c>
      <c r="Q44" t="s">
        <v>180</v>
      </c>
      <c r="R44" t="s">
        <v>94</v>
      </c>
      <c r="S44" s="14" t="s">
        <v>159</v>
      </c>
      <c r="T44" t="s">
        <v>392</v>
      </c>
      <c r="U44" t="s">
        <v>183</v>
      </c>
      <c r="V44" t="s">
        <v>393</v>
      </c>
      <c r="W44" t="s">
        <v>142</v>
      </c>
      <c r="X44" t="s">
        <v>184</v>
      </c>
      <c r="Y44" t="s">
        <v>440</v>
      </c>
    </row>
    <row r="45" spans="1:25">
      <c r="A45" t="s">
        <v>441</v>
      </c>
      <c r="B45" t="s">
        <v>358</v>
      </c>
      <c r="C45" t="s">
        <v>442</v>
      </c>
      <c r="D45" t="s">
        <v>443</v>
      </c>
      <c r="E45" t="s">
        <v>81</v>
      </c>
      <c r="F45" t="s">
        <v>444</v>
      </c>
      <c r="G45" t="s">
        <v>445</v>
      </c>
      <c r="H45" t="s">
        <v>84</v>
      </c>
      <c r="I45" t="s">
        <v>154</v>
      </c>
      <c r="J45" t="s">
        <v>446</v>
      </c>
      <c r="K45" t="s">
        <v>176</v>
      </c>
      <c r="L45" t="s">
        <v>177</v>
      </c>
      <c r="M45" t="s">
        <v>306</v>
      </c>
      <c r="N45" t="s">
        <v>409</v>
      </c>
      <c r="O45" t="s">
        <v>91</v>
      </c>
      <c r="P45" t="s">
        <v>447</v>
      </c>
      <c r="Q45" t="s">
        <v>180</v>
      </c>
      <c r="R45" t="s">
        <v>94</v>
      </c>
      <c r="S45" s="14" t="s">
        <v>159</v>
      </c>
      <c r="T45" t="s">
        <v>392</v>
      </c>
      <c r="U45" t="s">
        <v>183</v>
      </c>
      <c r="V45" t="s">
        <v>393</v>
      </c>
      <c r="W45" t="s">
        <v>142</v>
      </c>
      <c r="X45" t="s">
        <v>184</v>
      </c>
      <c r="Y45" t="s">
        <v>448</v>
      </c>
    </row>
    <row r="46" spans="1:25">
      <c r="A46" t="s">
        <v>449</v>
      </c>
      <c r="B46" t="s">
        <v>358</v>
      </c>
      <c r="C46" t="s">
        <v>450</v>
      </c>
      <c r="D46" t="s">
        <v>443</v>
      </c>
      <c r="E46" t="s">
        <v>81</v>
      </c>
      <c r="F46" t="s">
        <v>451</v>
      </c>
      <c r="G46" t="s">
        <v>452</v>
      </c>
      <c r="H46" t="s">
        <v>84</v>
      </c>
      <c r="I46" t="s">
        <v>154</v>
      </c>
      <c r="J46" t="s">
        <v>446</v>
      </c>
      <c r="K46" t="s">
        <v>176</v>
      </c>
      <c r="L46" t="s">
        <v>177</v>
      </c>
      <c r="M46" t="s">
        <v>306</v>
      </c>
      <c r="N46" t="s">
        <v>409</v>
      </c>
      <c r="O46" t="s">
        <v>91</v>
      </c>
      <c r="P46" t="s">
        <v>447</v>
      </c>
      <c r="Q46" t="s">
        <v>180</v>
      </c>
      <c r="R46" t="s">
        <v>94</v>
      </c>
      <c r="S46" s="14" t="s">
        <v>159</v>
      </c>
      <c r="T46" t="s">
        <v>392</v>
      </c>
      <c r="U46" t="s">
        <v>183</v>
      </c>
      <c r="V46" t="s">
        <v>393</v>
      </c>
      <c r="W46" t="s">
        <v>142</v>
      </c>
      <c r="X46" t="s">
        <v>184</v>
      </c>
      <c r="Y46" t="s">
        <v>448</v>
      </c>
    </row>
    <row r="47" spans="1:25">
      <c r="A47" t="s">
        <v>453</v>
      </c>
      <c r="B47" t="s">
        <v>358</v>
      </c>
      <c r="C47" t="s">
        <v>454</v>
      </c>
      <c r="D47" t="s">
        <v>443</v>
      </c>
      <c r="E47" t="s">
        <v>81</v>
      </c>
      <c r="F47" t="s">
        <v>455</v>
      </c>
      <c r="G47" t="s">
        <v>456</v>
      </c>
      <c r="H47" t="s">
        <v>84</v>
      </c>
      <c r="I47" t="s">
        <v>154</v>
      </c>
      <c r="J47" t="s">
        <v>446</v>
      </c>
      <c r="K47" t="s">
        <v>176</v>
      </c>
      <c r="L47" t="s">
        <v>177</v>
      </c>
      <c r="M47" t="s">
        <v>306</v>
      </c>
      <c r="N47" t="s">
        <v>409</v>
      </c>
      <c r="O47" t="s">
        <v>91</v>
      </c>
      <c r="P47" t="s">
        <v>447</v>
      </c>
      <c r="Q47" t="s">
        <v>180</v>
      </c>
      <c r="R47" t="s">
        <v>94</v>
      </c>
      <c r="S47" s="14" t="s">
        <v>159</v>
      </c>
      <c r="T47" t="s">
        <v>392</v>
      </c>
      <c r="U47" t="s">
        <v>183</v>
      </c>
      <c r="V47" t="s">
        <v>393</v>
      </c>
      <c r="W47" t="s">
        <v>142</v>
      </c>
      <c r="X47" t="s">
        <v>100</v>
      </c>
      <c r="Y47" t="s">
        <v>334</v>
      </c>
    </row>
    <row r="48" spans="1:25">
      <c r="A48" t="s">
        <v>457</v>
      </c>
      <c r="B48" t="s">
        <v>358</v>
      </c>
      <c r="C48" t="s">
        <v>458</v>
      </c>
      <c r="D48" t="s">
        <v>443</v>
      </c>
      <c r="E48" t="s">
        <v>81</v>
      </c>
      <c r="F48" t="s">
        <v>459</v>
      </c>
      <c r="G48" t="s">
        <v>460</v>
      </c>
      <c r="H48" t="s">
        <v>363</v>
      </c>
      <c r="I48" t="s">
        <v>154</v>
      </c>
      <c r="J48" t="s">
        <v>446</v>
      </c>
      <c r="K48" t="s">
        <v>176</v>
      </c>
      <c r="L48" t="s">
        <v>177</v>
      </c>
      <c r="M48" t="s">
        <v>353</v>
      </c>
      <c r="N48" t="s">
        <v>461</v>
      </c>
      <c r="O48" t="s">
        <v>91</v>
      </c>
      <c r="P48" t="s">
        <v>439</v>
      </c>
      <c r="Q48" t="s">
        <v>180</v>
      </c>
      <c r="R48" t="s">
        <v>94</v>
      </c>
      <c r="S48" s="14" t="s">
        <v>159</v>
      </c>
      <c r="T48" t="s">
        <v>392</v>
      </c>
      <c r="U48" t="s">
        <v>183</v>
      </c>
      <c r="V48" t="s">
        <v>393</v>
      </c>
      <c r="W48" t="s">
        <v>142</v>
      </c>
      <c r="X48" t="s">
        <v>184</v>
      </c>
      <c r="Y48" t="s">
        <v>356</v>
      </c>
    </row>
    <row r="49" spans="1:25">
      <c r="A49" t="s">
        <v>462</v>
      </c>
      <c r="B49" t="s">
        <v>463</v>
      </c>
      <c r="C49" t="s">
        <v>464</v>
      </c>
      <c r="D49" t="s">
        <v>465</v>
      </c>
      <c r="E49" t="s">
        <v>81</v>
      </c>
      <c r="F49" t="s">
        <v>466</v>
      </c>
      <c r="G49" t="s">
        <v>467</v>
      </c>
      <c r="H49" t="s">
        <v>363</v>
      </c>
      <c r="I49" t="s">
        <v>154</v>
      </c>
      <c r="J49" t="s">
        <v>468</v>
      </c>
      <c r="K49" t="s">
        <v>120</v>
      </c>
      <c r="L49" t="s">
        <v>156</v>
      </c>
      <c r="M49" t="s">
        <v>365</v>
      </c>
      <c r="N49" t="s">
        <v>469</v>
      </c>
      <c r="O49" t="s">
        <v>91</v>
      </c>
      <c r="P49" t="s">
        <v>470</v>
      </c>
      <c r="Q49" t="s">
        <v>124</v>
      </c>
      <c r="R49" t="s">
        <v>94</v>
      </c>
      <c r="S49" s="14" t="s">
        <v>159</v>
      </c>
      <c r="T49" t="s">
        <v>160</v>
      </c>
      <c r="U49" t="s">
        <v>126</v>
      </c>
      <c r="V49" t="s">
        <v>471</v>
      </c>
      <c r="W49" t="s">
        <v>142</v>
      </c>
      <c r="X49" t="s">
        <v>100</v>
      </c>
      <c r="Y49" t="s">
        <v>472</v>
      </c>
    </row>
    <row r="50" spans="1:25">
      <c r="A50" t="s">
        <v>473</v>
      </c>
      <c r="B50" t="s">
        <v>463</v>
      </c>
      <c r="C50" t="s">
        <v>474</v>
      </c>
      <c r="D50" t="s">
        <v>465</v>
      </c>
      <c r="E50" t="s">
        <v>81</v>
      </c>
      <c r="F50" t="s">
        <v>475</v>
      </c>
      <c r="G50" t="s">
        <v>476</v>
      </c>
      <c r="H50" t="s">
        <v>363</v>
      </c>
      <c r="I50" t="s">
        <v>154</v>
      </c>
      <c r="J50" t="s">
        <v>468</v>
      </c>
      <c r="K50" t="s">
        <v>120</v>
      </c>
      <c r="L50" t="s">
        <v>156</v>
      </c>
      <c r="M50" t="s">
        <v>365</v>
      </c>
      <c r="N50" t="s">
        <v>477</v>
      </c>
      <c r="O50" t="s">
        <v>91</v>
      </c>
      <c r="P50" t="s">
        <v>470</v>
      </c>
      <c r="Q50" t="s">
        <v>124</v>
      </c>
      <c r="R50" t="s">
        <v>94</v>
      </c>
      <c r="S50" s="14" t="s">
        <v>159</v>
      </c>
      <c r="T50" t="s">
        <v>160</v>
      </c>
      <c r="U50" t="s">
        <v>126</v>
      </c>
      <c r="V50" t="s">
        <v>471</v>
      </c>
      <c r="W50" t="s">
        <v>142</v>
      </c>
      <c r="X50" t="s">
        <v>100</v>
      </c>
      <c r="Y50" t="s">
        <v>472</v>
      </c>
    </row>
    <row r="51" spans="1:25">
      <c r="A51" t="s">
        <v>478</v>
      </c>
      <c r="B51" t="s">
        <v>463</v>
      </c>
      <c r="C51" t="s">
        <v>479</v>
      </c>
      <c r="D51" t="s">
        <v>465</v>
      </c>
      <c r="E51" t="s">
        <v>81</v>
      </c>
      <c r="F51" t="s">
        <v>480</v>
      </c>
      <c r="G51" t="s">
        <v>481</v>
      </c>
      <c r="H51" t="s">
        <v>363</v>
      </c>
      <c r="I51" t="s">
        <v>154</v>
      </c>
      <c r="J51" t="s">
        <v>468</v>
      </c>
      <c r="K51" t="s">
        <v>120</v>
      </c>
      <c r="L51" t="s">
        <v>156</v>
      </c>
      <c r="M51" t="s">
        <v>365</v>
      </c>
      <c r="N51" t="s">
        <v>477</v>
      </c>
      <c r="O51" t="s">
        <v>91</v>
      </c>
      <c r="P51" t="s">
        <v>470</v>
      </c>
      <c r="Q51" t="s">
        <v>124</v>
      </c>
      <c r="R51" t="s">
        <v>94</v>
      </c>
      <c r="S51" s="14" t="s">
        <v>159</v>
      </c>
      <c r="T51" t="s">
        <v>160</v>
      </c>
      <c r="U51" t="s">
        <v>126</v>
      </c>
      <c r="V51" t="s">
        <v>471</v>
      </c>
      <c r="W51" t="s">
        <v>142</v>
      </c>
      <c r="X51" t="s">
        <v>100</v>
      </c>
      <c r="Y51" t="s">
        <v>472</v>
      </c>
    </row>
    <row r="52" spans="1:25">
      <c r="A52" t="s">
        <v>482</v>
      </c>
      <c r="B52" t="s">
        <v>463</v>
      </c>
      <c r="C52" t="s">
        <v>483</v>
      </c>
      <c r="D52" t="s">
        <v>465</v>
      </c>
      <c r="E52" t="s">
        <v>81</v>
      </c>
      <c r="F52" t="s">
        <v>484</v>
      </c>
      <c r="G52" t="s">
        <v>153</v>
      </c>
      <c r="H52" t="s">
        <v>132</v>
      </c>
      <c r="I52" t="s">
        <v>154</v>
      </c>
      <c r="J52" t="s">
        <v>468</v>
      </c>
      <c r="K52" t="s">
        <v>120</v>
      </c>
      <c r="L52" t="s">
        <v>156</v>
      </c>
      <c r="M52" t="s">
        <v>365</v>
      </c>
      <c r="N52" t="s">
        <v>477</v>
      </c>
      <c r="O52" t="s">
        <v>91</v>
      </c>
      <c r="P52" t="s">
        <v>470</v>
      </c>
      <c r="Q52" t="s">
        <v>124</v>
      </c>
      <c r="R52" t="s">
        <v>94</v>
      </c>
      <c r="S52" s="14" t="s">
        <v>139</v>
      </c>
      <c r="T52" t="s">
        <v>169</v>
      </c>
      <c r="U52" t="s">
        <v>126</v>
      </c>
      <c r="V52" t="s">
        <v>471</v>
      </c>
      <c r="W52" t="s">
        <v>142</v>
      </c>
      <c r="X52" t="s">
        <v>100</v>
      </c>
      <c r="Y52" t="s">
        <v>383</v>
      </c>
    </row>
    <row r="53" spans="1:25">
      <c r="A53" t="s">
        <v>485</v>
      </c>
      <c r="B53" t="s">
        <v>463</v>
      </c>
      <c r="C53" t="s">
        <v>486</v>
      </c>
      <c r="D53" t="s">
        <v>487</v>
      </c>
      <c r="E53" t="s">
        <v>81</v>
      </c>
      <c r="F53" t="s">
        <v>488</v>
      </c>
      <c r="G53" t="s">
        <v>153</v>
      </c>
      <c r="H53" t="s">
        <v>132</v>
      </c>
      <c r="I53" t="s">
        <v>154</v>
      </c>
      <c r="J53" t="s">
        <v>468</v>
      </c>
      <c r="K53" t="s">
        <v>120</v>
      </c>
      <c r="L53" t="s">
        <v>156</v>
      </c>
      <c r="M53" t="s">
        <v>365</v>
      </c>
      <c r="N53" t="s">
        <v>477</v>
      </c>
      <c r="O53" t="s">
        <v>91</v>
      </c>
      <c r="P53" t="s">
        <v>470</v>
      </c>
      <c r="Q53" t="s">
        <v>124</v>
      </c>
      <c r="R53" t="s">
        <v>94</v>
      </c>
      <c r="S53" s="14" t="s">
        <v>159</v>
      </c>
      <c r="T53" t="s">
        <v>160</v>
      </c>
      <c r="U53" t="s">
        <v>126</v>
      </c>
      <c r="V53" t="s">
        <v>471</v>
      </c>
      <c r="W53" t="s">
        <v>142</v>
      </c>
      <c r="X53" t="s">
        <v>100</v>
      </c>
      <c r="Y53" t="s">
        <v>472</v>
      </c>
    </row>
    <row r="54" spans="1:25">
      <c r="A54" t="s">
        <v>489</v>
      </c>
      <c r="B54" t="s">
        <v>463</v>
      </c>
      <c r="C54" t="s">
        <v>490</v>
      </c>
      <c r="D54" t="s">
        <v>487</v>
      </c>
      <c r="E54" t="s">
        <v>81</v>
      </c>
      <c r="F54" t="s">
        <v>491</v>
      </c>
      <c r="G54" t="s">
        <v>492</v>
      </c>
      <c r="H54" t="s">
        <v>132</v>
      </c>
      <c r="I54" t="s">
        <v>154</v>
      </c>
      <c r="J54" t="s">
        <v>468</v>
      </c>
      <c r="K54" t="s">
        <v>120</v>
      </c>
      <c r="L54" t="s">
        <v>156</v>
      </c>
      <c r="M54" t="s">
        <v>365</v>
      </c>
      <c r="N54" t="s">
        <v>477</v>
      </c>
      <c r="O54" t="s">
        <v>91</v>
      </c>
      <c r="P54" t="s">
        <v>470</v>
      </c>
      <c r="Q54" t="s">
        <v>124</v>
      </c>
      <c r="R54" t="s">
        <v>94</v>
      </c>
      <c r="S54" s="14" t="s">
        <v>159</v>
      </c>
      <c r="T54" t="s">
        <v>160</v>
      </c>
      <c r="U54" t="s">
        <v>126</v>
      </c>
      <c r="V54" t="s">
        <v>471</v>
      </c>
      <c r="W54" t="s">
        <v>142</v>
      </c>
      <c r="X54" t="s">
        <v>100</v>
      </c>
      <c r="Y54" t="s">
        <v>472</v>
      </c>
    </row>
    <row r="55" spans="1:25">
      <c r="A55" t="s">
        <v>493</v>
      </c>
      <c r="B55" t="s">
        <v>463</v>
      </c>
      <c r="C55" t="s">
        <v>494</v>
      </c>
      <c r="D55" t="s">
        <v>487</v>
      </c>
      <c r="E55" t="s">
        <v>81</v>
      </c>
      <c r="F55" t="s">
        <v>495</v>
      </c>
      <c r="G55" s="7" t="s">
        <v>496</v>
      </c>
      <c r="H55" t="s">
        <v>132</v>
      </c>
      <c r="I55" t="s">
        <v>154</v>
      </c>
      <c r="J55" t="s">
        <v>468</v>
      </c>
      <c r="K55" t="s">
        <v>120</v>
      </c>
      <c r="L55" t="s">
        <v>156</v>
      </c>
      <c r="M55" t="s">
        <v>365</v>
      </c>
      <c r="N55" t="s">
        <v>477</v>
      </c>
      <c r="O55" t="s">
        <v>91</v>
      </c>
      <c r="P55" t="s">
        <v>470</v>
      </c>
      <c r="Q55" t="s">
        <v>124</v>
      </c>
      <c r="R55" t="s">
        <v>94</v>
      </c>
      <c r="S55" s="14" t="s">
        <v>139</v>
      </c>
      <c r="T55" t="s">
        <v>169</v>
      </c>
      <c r="U55" t="s">
        <v>126</v>
      </c>
      <c r="V55" t="s">
        <v>471</v>
      </c>
      <c r="W55" t="s">
        <v>142</v>
      </c>
      <c r="X55" t="s">
        <v>184</v>
      </c>
      <c r="Y55" t="s">
        <v>286</v>
      </c>
    </row>
    <row r="56" spans="1:25" s="7" customFormat="1">
      <c r="A56" s="7" t="s">
        <v>497</v>
      </c>
      <c r="B56" s="7" t="s">
        <v>78</v>
      </c>
      <c r="C56" s="7" t="s">
        <v>498</v>
      </c>
      <c r="D56" s="7" t="s">
        <v>499</v>
      </c>
      <c r="E56" s="7" t="s">
        <v>81</v>
      </c>
      <c r="F56" s="7" t="s">
        <v>500</v>
      </c>
      <c r="H56" s="7" t="s">
        <v>84</v>
      </c>
      <c r="I56" s="7" t="s">
        <v>154</v>
      </c>
      <c r="J56" s="7" t="s">
        <v>189</v>
      </c>
      <c r="K56" s="7" t="s">
        <v>190</v>
      </c>
      <c r="L56" s="7" t="s">
        <v>191</v>
      </c>
      <c r="M56" s="7" t="s">
        <v>501</v>
      </c>
      <c r="N56" s="7" t="s">
        <v>502</v>
      </c>
      <c r="O56" s="7" t="s">
        <v>91</v>
      </c>
      <c r="P56" s="7" t="s">
        <v>503</v>
      </c>
      <c r="Q56" s="7" t="s">
        <v>194</v>
      </c>
      <c r="R56" s="7" t="s">
        <v>94</v>
      </c>
      <c r="S56" s="15" t="s">
        <v>159</v>
      </c>
      <c r="T56" s="7" t="s">
        <v>504</v>
      </c>
      <c r="U56" s="7" t="s">
        <v>196</v>
      </c>
      <c r="V56" s="7" t="s">
        <v>471</v>
      </c>
      <c r="W56" s="7" t="s">
        <v>99</v>
      </c>
      <c r="X56" s="7" t="s">
        <v>100</v>
      </c>
      <c r="Y56" s="7" t="s">
        <v>505</v>
      </c>
    </row>
    <row r="57" spans="1:25" s="7" customFormat="1">
      <c r="A57" s="7" t="s">
        <v>506</v>
      </c>
      <c r="B57" s="7" t="s">
        <v>463</v>
      </c>
      <c r="C57" s="7" t="s">
        <v>507</v>
      </c>
      <c r="D57" s="7" t="s">
        <v>508</v>
      </c>
      <c r="E57" s="7" t="s">
        <v>81</v>
      </c>
      <c r="F57" s="7" t="s">
        <v>509</v>
      </c>
      <c r="G57" s="7" t="s">
        <v>510</v>
      </c>
      <c r="H57" s="7" t="s">
        <v>84</v>
      </c>
      <c r="I57" s="7" t="s">
        <v>154</v>
      </c>
      <c r="J57" s="7" t="s">
        <v>189</v>
      </c>
      <c r="K57" s="7" t="s">
        <v>511</v>
      </c>
      <c r="L57" s="7" t="s">
        <v>512</v>
      </c>
      <c r="M57" s="7" t="s">
        <v>513</v>
      </c>
      <c r="N57" s="7" t="s">
        <v>514</v>
      </c>
      <c r="O57" s="7" t="s">
        <v>91</v>
      </c>
      <c r="P57" s="7" t="s">
        <v>503</v>
      </c>
      <c r="Q57" s="7" t="s">
        <v>515</v>
      </c>
      <c r="R57" s="7" t="s">
        <v>94</v>
      </c>
      <c r="S57" s="15" t="s">
        <v>159</v>
      </c>
      <c r="T57" s="7" t="s">
        <v>516</v>
      </c>
      <c r="U57" s="7" t="s">
        <v>517</v>
      </c>
      <c r="V57" s="7" t="s">
        <v>471</v>
      </c>
      <c r="W57" s="7" t="s">
        <v>99</v>
      </c>
      <c r="X57" s="7" t="s">
        <v>100</v>
      </c>
      <c r="Y57" s="7" t="s">
        <v>505</v>
      </c>
    </row>
    <row r="58" spans="1:25" s="7" customFormat="1">
      <c r="A58" s="7" t="s">
        <v>518</v>
      </c>
      <c r="B58" s="7" t="s">
        <v>463</v>
      </c>
      <c r="C58" s="7" t="s">
        <v>519</v>
      </c>
      <c r="D58" s="7" t="s">
        <v>520</v>
      </c>
      <c r="E58" s="7" t="s">
        <v>81</v>
      </c>
      <c r="F58" s="7" t="s">
        <v>521</v>
      </c>
      <c r="G58" s="7" t="s">
        <v>522</v>
      </c>
      <c r="H58" s="7" t="s">
        <v>84</v>
      </c>
      <c r="I58" s="7" t="s">
        <v>154</v>
      </c>
      <c r="J58" s="7" t="s">
        <v>189</v>
      </c>
      <c r="K58" s="7" t="s">
        <v>190</v>
      </c>
      <c r="L58" s="7" t="s">
        <v>191</v>
      </c>
      <c r="M58" s="7" t="s">
        <v>192</v>
      </c>
      <c r="N58" s="7" t="s">
        <v>523</v>
      </c>
      <c r="O58" s="7" t="s">
        <v>91</v>
      </c>
      <c r="P58" s="7" t="s">
        <v>503</v>
      </c>
      <c r="Q58" s="7" t="s">
        <v>194</v>
      </c>
      <c r="R58" s="7" t="s">
        <v>94</v>
      </c>
      <c r="S58" s="15" t="s">
        <v>139</v>
      </c>
      <c r="T58" s="7" t="s">
        <v>195</v>
      </c>
      <c r="U58" s="7" t="s">
        <v>196</v>
      </c>
      <c r="V58" s="7" t="s">
        <v>471</v>
      </c>
      <c r="W58" s="7" t="s">
        <v>142</v>
      </c>
      <c r="X58" s="7" t="s">
        <v>100</v>
      </c>
      <c r="Y58" s="7" t="s">
        <v>505</v>
      </c>
    </row>
    <row r="59" spans="1:25">
      <c r="A59" t="s">
        <v>524</v>
      </c>
      <c r="B59" t="s">
        <v>463</v>
      </c>
      <c r="C59" t="s">
        <v>525</v>
      </c>
      <c r="D59" t="s">
        <v>526</v>
      </c>
      <c r="E59" t="s">
        <v>81</v>
      </c>
      <c r="F59" t="s">
        <v>527</v>
      </c>
      <c r="G59" t="s">
        <v>528</v>
      </c>
      <c r="H59" t="s">
        <v>84</v>
      </c>
      <c r="I59" t="s">
        <v>154</v>
      </c>
      <c r="J59" t="s">
        <v>189</v>
      </c>
      <c r="K59" t="s">
        <v>274</v>
      </c>
      <c r="L59" t="s">
        <v>529</v>
      </c>
      <c r="M59" t="s">
        <v>530</v>
      </c>
      <c r="N59" t="s">
        <v>519</v>
      </c>
      <c r="O59" t="s">
        <v>91</v>
      </c>
      <c r="P59" t="s">
        <v>503</v>
      </c>
      <c r="Q59" t="s">
        <v>278</v>
      </c>
      <c r="R59" t="s">
        <v>94</v>
      </c>
      <c r="S59" s="14" t="s">
        <v>139</v>
      </c>
      <c r="T59" t="s">
        <v>169</v>
      </c>
      <c r="U59" t="s">
        <v>279</v>
      </c>
      <c r="V59" t="s">
        <v>471</v>
      </c>
      <c r="W59" t="s">
        <v>142</v>
      </c>
      <c r="X59" t="s">
        <v>184</v>
      </c>
      <c r="Y59" t="s">
        <v>286</v>
      </c>
    </row>
    <row r="60" spans="1:25">
      <c r="A60" t="s">
        <v>531</v>
      </c>
      <c r="B60" t="s">
        <v>532</v>
      </c>
      <c r="C60" t="s">
        <v>198</v>
      </c>
      <c r="D60" t="s">
        <v>533</v>
      </c>
      <c r="E60" t="s">
        <v>81</v>
      </c>
      <c r="F60" t="s">
        <v>534</v>
      </c>
      <c r="G60" t="s">
        <v>201</v>
      </c>
      <c r="H60" t="s">
        <v>84</v>
      </c>
      <c r="I60" t="s">
        <v>16</v>
      </c>
      <c r="J60" t="s">
        <v>535</v>
      </c>
      <c r="K60" t="s">
        <v>240</v>
      </c>
      <c r="L60" t="s">
        <v>536</v>
      </c>
      <c r="M60" t="s">
        <v>537</v>
      </c>
      <c r="N60" t="s">
        <v>538</v>
      </c>
      <c r="O60" t="s">
        <v>91</v>
      </c>
      <c r="P60" t="s">
        <v>207</v>
      </c>
      <c r="Q60" t="s">
        <v>245</v>
      </c>
      <c r="R60" t="s">
        <v>94</v>
      </c>
      <c r="S60" s="14" t="s">
        <v>159</v>
      </c>
      <c r="T60" t="s">
        <v>539</v>
      </c>
      <c r="U60" t="s">
        <v>247</v>
      </c>
      <c r="V60" t="s">
        <v>540</v>
      </c>
      <c r="W60" t="s">
        <v>142</v>
      </c>
      <c r="X60" t="s">
        <v>100</v>
      </c>
      <c r="Y60" t="s">
        <v>541</v>
      </c>
    </row>
    <row r="61" spans="1:25">
      <c r="A61" t="s">
        <v>542</v>
      </c>
      <c r="B61" t="s">
        <v>532</v>
      </c>
      <c r="C61" t="s">
        <v>543</v>
      </c>
      <c r="D61" t="s">
        <v>533</v>
      </c>
      <c r="E61" t="s">
        <v>81</v>
      </c>
      <c r="F61" t="s">
        <v>544</v>
      </c>
      <c r="G61" t="s">
        <v>545</v>
      </c>
      <c r="H61" t="s">
        <v>84</v>
      </c>
      <c r="I61" t="s">
        <v>16</v>
      </c>
      <c r="J61" t="s">
        <v>546</v>
      </c>
      <c r="K61" t="s">
        <v>240</v>
      </c>
      <c r="L61" t="s">
        <v>536</v>
      </c>
      <c r="M61" t="s">
        <v>547</v>
      </c>
      <c r="N61" t="s">
        <v>548</v>
      </c>
      <c r="O61" t="s">
        <v>91</v>
      </c>
      <c r="P61" t="s">
        <v>207</v>
      </c>
      <c r="Q61" t="s">
        <v>245</v>
      </c>
      <c r="R61" t="s">
        <v>94</v>
      </c>
      <c r="S61" s="14" t="s">
        <v>159</v>
      </c>
      <c r="T61" t="s">
        <v>539</v>
      </c>
      <c r="U61" t="s">
        <v>247</v>
      </c>
      <c r="V61" t="s">
        <v>540</v>
      </c>
      <c r="W61" t="s">
        <v>142</v>
      </c>
      <c r="X61" t="s">
        <v>100</v>
      </c>
      <c r="Y61" t="s">
        <v>541</v>
      </c>
    </row>
    <row r="62" spans="1:25">
      <c r="A62" t="s">
        <v>549</v>
      </c>
      <c r="B62" t="s">
        <v>532</v>
      </c>
      <c r="C62" t="s">
        <v>236</v>
      </c>
      <c r="D62" t="s">
        <v>533</v>
      </c>
      <c r="E62" t="s">
        <v>81</v>
      </c>
      <c r="F62" t="s">
        <v>550</v>
      </c>
      <c r="G62" t="s">
        <v>551</v>
      </c>
      <c r="H62" t="s">
        <v>84</v>
      </c>
      <c r="I62" t="s">
        <v>16</v>
      </c>
      <c r="J62" t="s">
        <v>546</v>
      </c>
      <c r="K62" t="s">
        <v>240</v>
      </c>
      <c r="L62" t="s">
        <v>536</v>
      </c>
      <c r="M62" t="s">
        <v>547</v>
      </c>
      <c r="N62" t="s">
        <v>548</v>
      </c>
      <c r="O62" t="s">
        <v>91</v>
      </c>
      <c r="P62" t="s">
        <v>207</v>
      </c>
      <c r="Q62" t="s">
        <v>245</v>
      </c>
      <c r="R62" t="s">
        <v>94</v>
      </c>
      <c r="S62" s="14" t="s">
        <v>159</v>
      </c>
      <c r="T62" t="s">
        <v>539</v>
      </c>
      <c r="U62" t="s">
        <v>247</v>
      </c>
      <c r="V62" t="s">
        <v>540</v>
      </c>
      <c r="W62" t="s">
        <v>142</v>
      </c>
      <c r="X62" t="s">
        <v>100</v>
      </c>
      <c r="Y62" t="s">
        <v>541</v>
      </c>
    </row>
    <row r="63" spans="1:25">
      <c r="A63" t="s">
        <v>552</v>
      </c>
      <c r="B63" t="s">
        <v>532</v>
      </c>
      <c r="C63" t="s">
        <v>553</v>
      </c>
      <c r="D63" t="s">
        <v>533</v>
      </c>
      <c r="E63" t="s">
        <v>81</v>
      </c>
      <c r="F63" t="s">
        <v>554</v>
      </c>
      <c r="G63" t="s">
        <v>555</v>
      </c>
      <c r="H63" t="s">
        <v>84</v>
      </c>
      <c r="I63" t="s">
        <v>16</v>
      </c>
      <c r="J63" t="s">
        <v>556</v>
      </c>
      <c r="K63" t="s">
        <v>240</v>
      </c>
      <c r="L63" t="s">
        <v>536</v>
      </c>
      <c r="M63" t="s">
        <v>547</v>
      </c>
      <c r="N63" t="s">
        <v>548</v>
      </c>
      <c r="O63" t="s">
        <v>91</v>
      </c>
      <c r="P63" t="s">
        <v>207</v>
      </c>
      <c r="Q63" t="s">
        <v>245</v>
      </c>
      <c r="R63" t="s">
        <v>94</v>
      </c>
      <c r="S63" s="14" t="s">
        <v>139</v>
      </c>
      <c r="T63" t="s">
        <v>557</v>
      </c>
      <c r="U63" t="s">
        <v>247</v>
      </c>
      <c r="V63" t="s">
        <v>540</v>
      </c>
      <c r="W63" t="s">
        <v>142</v>
      </c>
      <c r="X63" t="s">
        <v>100</v>
      </c>
      <c r="Y63" t="s">
        <v>383</v>
      </c>
    </row>
    <row r="64" spans="1:25">
      <c r="A64" t="s">
        <v>558</v>
      </c>
      <c r="B64" t="s">
        <v>532</v>
      </c>
      <c r="C64" t="s">
        <v>559</v>
      </c>
      <c r="D64" t="s">
        <v>560</v>
      </c>
      <c r="E64" t="s">
        <v>81</v>
      </c>
      <c r="F64" t="s">
        <v>561</v>
      </c>
      <c r="G64" t="s">
        <v>562</v>
      </c>
      <c r="H64" t="s">
        <v>84</v>
      </c>
      <c r="I64" t="s">
        <v>154</v>
      </c>
      <c r="J64" t="s">
        <v>563</v>
      </c>
      <c r="K64" t="s">
        <v>240</v>
      </c>
      <c r="L64" t="s">
        <v>536</v>
      </c>
      <c r="M64" t="s">
        <v>547</v>
      </c>
      <c r="N64" t="s">
        <v>548</v>
      </c>
      <c r="O64" t="s">
        <v>91</v>
      </c>
      <c r="P64" t="s">
        <v>244</v>
      </c>
      <c r="Q64" t="s">
        <v>245</v>
      </c>
      <c r="R64" t="s">
        <v>94</v>
      </c>
      <c r="S64" s="14" t="s">
        <v>139</v>
      </c>
      <c r="T64" t="s">
        <v>557</v>
      </c>
      <c r="U64" t="s">
        <v>247</v>
      </c>
      <c r="V64" t="s">
        <v>540</v>
      </c>
      <c r="W64" t="s">
        <v>142</v>
      </c>
      <c r="X64" t="s">
        <v>100</v>
      </c>
      <c r="Y64" t="s">
        <v>383</v>
      </c>
    </row>
    <row r="65" spans="1:25">
      <c r="A65" t="s">
        <v>564</v>
      </c>
      <c r="B65" t="s">
        <v>532</v>
      </c>
      <c r="C65" t="s">
        <v>565</v>
      </c>
      <c r="D65" t="s">
        <v>560</v>
      </c>
      <c r="E65" t="s">
        <v>81</v>
      </c>
      <c r="F65" t="s">
        <v>566</v>
      </c>
      <c r="G65" t="s">
        <v>567</v>
      </c>
      <c r="H65" t="s">
        <v>84</v>
      </c>
      <c r="I65" t="s">
        <v>154</v>
      </c>
      <c r="J65" t="s">
        <v>563</v>
      </c>
      <c r="K65" t="s">
        <v>240</v>
      </c>
      <c r="L65" t="s">
        <v>536</v>
      </c>
      <c r="M65" t="s">
        <v>547</v>
      </c>
      <c r="N65" t="s">
        <v>548</v>
      </c>
      <c r="O65" t="s">
        <v>91</v>
      </c>
      <c r="P65" t="s">
        <v>244</v>
      </c>
      <c r="Q65" t="s">
        <v>245</v>
      </c>
      <c r="R65" t="s">
        <v>94</v>
      </c>
      <c r="S65" s="14" t="s">
        <v>139</v>
      </c>
      <c r="T65" t="s">
        <v>557</v>
      </c>
      <c r="U65" t="s">
        <v>247</v>
      </c>
      <c r="V65" t="s">
        <v>540</v>
      </c>
      <c r="W65" t="s">
        <v>142</v>
      </c>
      <c r="X65" t="s">
        <v>100</v>
      </c>
      <c r="Y65" t="s">
        <v>541</v>
      </c>
    </row>
    <row r="66" spans="1:25">
      <c r="A66" t="s">
        <v>568</v>
      </c>
      <c r="B66" t="s">
        <v>532</v>
      </c>
      <c r="C66" t="s">
        <v>236</v>
      </c>
      <c r="D66" t="s">
        <v>560</v>
      </c>
      <c r="E66" t="s">
        <v>81</v>
      </c>
      <c r="F66" t="s">
        <v>569</v>
      </c>
      <c r="G66" t="s">
        <v>551</v>
      </c>
      <c r="H66" t="s">
        <v>84</v>
      </c>
      <c r="I66" t="s">
        <v>154</v>
      </c>
      <c r="J66" t="s">
        <v>563</v>
      </c>
      <c r="K66" t="s">
        <v>240</v>
      </c>
      <c r="L66" t="s">
        <v>536</v>
      </c>
      <c r="M66" t="s">
        <v>570</v>
      </c>
      <c r="N66" t="s">
        <v>571</v>
      </c>
      <c r="O66" t="s">
        <v>91</v>
      </c>
      <c r="P66" t="s">
        <v>244</v>
      </c>
      <c r="Q66" t="s">
        <v>245</v>
      </c>
      <c r="R66" t="s">
        <v>94</v>
      </c>
      <c r="S66" s="14" t="s">
        <v>139</v>
      </c>
      <c r="T66" t="s">
        <v>557</v>
      </c>
      <c r="U66" t="s">
        <v>247</v>
      </c>
      <c r="V66" t="s">
        <v>540</v>
      </c>
      <c r="W66" t="s">
        <v>142</v>
      </c>
      <c r="X66" t="s">
        <v>184</v>
      </c>
      <c r="Y66" t="s">
        <v>286</v>
      </c>
    </row>
    <row r="67" spans="1:25">
      <c r="A67" t="s">
        <v>572</v>
      </c>
      <c r="B67" t="s">
        <v>532</v>
      </c>
      <c r="C67" t="s">
        <v>573</v>
      </c>
      <c r="D67" t="s">
        <v>574</v>
      </c>
      <c r="E67" t="s">
        <v>81</v>
      </c>
      <c r="F67" t="s">
        <v>575</v>
      </c>
      <c r="G67" t="s">
        <v>467</v>
      </c>
      <c r="H67" t="s">
        <v>363</v>
      </c>
      <c r="I67" t="s">
        <v>214</v>
      </c>
      <c r="J67" t="s">
        <v>576</v>
      </c>
      <c r="K67" t="s">
        <v>577</v>
      </c>
      <c r="L67" t="s">
        <v>578</v>
      </c>
      <c r="M67" t="s">
        <v>579</v>
      </c>
      <c r="N67" t="s">
        <v>580</v>
      </c>
      <c r="O67" t="s">
        <v>91</v>
      </c>
      <c r="P67" t="s">
        <v>244</v>
      </c>
      <c r="R67" t="s">
        <v>94</v>
      </c>
      <c r="S67" s="14" t="s">
        <v>159</v>
      </c>
      <c r="T67" t="s">
        <v>581</v>
      </c>
      <c r="V67" t="s">
        <v>540</v>
      </c>
      <c r="W67" t="s">
        <v>99</v>
      </c>
      <c r="X67" t="s">
        <v>100</v>
      </c>
      <c r="Y67" t="s">
        <v>334</v>
      </c>
    </row>
    <row r="68" spans="1:25">
      <c r="A68" t="s">
        <v>582</v>
      </c>
      <c r="B68" t="s">
        <v>532</v>
      </c>
      <c r="C68" t="s">
        <v>583</v>
      </c>
      <c r="D68" t="s">
        <v>574</v>
      </c>
      <c r="E68" t="s">
        <v>81</v>
      </c>
      <c r="F68" t="s">
        <v>584</v>
      </c>
      <c r="G68" t="s">
        <v>585</v>
      </c>
      <c r="H68" t="s">
        <v>363</v>
      </c>
      <c r="I68" t="s">
        <v>214</v>
      </c>
      <c r="J68" t="s">
        <v>586</v>
      </c>
      <c r="K68" t="s">
        <v>577</v>
      </c>
      <c r="L68" t="s">
        <v>578</v>
      </c>
      <c r="M68" t="s">
        <v>587</v>
      </c>
      <c r="N68" t="s">
        <v>588</v>
      </c>
      <c r="O68" t="s">
        <v>91</v>
      </c>
      <c r="P68" t="s">
        <v>244</v>
      </c>
      <c r="R68" t="s">
        <v>94</v>
      </c>
      <c r="S68" s="14" t="s">
        <v>159</v>
      </c>
      <c r="T68" t="s">
        <v>581</v>
      </c>
      <c r="V68" t="s">
        <v>540</v>
      </c>
      <c r="W68" t="s">
        <v>99</v>
      </c>
      <c r="X68" t="s">
        <v>100</v>
      </c>
      <c r="Y68" t="s">
        <v>334</v>
      </c>
    </row>
    <row r="69" spans="1:25">
      <c r="A69" t="s">
        <v>589</v>
      </c>
      <c r="B69" t="s">
        <v>532</v>
      </c>
      <c r="C69" t="s">
        <v>198</v>
      </c>
      <c r="D69" t="s">
        <v>574</v>
      </c>
      <c r="E69" t="s">
        <v>81</v>
      </c>
      <c r="F69" t="s">
        <v>590</v>
      </c>
      <c r="G69" t="s">
        <v>591</v>
      </c>
      <c r="H69" t="s">
        <v>84</v>
      </c>
      <c r="I69" t="s">
        <v>214</v>
      </c>
      <c r="J69" t="s">
        <v>586</v>
      </c>
      <c r="K69" t="s">
        <v>577</v>
      </c>
      <c r="L69" t="s">
        <v>578</v>
      </c>
      <c r="M69" t="s">
        <v>587</v>
      </c>
      <c r="N69" t="s">
        <v>588</v>
      </c>
      <c r="O69" t="s">
        <v>91</v>
      </c>
      <c r="P69" t="s">
        <v>244</v>
      </c>
      <c r="R69" t="s">
        <v>94</v>
      </c>
      <c r="S69" s="14" t="s">
        <v>159</v>
      </c>
      <c r="T69" t="s">
        <v>581</v>
      </c>
      <c r="V69" t="s">
        <v>540</v>
      </c>
      <c r="W69" t="s">
        <v>142</v>
      </c>
      <c r="X69" t="s">
        <v>184</v>
      </c>
      <c r="Y69" t="s">
        <v>431</v>
      </c>
    </row>
    <row r="70" spans="1:25">
      <c r="A70" t="s">
        <v>592</v>
      </c>
      <c r="B70" t="s">
        <v>532</v>
      </c>
      <c r="C70" t="s">
        <v>593</v>
      </c>
      <c r="D70" t="s">
        <v>594</v>
      </c>
      <c r="E70" t="s">
        <v>81</v>
      </c>
      <c r="F70" t="s">
        <v>595</v>
      </c>
      <c r="G70" t="s">
        <v>596</v>
      </c>
      <c r="H70" t="s">
        <v>363</v>
      </c>
      <c r="I70" t="s">
        <v>214</v>
      </c>
      <c r="J70" t="s">
        <v>597</v>
      </c>
      <c r="K70" t="s">
        <v>577</v>
      </c>
      <c r="L70" t="s">
        <v>578</v>
      </c>
      <c r="M70" t="s">
        <v>579</v>
      </c>
      <c r="N70" t="s">
        <v>598</v>
      </c>
      <c r="O70" t="s">
        <v>91</v>
      </c>
      <c r="P70" t="s">
        <v>367</v>
      </c>
      <c r="R70" t="s">
        <v>94</v>
      </c>
      <c r="S70" s="14" t="s">
        <v>159</v>
      </c>
      <c r="T70" t="s">
        <v>581</v>
      </c>
      <c r="V70" t="s">
        <v>540</v>
      </c>
      <c r="W70" t="s">
        <v>142</v>
      </c>
      <c r="X70" t="s">
        <v>184</v>
      </c>
      <c r="Y70" t="s">
        <v>431</v>
      </c>
    </row>
    <row r="71" spans="1:25">
      <c r="A71" t="s">
        <v>599</v>
      </c>
      <c r="B71" t="s">
        <v>532</v>
      </c>
      <c r="C71" t="s">
        <v>600</v>
      </c>
      <c r="D71" t="s">
        <v>594</v>
      </c>
      <c r="E71" t="s">
        <v>81</v>
      </c>
      <c r="F71" t="s">
        <v>601</v>
      </c>
      <c r="G71" t="s">
        <v>602</v>
      </c>
      <c r="H71" t="s">
        <v>363</v>
      </c>
      <c r="I71" t="s">
        <v>214</v>
      </c>
      <c r="J71" t="s">
        <v>586</v>
      </c>
      <c r="K71" t="s">
        <v>603</v>
      </c>
      <c r="L71" t="s">
        <v>604</v>
      </c>
      <c r="M71" t="s">
        <v>605</v>
      </c>
      <c r="N71" t="s">
        <v>606</v>
      </c>
      <c r="O71" t="s">
        <v>91</v>
      </c>
      <c r="P71" t="s">
        <v>367</v>
      </c>
      <c r="Q71" t="s">
        <v>607</v>
      </c>
      <c r="R71" t="s">
        <v>94</v>
      </c>
      <c r="S71" s="14" t="s">
        <v>159</v>
      </c>
      <c r="T71" t="s">
        <v>608</v>
      </c>
      <c r="U71" t="s">
        <v>609</v>
      </c>
      <c r="V71" t="s">
        <v>610</v>
      </c>
      <c r="W71" t="s">
        <v>142</v>
      </c>
      <c r="X71" t="s">
        <v>100</v>
      </c>
      <c r="Y71" t="s">
        <v>611</v>
      </c>
    </row>
    <row r="72" spans="1:25">
      <c r="A72" t="s">
        <v>612</v>
      </c>
      <c r="B72" t="s">
        <v>532</v>
      </c>
      <c r="C72" t="s">
        <v>613</v>
      </c>
      <c r="D72" t="s">
        <v>594</v>
      </c>
      <c r="E72" t="s">
        <v>81</v>
      </c>
      <c r="F72" t="s">
        <v>614</v>
      </c>
      <c r="G72" t="s">
        <v>615</v>
      </c>
      <c r="H72" t="s">
        <v>363</v>
      </c>
      <c r="I72" t="s">
        <v>214</v>
      </c>
      <c r="J72" t="s">
        <v>616</v>
      </c>
      <c r="K72" t="s">
        <v>254</v>
      </c>
      <c r="L72" t="s">
        <v>255</v>
      </c>
      <c r="M72" t="s">
        <v>365</v>
      </c>
      <c r="N72" t="s">
        <v>374</v>
      </c>
      <c r="O72" t="s">
        <v>91</v>
      </c>
      <c r="P72" t="s">
        <v>367</v>
      </c>
      <c r="Q72" t="s">
        <v>259</v>
      </c>
      <c r="R72" t="s">
        <v>94</v>
      </c>
      <c r="S72" s="14" t="s">
        <v>159</v>
      </c>
      <c r="T72" t="s">
        <v>260</v>
      </c>
      <c r="U72" t="s">
        <v>261</v>
      </c>
      <c r="V72" t="s">
        <v>610</v>
      </c>
      <c r="W72" t="s">
        <v>142</v>
      </c>
      <c r="X72" t="s">
        <v>100</v>
      </c>
      <c r="Y72" t="s">
        <v>611</v>
      </c>
    </row>
    <row r="73" spans="1:25">
      <c r="A73" t="s">
        <v>617</v>
      </c>
      <c r="B73" t="s">
        <v>532</v>
      </c>
      <c r="C73" t="s">
        <v>211</v>
      </c>
      <c r="D73" t="s">
        <v>594</v>
      </c>
      <c r="E73" t="s">
        <v>81</v>
      </c>
      <c r="F73" t="s">
        <v>618</v>
      </c>
      <c r="G73" t="s">
        <v>619</v>
      </c>
      <c r="H73" t="s">
        <v>84</v>
      </c>
      <c r="I73" t="s">
        <v>214</v>
      </c>
      <c r="J73" t="s">
        <v>620</v>
      </c>
      <c r="K73" t="s">
        <v>254</v>
      </c>
      <c r="L73" t="s">
        <v>255</v>
      </c>
      <c r="M73" t="s">
        <v>365</v>
      </c>
      <c r="N73" t="s">
        <v>374</v>
      </c>
      <c r="O73" t="s">
        <v>91</v>
      </c>
      <c r="P73" t="s">
        <v>367</v>
      </c>
      <c r="Q73" t="s">
        <v>259</v>
      </c>
      <c r="R73" t="s">
        <v>94</v>
      </c>
      <c r="S73" s="14" t="s">
        <v>159</v>
      </c>
      <c r="T73" t="s">
        <v>260</v>
      </c>
      <c r="U73" t="s">
        <v>261</v>
      </c>
      <c r="V73" t="s">
        <v>610</v>
      </c>
      <c r="W73" t="s">
        <v>142</v>
      </c>
      <c r="X73" t="s">
        <v>100</v>
      </c>
      <c r="Y73" t="s">
        <v>611</v>
      </c>
    </row>
    <row r="74" spans="1:25">
      <c r="A74" t="s">
        <v>621</v>
      </c>
      <c r="B74" t="s">
        <v>532</v>
      </c>
      <c r="C74" t="s">
        <v>622</v>
      </c>
      <c r="D74" t="s">
        <v>623</v>
      </c>
      <c r="E74" t="s">
        <v>81</v>
      </c>
      <c r="F74" t="s">
        <v>624</v>
      </c>
      <c r="G74" t="s">
        <v>625</v>
      </c>
      <c r="H74" t="s">
        <v>363</v>
      </c>
      <c r="I74" t="s">
        <v>226</v>
      </c>
      <c r="J74" t="s">
        <v>626</v>
      </c>
      <c r="K74" t="s">
        <v>254</v>
      </c>
      <c r="L74" t="s">
        <v>255</v>
      </c>
      <c r="M74" t="s">
        <v>365</v>
      </c>
      <c r="N74" t="s">
        <v>374</v>
      </c>
      <c r="O74" t="s">
        <v>91</v>
      </c>
      <c r="P74" t="s">
        <v>367</v>
      </c>
      <c r="Q74" t="s">
        <v>259</v>
      </c>
      <c r="R74" t="s">
        <v>94</v>
      </c>
      <c r="S74" s="14" t="s">
        <v>139</v>
      </c>
      <c r="T74" t="s">
        <v>269</v>
      </c>
      <c r="U74" t="s">
        <v>261</v>
      </c>
      <c r="V74" t="s">
        <v>610</v>
      </c>
      <c r="W74" t="s">
        <v>142</v>
      </c>
      <c r="X74" t="s">
        <v>100</v>
      </c>
      <c r="Y74" t="s">
        <v>383</v>
      </c>
    </row>
    <row r="75" spans="1:25">
      <c r="A75" t="s">
        <v>627</v>
      </c>
      <c r="B75" t="s">
        <v>532</v>
      </c>
      <c r="C75" t="s">
        <v>628</v>
      </c>
      <c r="D75" t="s">
        <v>623</v>
      </c>
      <c r="E75" t="s">
        <v>81</v>
      </c>
      <c r="F75" t="s">
        <v>629</v>
      </c>
      <c r="G75" s="7" t="s">
        <v>630</v>
      </c>
      <c r="H75" t="s">
        <v>84</v>
      </c>
      <c r="I75" t="s">
        <v>226</v>
      </c>
      <c r="J75" t="s">
        <v>626</v>
      </c>
      <c r="K75" t="s">
        <v>254</v>
      </c>
      <c r="L75" t="s">
        <v>255</v>
      </c>
      <c r="M75" t="s">
        <v>365</v>
      </c>
      <c r="N75" t="s">
        <v>374</v>
      </c>
      <c r="O75" t="s">
        <v>91</v>
      </c>
      <c r="P75" t="s">
        <v>367</v>
      </c>
      <c r="Q75" t="s">
        <v>259</v>
      </c>
      <c r="R75" t="s">
        <v>94</v>
      </c>
      <c r="S75" s="14" t="s">
        <v>139</v>
      </c>
      <c r="T75" t="s">
        <v>269</v>
      </c>
      <c r="U75" t="s">
        <v>261</v>
      </c>
      <c r="V75" t="s">
        <v>610</v>
      </c>
      <c r="W75" t="s">
        <v>142</v>
      </c>
      <c r="X75" t="s">
        <v>184</v>
      </c>
      <c r="Y75" t="s">
        <v>286</v>
      </c>
    </row>
    <row r="76" spans="1:25">
      <c r="A76" t="s">
        <v>631</v>
      </c>
      <c r="B76" t="s">
        <v>532</v>
      </c>
      <c r="C76" t="s">
        <v>632</v>
      </c>
      <c r="D76" t="s">
        <v>623</v>
      </c>
      <c r="E76" t="s">
        <v>81</v>
      </c>
      <c r="F76" t="s">
        <v>633</v>
      </c>
      <c r="G76" t="s">
        <v>634</v>
      </c>
      <c r="H76" t="s">
        <v>363</v>
      </c>
      <c r="I76" t="s">
        <v>226</v>
      </c>
      <c r="J76" t="s">
        <v>626</v>
      </c>
      <c r="K76" t="s">
        <v>216</v>
      </c>
      <c r="L76" t="s">
        <v>217</v>
      </c>
      <c r="M76" t="s">
        <v>570</v>
      </c>
      <c r="N76" t="s">
        <v>571</v>
      </c>
      <c r="O76" t="s">
        <v>91</v>
      </c>
      <c r="P76" t="s">
        <v>367</v>
      </c>
      <c r="R76" t="s">
        <v>94</v>
      </c>
      <c r="S76" s="14" t="s">
        <v>159</v>
      </c>
      <c r="T76" t="s">
        <v>635</v>
      </c>
      <c r="V76" t="s">
        <v>610</v>
      </c>
      <c r="W76" t="s">
        <v>142</v>
      </c>
      <c r="X76" t="s">
        <v>100</v>
      </c>
      <c r="Y76" t="s">
        <v>611</v>
      </c>
    </row>
    <row r="77" spans="1:25">
      <c r="A77" t="s">
        <v>636</v>
      </c>
      <c r="B77" t="s">
        <v>532</v>
      </c>
      <c r="C77" t="s">
        <v>637</v>
      </c>
      <c r="D77" t="s">
        <v>623</v>
      </c>
      <c r="E77" t="s">
        <v>81</v>
      </c>
      <c r="F77" t="s">
        <v>638</v>
      </c>
      <c r="G77" t="s">
        <v>639</v>
      </c>
      <c r="H77" t="s">
        <v>363</v>
      </c>
      <c r="I77" t="s">
        <v>226</v>
      </c>
      <c r="J77" t="s">
        <v>626</v>
      </c>
      <c r="K77" t="s">
        <v>216</v>
      </c>
      <c r="L77" t="s">
        <v>217</v>
      </c>
      <c r="M77" t="s">
        <v>570</v>
      </c>
      <c r="N77" t="s">
        <v>571</v>
      </c>
      <c r="O77" t="s">
        <v>91</v>
      </c>
      <c r="P77" t="s">
        <v>367</v>
      </c>
      <c r="R77" t="s">
        <v>94</v>
      </c>
      <c r="S77" s="14" t="s">
        <v>159</v>
      </c>
      <c r="T77" t="s">
        <v>635</v>
      </c>
      <c r="V77" t="s">
        <v>610</v>
      </c>
      <c r="W77" t="s">
        <v>142</v>
      </c>
      <c r="X77" t="s">
        <v>100</v>
      </c>
      <c r="Y77" t="s">
        <v>611</v>
      </c>
    </row>
    <row r="78" spans="1:25">
      <c r="A78" t="s">
        <v>640</v>
      </c>
      <c r="B78" t="s">
        <v>532</v>
      </c>
      <c r="C78" t="s">
        <v>641</v>
      </c>
      <c r="D78" t="s">
        <v>623</v>
      </c>
      <c r="E78" t="s">
        <v>81</v>
      </c>
      <c r="F78" t="s">
        <v>642</v>
      </c>
      <c r="G78" t="s">
        <v>643</v>
      </c>
      <c r="H78" t="s">
        <v>84</v>
      </c>
      <c r="I78" t="s">
        <v>226</v>
      </c>
      <c r="J78" t="s">
        <v>626</v>
      </c>
      <c r="K78" t="s">
        <v>216</v>
      </c>
      <c r="L78" t="s">
        <v>217</v>
      </c>
      <c r="M78" t="s">
        <v>570</v>
      </c>
      <c r="N78" t="s">
        <v>571</v>
      </c>
      <c r="O78" t="s">
        <v>91</v>
      </c>
      <c r="P78" t="s">
        <v>367</v>
      </c>
      <c r="R78" t="s">
        <v>94</v>
      </c>
      <c r="S78" s="14" t="s">
        <v>139</v>
      </c>
      <c r="T78" t="s">
        <v>269</v>
      </c>
      <c r="V78" t="s">
        <v>610</v>
      </c>
      <c r="W78" t="s">
        <v>142</v>
      </c>
      <c r="X78" t="s">
        <v>100</v>
      </c>
      <c r="Y78" t="s">
        <v>383</v>
      </c>
    </row>
    <row r="79" spans="1:25">
      <c r="A79" t="s">
        <v>644</v>
      </c>
      <c r="B79" t="s">
        <v>532</v>
      </c>
      <c r="C79" t="s">
        <v>222</v>
      </c>
      <c r="D79" t="s">
        <v>645</v>
      </c>
      <c r="E79" t="s">
        <v>81</v>
      </c>
      <c r="F79" t="s">
        <v>646</v>
      </c>
      <c r="G79" s="7" t="s">
        <v>647</v>
      </c>
      <c r="H79" t="s">
        <v>84</v>
      </c>
      <c r="I79" t="s">
        <v>226</v>
      </c>
      <c r="J79" t="s">
        <v>648</v>
      </c>
      <c r="K79" t="s">
        <v>228</v>
      </c>
      <c r="L79" t="s">
        <v>649</v>
      </c>
      <c r="M79" t="s">
        <v>353</v>
      </c>
      <c r="N79" t="s">
        <v>650</v>
      </c>
      <c r="O79" t="s">
        <v>91</v>
      </c>
      <c r="P79" t="s">
        <v>367</v>
      </c>
      <c r="Q79" t="s">
        <v>232</v>
      </c>
      <c r="R79" t="s">
        <v>94</v>
      </c>
      <c r="S79" s="14" t="s">
        <v>159</v>
      </c>
      <c r="T79" t="s">
        <v>651</v>
      </c>
      <c r="U79" t="s">
        <v>234</v>
      </c>
      <c r="V79" t="s">
        <v>285</v>
      </c>
      <c r="W79" t="s">
        <v>652</v>
      </c>
      <c r="X79" t="s">
        <v>184</v>
      </c>
      <c r="Y79" t="s">
        <v>440</v>
      </c>
    </row>
    <row r="80" spans="1:25">
      <c r="A80" t="s">
        <v>653</v>
      </c>
      <c r="B80" t="s">
        <v>532</v>
      </c>
      <c r="C80" t="s">
        <v>654</v>
      </c>
      <c r="D80" t="s">
        <v>645</v>
      </c>
      <c r="E80" t="s">
        <v>81</v>
      </c>
      <c r="F80" t="s">
        <v>655</v>
      </c>
      <c r="G80" s="7" t="s">
        <v>656</v>
      </c>
      <c r="H80" t="s">
        <v>84</v>
      </c>
      <c r="I80" t="s">
        <v>226</v>
      </c>
      <c r="J80" t="s">
        <v>626</v>
      </c>
      <c r="K80" t="s">
        <v>304</v>
      </c>
      <c r="L80" t="s">
        <v>657</v>
      </c>
      <c r="M80" t="s">
        <v>658</v>
      </c>
      <c r="N80" t="s">
        <v>659</v>
      </c>
      <c r="O80" t="s">
        <v>91</v>
      </c>
      <c r="P80" t="s">
        <v>367</v>
      </c>
      <c r="Q80" t="s">
        <v>309</v>
      </c>
      <c r="R80" t="s">
        <v>94</v>
      </c>
      <c r="S80" s="14" t="s">
        <v>159</v>
      </c>
      <c r="T80" t="s">
        <v>660</v>
      </c>
      <c r="U80" t="s">
        <v>311</v>
      </c>
      <c r="V80" t="s">
        <v>610</v>
      </c>
      <c r="W80" t="s">
        <v>652</v>
      </c>
      <c r="X80" t="s">
        <v>184</v>
      </c>
      <c r="Y80" t="s">
        <v>661</v>
      </c>
    </row>
    <row r="81" spans="1:25">
      <c r="A81" t="s">
        <v>662</v>
      </c>
      <c r="B81" t="s">
        <v>532</v>
      </c>
      <c r="C81" t="s">
        <v>641</v>
      </c>
      <c r="D81" t="s">
        <v>645</v>
      </c>
      <c r="E81" t="s">
        <v>81</v>
      </c>
      <c r="F81" t="s">
        <v>663</v>
      </c>
      <c r="G81" t="s">
        <v>643</v>
      </c>
      <c r="H81" t="s">
        <v>84</v>
      </c>
      <c r="I81" t="s">
        <v>226</v>
      </c>
      <c r="J81" t="s">
        <v>626</v>
      </c>
      <c r="K81" t="s">
        <v>664</v>
      </c>
      <c r="L81" t="s">
        <v>665</v>
      </c>
      <c r="M81" t="s">
        <v>666</v>
      </c>
      <c r="N81" t="s">
        <v>667</v>
      </c>
      <c r="O81" t="s">
        <v>91</v>
      </c>
      <c r="P81" t="s">
        <v>367</v>
      </c>
      <c r="Q81" t="s">
        <v>668</v>
      </c>
      <c r="R81" t="s">
        <v>94</v>
      </c>
      <c r="S81" s="14" t="s">
        <v>159</v>
      </c>
      <c r="T81" t="s">
        <v>669</v>
      </c>
      <c r="U81" t="s">
        <v>670</v>
      </c>
      <c r="V81" t="s">
        <v>471</v>
      </c>
      <c r="W81" t="s">
        <v>652</v>
      </c>
      <c r="X81" t="s">
        <v>184</v>
      </c>
      <c r="Y81" t="s">
        <v>671</v>
      </c>
    </row>
    <row r="82" spans="1:25">
      <c r="A82" t="s">
        <v>672</v>
      </c>
      <c r="B82" t="s">
        <v>532</v>
      </c>
      <c r="C82" t="s">
        <v>673</v>
      </c>
      <c r="D82" t="s">
        <v>645</v>
      </c>
      <c r="E82" t="s">
        <v>81</v>
      </c>
      <c r="F82" t="s">
        <v>674</v>
      </c>
      <c r="G82" t="s">
        <v>675</v>
      </c>
      <c r="H82" t="s">
        <v>84</v>
      </c>
      <c r="I82" t="s">
        <v>226</v>
      </c>
      <c r="J82" t="s">
        <v>626</v>
      </c>
      <c r="K82" t="s">
        <v>228</v>
      </c>
      <c r="L82" t="s">
        <v>649</v>
      </c>
      <c r="M82" t="s">
        <v>676</v>
      </c>
      <c r="N82" t="s">
        <v>677</v>
      </c>
      <c r="O82" t="s">
        <v>91</v>
      </c>
      <c r="P82" t="s">
        <v>367</v>
      </c>
      <c r="Q82" t="s">
        <v>232</v>
      </c>
      <c r="R82" t="s">
        <v>94</v>
      </c>
      <c r="S82" s="14" t="s">
        <v>159</v>
      </c>
      <c r="T82" t="s">
        <v>678</v>
      </c>
      <c r="U82" t="s">
        <v>234</v>
      </c>
      <c r="V82" t="s">
        <v>679</v>
      </c>
      <c r="W82" t="s">
        <v>652</v>
      </c>
      <c r="X82" t="s">
        <v>100</v>
      </c>
      <c r="Y82" t="s">
        <v>680</v>
      </c>
    </row>
    <row r="83" spans="1:25">
      <c r="A83" t="s">
        <v>681</v>
      </c>
      <c r="B83" t="s">
        <v>532</v>
      </c>
      <c r="C83" t="s">
        <v>682</v>
      </c>
      <c r="D83" t="s">
        <v>683</v>
      </c>
      <c r="E83" t="s">
        <v>81</v>
      </c>
      <c r="F83" t="s">
        <v>684</v>
      </c>
      <c r="G83" t="s">
        <v>682</v>
      </c>
      <c r="H83" t="s">
        <v>685</v>
      </c>
      <c r="I83" t="s">
        <v>226</v>
      </c>
      <c r="J83" t="s">
        <v>626</v>
      </c>
      <c r="K83" t="s">
        <v>304</v>
      </c>
      <c r="L83" t="s">
        <v>657</v>
      </c>
      <c r="M83" t="s">
        <v>676</v>
      </c>
      <c r="N83" t="s">
        <v>677</v>
      </c>
      <c r="O83" t="s">
        <v>91</v>
      </c>
      <c r="P83" t="s">
        <v>367</v>
      </c>
      <c r="Q83" t="s">
        <v>309</v>
      </c>
      <c r="R83" t="s">
        <v>94</v>
      </c>
      <c r="S83" s="14" t="s">
        <v>159</v>
      </c>
      <c r="T83" t="s">
        <v>678</v>
      </c>
      <c r="U83" t="s">
        <v>311</v>
      </c>
      <c r="V83" t="s">
        <v>679</v>
      </c>
      <c r="W83" t="s">
        <v>652</v>
      </c>
      <c r="X83" t="s">
        <v>100</v>
      </c>
      <c r="Y83" t="s">
        <v>680</v>
      </c>
    </row>
    <row r="84" spans="1:25">
      <c r="A84" t="s">
        <v>686</v>
      </c>
      <c r="B84" t="s">
        <v>532</v>
      </c>
      <c r="C84" t="s">
        <v>687</v>
      </c>
      <c r="D84" t="s">
        <v>683</v>
      </c>
      <c r="E84" t="s">
        <v>81</v>
      </c>
      <c r="F84" t="s">
        <v>688</v>
      </c>
      <c r="G84" t="s">
        <v>687</v>
      </c>
      <c r="H84" t="s">
        <v>685</v>
      </c>
      <c r="I84" t="s">
        <v>226</v>
      </c>
      <c r="J84" t="s">
        <v>626</v>
      </c>
      <c r="K84" t="s">
        <v>664</v>
      </c>
      <c r="L84" t="s">
        <v>665</v>
      </c>
      <c r="M84" t="s">
        <v>676</v>
      </c>
      <c r="N84" t="s">
        <v>677</v>
      </c>
      <c r="O84" t="s">
        <v>91</v>
      </c>
      <c r="P84" t="s">
        <v>367</v>
      </c>
      <c r="Q84" t="s">
        <v>668</v>
      </c>
      <c r="R84" t="s">
        <v>94</v>
      </c>
      <c r="S84" s="14" t="s">
        <v>159</v>
      </c>
      <c r="T84" t="s">
        <v>678</v>
      </c>
      <c r="U84" t="s">
        <v>670</v>
      </c>
      <c r="V84" t="s">
        <v>679</v>
      </c>
      <c r="W84" t="s">
        <v>652</v>
      </c>
      <c r="X84" t="s">
        <v>100</v>
      </c>
      <c r="Y84" t="s">
        <v>680</v>
      </c>
    </row>
    <row r="85" spans="1:25">
      <c r="A85" t="s">
        <v>689</v>
      </c>
      <c r="B85" t="s">
        <v>532</v>
      </c>
      <c r="C85" t="s">
        <v>690</v>
      </c>
      <c r="D85" t="s">
        <v>683</v>
      </c>
      <c r="E85" t="s">
        <v>81</v>
      </c>
      <c r="F85" t="s">
        <v>691</v>
      </c>
      <c r="G85" t="s">
        <v>690</v>
      </c>
      <c r="H85" t="s">
        <v>685</v>
      </c>
      <c r="I85" t="s">
        <v>226</v>
      </c>
      <c r="J85" t="s">
        <v>626</v>
      </c>
      <c r="K85" t="s">
        <v>228</v>
      </c>
      <c r="L85" t="s">
        <v>229</v>
      </c>
      <c r="M85" t="s">
        <v>692</v>
      </c>
      <c r="N85" t="s">
        <v>693</v>
      </c>
      <c r="O85" t="s">
        <v>91</v>
      </c>
      <c r="P85" t="s">
        <v>367</v>
      </c>
      <c r="Q85" t="s">
        <v>232</v>
      </c>
      <c r="R85" t="s">
        <v>94</v>
      </c>
      <c r="S85" s="14" t="s">
        <v>159</v>
      </c>
      <c r="T85" t="s">
        <v>694</v>
      </c>
      <c r="U85" t="s">
        <v>234</v>
      </c>
      <c r="V85" t="s">
        <v>695</v>
      </c>
      <c r="W85" t="s">
        <v>142</v>
      </c>
      <c r="X85" t="s">
        <v>100</v>
      </c>
      <c r="Y85" t="s">
        <v>440</v>
      </c>
    </row>
    <row r="86" spans="1:25">
      <c r="A86" t="s">
        <v>696</v>
      </c>
      <c r="B86" t="s">
        <v>532</v>
      </c>
      <c r="C86" t="s">
        <v>697</v>
      </c>
      <c r="D86" t="s">
        <v>683</v>
      </c>
      <c r="E86" t="s">
        <v>81</v>
      </c>
      <c r="F86" t="s">
        <v>698</v>
      </c>
      <c r="G86" t="s">
        <v>690</v>
      </c>
      <c r="H86" t="s">
        <v>685</v>
      </c>
      <c r="I86" t="s">
        <v>226</v>
      </c>
      <c r="J86" t="s">
        <v>626</v>
      </c>
      <c r="K86" t="s">
        <v>228</v>
      </c>
      <c r="L86" t="s">
        <v>229</v>
      </c>
      <c r="M86" t="s">
        <v>699</v>
      </c>
      <c r="N86" t="s">
        <v>700</v>
      </c>
      <c r="O86" t="s">
        <v>91</v>
      </c>
      <c r="P86" t="s">
        <v>367</v>
      </c>
      <c r="Q86" t="s">
        <v>232</v>
      </c>
      <c r="R86" t="s">
        <v>94</v>
      </c>
      <c r="S86" s="14" t="s">
        <v>159</v>
      </c>
      <c r="T86" t="s">
        <v>694</v>
      </c>
      <c r="U86" t="s">
        <v>234</v>
      </c>
      <c r="V86" t="s">
        <v>695</v>
      </c>
      <c r="W86" t="s">
        <v>142</v>
      </c>
      <c r="X86" t="s">
        <v>100</v>
      </c>
      <c r="Y86" t="s">
        <v>334</v>
      </c>
    </row>
    <row r="87" spans="1:25">
      <c r="A87" t="s">
        <v>701</v>
      </c>
      <c r="B87" t="s">
        <v>702</v>
      </c>
      <c r="C87" t="s">
        <v>703</v>
      </c>
      <c r="D87" t="s">
        <v>704</v>
      </c>
      <c r="E87" t="s">
        <v>81</v>
      </c>
      <c r="F87" t="s">
        <v>705</v>
      </c>
      <c r="G87" t="s">
        <v>362</v>
      </c>
      <c r="H87" t="s">
        <v>363</v>
      </c>
      <c r="I87" t="s">
        <v>85</v>
      </c>
      <c r="J87" t="s">
        <v>706</v>
      </c>
      <c r="K87" t="s">
        <v>254</v>
      </c>
      <c r="L87" t="s">
        <v>255</v>
      </c>
      <c r="M87" t="s">
        <v>365</v>
      </c>
      <c r="N87" t="s">
        <v>707</v>
      </c>
      <c r="O87" t="s">
        <v>91</v>
      </c>
      <c r="P87" t="s">
        <v>295</v>
      </c>
      <c r="Q87" t="s">
        <v>259</v>
      </c>
      <c r="R87" t="s">
        <v>94</v>
      </c>
      <c r="S87" s="14" t="s">
        <v>159</v>
      </c>
      <c r="T87" t="s">
        <v>260</v>
      </c>
      <c r="U87" t="s">
        <v>261</v>
      </c>
      <c r="V87" t="s">
        <v>610</v>
      </c>
      <c r="W87" t="s">
        <v>142</v>
      </c>
      <c r="X87" t="s">
        <v>100</v>
      </c>
      <c r="Y87" t="s">
        <v>611</v>
      </c>
    </row>
    <row r="88" spans="1:25">
      <c r="A88" t="s">
        <v>708</v>
      </c>
      <c r="B88" t="s">
        <v>702</v>
      </c>
      <c r="C88" t="s">
        <v>709</v>
      </c>
      <c r="D88" t="s">
        <v>704</v>
      </c>
      <c r="E88" t="s">
        <v>81</v>
      </c>
      <c r="F88" t="s">
        <v>710</v>
      </c>
      <c r="G88" t="s">
        <v>711</v>
      </c>
      <c r="H88" t="s">
        <v>363</v>
      </c>
      <c r="I88" t="s">
        <v>85</v>
      </c>
      <c r="J88" t="s">
        <v>706</v>
      </c>
      <c r="K88" t="s">
        <v>254</v>
      </c>
      <c r="L88" t="s">
        <v>255</v>
      </c>
      <c r="M88" t="s">
        <v>365</v>
      </c>
      <c r="N88" t="s">
        <v>712</v>
      </c>
      <c r="O88" t="s">
        <v>91</v>
      </c>
      <c r="P88" t="s">
        <v>295</v>
      </c>
      <c r="Q88" t="s">
        <v>259</v>
      </c>
      <c r="R88" t="s">
        <v>94</v>
      </c>
      <c r="S88" s="14" t="s">
        <v>159</v>
      </c>
      <c r="T88" t="s">
        <v>260</v>
      </c>
      <c r="U88" t="s">
        <v>261</v>
      </c>
      <c r="V88" t="s">
        <v>610</v>
      </c>
      <c r="W88" t="s">
        <v>142</v>
      </c>
      <c r="X88" t="s">
        <v>100</v>
      </c>
      <c r="Y88" t="s">
        <v>611</v>
      </c>
    </row>
    <row r="89" spans="1:25">
      <c r="A89" t="s">
        <v>713</v>
      </c>
      <c r="B89" t="s">
        <v>702</v>
      </c>
      <c r="C89" t="s">
        <v>714</v>
      </c>
      <c r="D89" t="s">
        <v>704</v>
      </c>
      <c r="E89" t="s">
        <v>81</v>
      </c>
      <c r="F89" t="s">
        <v>715</v>
      </c>
      <c r="G89" t="s">
        <v>716</v>
      </c>
      <c r="H89" t="s">
        <v>132</v>
      </c>
      <c r="I89" t="s">
        <v>85</v>
      </c>
      <c r="J89" t="s">
        <v>706</v>
      </c>
      <c r="K89" t="s">
        <v>254</v>
      </c>
      <c r="L89" t="s">
        <v>255</v>
      </c>
      <c r="M89" t="s">
        <v>365</v>
      </c>
      <c r="N89" t="s">
        <v>712</v>
      </c>
      <c r="O89" t="s">
        <v>91</v>
      </c>
      <c r="P89" t="s">
        <v>295</v>
      </c>
      <c r="Q89" t="s">
        <v>259</v>
      </c>
      <c r="R89" t="s">
        <v>94</v>
      </c>
      <c r="S89" s="14" t="s">
        <v>139</v>
      </c>
      <c r="T89" t="s">
        <v>269</v>
      </c>
      <c r="U89" t="s">
        <v>261</v>
      </c>
      <c r="V89" t="s">
        <v>610</v>
      </c>
      <c r="W89" t="s">
        <v>142</v>
      </c>
      <c r="X89" t="s">
        <v>100</v>
      </c>
      <c r="Y89" t="s">
        <v>383</v>
      </c>
    </row>
    <row r="90" spans="1:25">
      <c r="A90" t="s">
        <v>717</v>
      </c>
      <c r="B90" t="s">
        <v>702</v>
      </c>
      <c r="C90" t="s">
        <v>718</v>
      </c>
      <c r="D90" t="s">
        <v>719</v>
      </c>
      <c r="E90" t="s">
        <v>81</v>
      </c>
      <c r="F90" t="s">
        <v>720</v>
      </c>
      <c r="G90" t="s">
        <v>721</v>
      </c>
      <c r="H90" t="s">
        <v>84</v>
      </c>
      <c r="I90" t="s">
        <v>85</v>
      </c>
      <c r="J90" t="s">
        <v>706</v>
      </c>
      <c r="K90" t="s">
        <v>254</v>
      </c>
      <c r="L90" t="s">
        <v>255</v>
      </c>
      <c r="M90" t="s">
        <v>365</v>
      </c>
      <c r="N90" t="s">
        <v>722</v>
      </c>
      <c r="O90" t="s">
        <v>91</v>
      </c>
      <c r="P90" t="s">
        <v>723</v>
      </c>
      <c r="Q90" t="s">
        <v>259</v>
      </c>
      <c r="R90" t="s">
        <v>94</v>
      </c>
      <c r="S90" s="14" t="s">
        <v>159</v>
      </c>
      <c r="T90" t="s">
        <v>260</v>
      </c>
      <c r="U90" t="s">
        <v>261</v>
      </c>
      <c r="V90" t="s">
        <v>610</v>
      </c>
      <c r="W90" t="s">
        <v>142</v>
      </c>
      <c r="X90" t="s">
        <v>100</v>
      </c>
      <c r="Y90" t="s">
        <v>611</v>
      </c>
    </row>
    <row r="91" spans="1:25">
      <c r="A91" t="s">
        <v>724</v>
      </c>
      <c r="B91" t="s">
        <v>702</v>
      </c>
      <c r="C91" t="s">
        <v>725</v>
      </c>
      <c r="D91" t="s">
        <v>719</v>
      </c>
      <c r="E91" t="s">
        <v>81</v>
      </c>
      <c r="F91" t="s">
        <v>726</v>
      </c>
      <c r="G91" t="s">
        <v>727</v>
      </c>
      <c r="H91" t="s">
        <v>84</v>
      </c>
      <c r="I91" t="s">
        <v>85</v>
      </c>
      <c r="J91" t="s">
        <v>586</v>
      </c>
      <c r="K91" t="s">
        <v>728</v>
      </c>
      <c r="L91" t="s">
        <v>729</v>
      </c>
      <c r="M91" t="s">
        <v>730</v>
      </c>
      <c r="N91" t="s">
        <v>731</v>
      </c>
      <c r="O91" t="s">
        <v>91</v>
      </c>
      <c r="P91" t="s">
        <v>295</v>
      </c>
      <c r="R91" t="s">
        <v>94</v>
      </c>
      <c r="S91" t="s">
        <v>181</v>
      </c>
      <c r="T91" t="s">
        <v>732</v>
      </c>
      <c r="V91" t="s">
        <v>610</v>
      </c>
      <c r="W91" t="s">
        <v>142</v>
      </c>
      <c r="X91" t="s">
        <v>100</v>
      </c>
      <c r="Y91" t="s">
        <v>733</v>
      </c>
    </row>
    <row r="92" spans="1:25">
      <c r="A92" t="s">
        <v>734</v>
      </c>
      <c r="B92" t="s">
        <v>702</v>
      </c>
      <c r="C92" t="s">
        <v>735</v>
      </c>
      <c r="D92" t="s">
        <v>719</v>
      </c>
      <c r="E92" t="s">
        <v>81</v>
      </c>
      <c r="F92" t="s">
        <v>736</v>
      </c>
      <c r="G92" t="s">
        <v>737</v>
      </c>
      <c r="H92" t="s">
        <v>84</v>
      </c>
      <c r="I92" t="s">
        <v>85</v>
      </c>
      <c r="J92" t="s">
        <v>586</v>
      </c>
      <c r="K92" t="s">
        <v>254</v>
      </c>
      <c r="L92" t="s">
        <v>255</v>
      </c>
      <c r="M92" t="s">
        <v>267</v>
      </c>
      <c r="N92" t="s">
        <v>268</v>
      </c>
      <c r="O92" t="s">
        <v>91</v>
      </c>
      <c r="P92" t="s">
        <v>295</v>
      </c>
      <c r="Q92" t="s">
        <v>259</v>
      </c>
      <c r="R92" t="s">
        <v>94</v>
      </c>
      <c r="S92" t="s">
        <v>159</v>
      </c>
      <c r="T92" t="s">
        <v>260</v>
      </c>
      <c r="U92" t="s">
        <v>261</v>
      </c>
      <c r="V92" t="s">
        <v>610</v>
      </c>
      <c r="W92" t="s">
        <v>142</v>
      </c>
      <c r="X92" t="s">
        <v>100</v>
      </c>
      <c r="Y92" t="s">
        <v>733</v>
      </c>
    </row>
    <row r="93" spans="1:25">
      <c r="A93" t="s">
        <v>738</v>
      </c>
      <c r="B93" t="s">
        <v>702</v>
      </c>
      <c r="C93" t="s">
        <v>739</v>
      </c>
      <c r="D93" t="s">
        <v>719</v>
      </c>
      <c r="E93" t="s">
        <v>81</v>
      </c>
      <c r="F93" t="s">
        <v>740</v>
      </c>
      <c r="G93" t="s">
        <v>741</v>
      </c>
      <c r="H93" t="s">
        <v>132</v>
      </c>
      <c r="I93" t="s">
        <v>85</v>
      </c>
      <c r="J93" t="s">
        <v>586</v>
      </c>
      <c r="K93" t="s">
        <v>274</v>
      </c>
      <c r="L93" t="s">
        <v>275</v>
      </c>
      <c r="M93" t="s">
        <v>276</v>
      </c>
      <c r="N93" t="s">
        <v>277</v>
      </c>
      <c r="O93" t="s">
        <v>91</v>
      </c>
      <c r="P93" t="s">
        <v>295</v>
      </c>
      <c r="Q93" t="s">
        <v>278</v>
      </c>
      <c r="R93" t="s">
        <v>94</v>
      </c>
      <c r="S93" t="s">
        <v>139</v>
      </c>
      <c r="T93" t="s">
        <v>269</v>
      </c>
      <c r="U93" t="s">
        <v>279</v>
      </c>
      <c r="V93" t="s">
        <v>610</v>
      </c>
      <c r="W93" t="s">
        <v>142</v>
      </c>
      <c r="X93" t="s">
        <v>100</v>
      </c>
      <c r="Y93" t="s">
        <v>383</v>
      </c>
    </row>
    <row r="94" spans="1:25">
      <c r="A94" t="s">
        <v>742</v>
      </c>
      <c r="B94" t="s">
        <v>743</v>
      </c>
      <c r="C94" t="s">
        <v>744</v>
      </c>
      <c r="E94" t="s">
        <v>81</v>
      </c>
      <c r="F94" t="s">
        <v>745</v>
      </c>
      <c r="G94" t="s">
        <v>746</v>
      </c>
      <c r="H94" t="s">
        <v>685</v>
      </c>
      <c r="I94" t="s">
        <v>85</v>
      </c>
      <c r="J94" t="s">
        <v>747</v>
      </c>
      <c r="K94" t="s">
        <v>228</v>
      </c>
      <c r="L94" t="s">
        <v>649</v>
      </c>
      <c r="M94" t="s">
        <v>676</v>
      </c>
      <c r="N94" t="s">
        <v>677</v>
      </c>
      <c r="O94" t="s">
        <v>748</v>
      </c>
      <c r="P94" t="s">
        <v>295</v>
      </c>
      <c r="Q94" t="s">
        <v>232</v>
      </c>
      <c r="R94" t="s">
        <v>94</v>
      </c>
      <c r="S94" s="14" t="s">
        <v>159</v>
      </c>
      <c r="T94" t="s">
        <v>678</v>
      </c>
      <c r="U94" t="s">
        <v>234</v>
      </c>
      <c r="V94" t="s">
        <v>679</v>
      </c>
      <c r="W94" t="s">
        <v>652</v>
      </c>
      <c r="X94" t="s">
        <v>100</v>
      </c>
      <c r="Y94" t="s">
        <v>680</v>
      </c>
    </row>
    <row r="95" spans="1:25">
      <c r="A95" t="s">
        <v>749</v>
      </c>
      <c r="B95" t="s">
        <v>743</v>
      </c>
      <c r="C95" t="s">
        <v>750</v>
      </c>
      <c r="E95" t="s">
        <v>81</v>
      </c>
      <c r="F95" t="s">
        <v>751</v>
      </c>
      <c r="G95" t="s">
        <v>746</v>
      </c>
      <c r="H95" t="s">
        <v>685</v>
      </c>
      <c r="I95" t="s">
        <v>85</v>
      </c>
      <c r="J95" t="s">
        <v>752</v>
      </c>
      <c r="K95" t="s">
        <v>304</v>
      </c>
      <c r="L95" t="s">
        <v>657</v>
      </c>
      <c r="M95" t="s">
        <v>676</v>
      </c>
      <c r="N95" t="s">
        <v>677</v>
      </c>
      <c r="O95" t="s">
        <v>748</v>
      </c>
      <c r="P95" t="s">
        <v>295</v>
      </c>
      <c r="Q95" t="s">
        <v>309</v>
      </c>
      <c r="R95" t="s">
        <v>94</v>
      </c>
      <c r="S95" s="14" t="s">
        <v>159</v>
      </c>
      <c r="T95" t="s">
        <v>678</v>
      </c>
      <c r="U95" t="s">
        <v>311</v>
      </c>
      <c r="V95" t="s">
        <v>679</v>
      </c>
      <c r="W95" t="s">
        <v>652</v>
      </c>
      <c r="X95" t="s">
        <v>100</v>
      </c>
      <c r="Y95" t="s">
        <v>680</v>
      </c>
    </row>
    <row r="96" spans="1:25">
      <c r="A96" t="s">
        <v>753</v>
      </c>
      <c r="B96" t="s">
        <v>743</v>
      </c>
      <c r="C96" t="s">
        <v>754</v>
      </c>
      <c r="E96" t="s">
        <v>81</v>
      </c>
      <c r="F96" t="s">
        <v>755</v>
      </c>
      <c r="G96" t="s">
        <v>756</v>
      </c>
      <c r="H96" t="s">
        <v>685</v>
      </c>
      <c r="I96" t="s">
        <v>85</v>
      </c>
      <c r="J96" t="s">
        <v>757</v>
      </c>
      <c r="K96" t="s">
        <v>664</v>
      </c>
      <c r="L96" t="s">
        <v>665</v>
      </c>
      <c r="M96" t="s">
        <v>758</v>
      </c>
      <c r="N96" t="s">
        <v>759</v>
      </c>
      <c r="O96" t="s">
        <v>748</v>
      </c>
      <c r="P96" t="s">
        <v>295</v>
      </c>
      <c r="Q96" t="s">
        <v>668</v>
      </c>
      <c r="R96" t="s">
        <v>94</v>
      </c>
      <c r="S96" s="14" t="s">
        <v>159</v>
      </c>
      <c r="T96" t="s">
        <v>678</v>
      </c>
      <c r="U96" t="s">
        <v>670</v>
      </c>
      <c r="V96" t="s">
        <v>679</v>
      </c>
      <c r="W96" t="s">
        <v>652</v>
      </c>
      <c r="X96" t="s">
        <v>100</v>
      </c>
      <c r="Y96" t="s">
        <v>680</v>
      </c>
    </row>
    <row r="97" spans="1:25">
      <c r="A97" t="s">
        <v>760</v>
      </c>
      <c r="B97" t="s">
        <v>743</v>
      </c>
      <c r="C97" t="s">
        <v>761</v>
      </c>
      <c r="E97" t="s">
        <v>762</v>
      </c>
      <c r="F97" t="s">
        <v>763</v>
      </c>
      <c r="G97" t="s">
        <v>764</v>
      </c>
      <c r="H97" t="s">
        <v>685</v>
      </c>
      <c r="I97" t="s">
        <v>765</v>
      </c>
      <c r="J97" t="s">
        <v>766</v>
      </c>
      <c r="K97" t="s">
        <v>190</v>
      </c>
      <c r="L97" t="s">
        <v>767</v>
      </c>
      <c r="M97" t="s">
        <v>768</v>
      </c>
      <c r="N97" t="s">
        <v>769</v>
      </c>
      <c r="O97" t="s">
        <v>748</v>
      </c>
      <c r="P97" t="s">
        <v>762</v>
      </c>
      <c r="Q97" t="s">
        <v>194</v>
      </c>
      <c r="R97" t="s">
        <v>94</v>
      </c>
      <c r="S97" s="14" t="s">
        <v>159</v>
      </c>
      <c r="T97" t="s">
        <v>678</v>
      </c>
      <c r="U97" t="s">
        <v>196</v>
      </c>
      <c r="V97" t="s">
        <v>679</v>
      </c>
      <c r="W97" t="s">
        <v>652</v>
      </c>
      <c r="X97" t="s">
        <v>100</v>
      </c>
      <c r="Y97" t="s">
        <v>680</v>
      </c>
    </row>
    <row r="98" spans="1:25">
      <c r="A98" t="s">
        <v>770</v>
      </c>
      <c r="B98" t="s">
        <v>743</v>
      </c>
      <c r="C98" t="s">
        <v>771</v>
      </c>
      <c r="E98" t="s">
        <v>772</v>
      </c>
      <c r="F98" t="s">
        <v>773</v>
      </c>
      <c r="G98" t="s">
        <v>774</v>
      </c>
      <c r="H98" t="s">
        <v>685</v>
      </c>
      <c r="I98" t="s">
        <v>765</v>
      </c>
      <c r="J98" t="s">
        <v>766</v>
      </c>
      <c r="K98" t="s">
        <v>511</v>
      </c>
      <c r="L98" t="s">
        <v>775</v>
      </c>
      <c r="M98" t="s">
        <v>776</v>
      </c>
      <c r="N98" t="s">
        <v>777</v>
      </c>
      <c r="O98" t="s">
        <v>748</v>
      </c>
      <c r="P98" t="s">
        <v>778</v>
      </c>
      <c r="Q98" t="s">
        <v>515</v>
      </c>
      <c r="R98" t="s">
        <v>94</v>
      </c>
      <c r="S98" s="14" t="s">
        <v>159</v>
      </c>
      <c r="T98" t="s">
        <v>678</v>
      </c>
      <c r="U98" t="s">
        <v>517</v>
      </c>
      <c r="V98" t="s">
        <v>679</v>
      </c>
      <c r="W98" t="s">
        <v>652</v>
      </c>
      <c r="X98" t="s">
        <v>100</v>
      </c>
      <c r="Y98" t="s">
        <v>680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"/>
  <sheetViews>
    <sheetView workbookViewId="0">
      <selection activeCell="D47" sqref="D47"/>
    </sheetView>
  </sheetViews>
  <sheetFormatPr defaultColWidth="9" defaultRowHeight="14"/>
  <cols>
    <col min="1" max="1" width="9.5" style="2" customWidth="1"/>
    <col min="2" max="2" width="18.25" style="2" customWidth="1"/>
    <col min="3" max="4" width="20.25" style="2" customWidth="1"/>
    <col min="5" max="5" width="12.33203125" style="2" customWidth="1"/>
    <col min="6" max="6" width="54.5" style="2" customWidth="1"/>
    <col min="7" max="7" width="67.08203125" style="2" customWidth="1"/>
    <col min="8" max="8" width="12.08203125" style="2" customWidth="1"/>
    <col min="9" max="9" width="10.4140625" style="2" customWidth="1"/>
    <col min="10" max="10" width="21.58203125" style="2" customWidth="1"/>
    <col min="11" max="11" width="55.25" style="2" customWidth="1"/>
    <col min="12" max="12" width="17.5" style="2" customWidth="1"/>
    <col min="13" max="13" width="10.4140625" style="2" customWidth="1"/>
    <col min="14" max="14" width="44.33203125" style="2" customWidth="1"/>
    <col min="15" max="15" width="25" style="2" customWidth="1"/>
    <col min="16" max="16" width="8.5" style="2" customWidth="1"/>
    <col min="17" max="17" width="90.4140625" style="2" customWidth="1"/>
    <col min="18" max="18" width="199.08203125" style="2" customWidth="1"/>
    <col min="19" max="19" width="8.5" style="2" customWidth="1"/>
    <col min="20" max="20" width="14.08203125" style="2" customWidth="1"/>
    <col min="21" max="21" width="33.83203125" style="2" customWidth="1"/>
    <col min="22" max="22" width="135.75" style="2" customWidth="1"/>
    <col min="23" max="23" width="12.33203125" style="2" customWidth="1"/>
    <col min="24" max="24" width="10.4140625" style="2" customWidth="1"/>
    <col min="25" max="25" width="6.6640625" style="2" customWidth="1"/>
    <col min="26" max="26" width="12.33203125" style="2" customWidth="1"/>
    <col min="27" max="27" width="50" style="2" customWidth="1"/>
  </cols>
  <sheetData>
    <row r="1" spans="1:27" s="3" customFormat="1" ht="14.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779</v>
      </c>
      <c r="K1" s="3" t="s">
        <v>61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  <c r="S1" s="3" t="s">
        <v>69</v>
      </c>
      <c r="T1" s="3" t="s">
        <v>70</v>
      </c>
      <c r="U1" s="3" t="s">
        <v>71</v>
      </c>
      <c r="V1" s="3" t="s">
        <v>72</v>
      </c>
      <c r="W1" s="3" t="s">
        <v>73</v>
      </c>
      <c r="X1" s="3" t="s">
        <v>74</v>
      </c>
      <c r="Y1" s="3" t="s">
        <v>75</v>
      </c>
      <c r="Z1" s="3" t="s">
        <v>76</v>
      </c>
      <c r="AA1" s="13" t="s">
        <v>780</v>
      </c>
    </row>
    <row r="2" spans="1:27" ht="14" customHeight="1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781</v>
      </c>
      <c r="K2" t="s">
        <v>782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s="14" t="s">
        <v>783</v>
      </c>
      <c r="U2" t="s">
        <v>96</v>
      </c>
      <c r="V2" t="s">
        <v>784</v>
      </c>
      <c r="W2" t="s">
        <v>98</v>
      </c>
      <c r="X2" t="s">
        <v>99</v>
      </c>
      <c r="Y2" t="s">
        <v>100</v>
      </c>
      <c r="Z2" t="s">
        <v>101</v>
      </c>
      <c r="AA2" s="5" t="s">
        <v>785</v>
      </c>
    </row>
    <row r="3" spans="1:27" ht="14" customHeight="1">
      <c r="A3" t="s">
        <v>102</v>
      </c>
      <c r="B3" t="s">
        <v>78</v>
      </c>
      <c r="C3" t="s">
        <v>103</v>
      </c>
      <c r="D3" t="s">
        <v>80</v>
      </c>
      <c r="E3" t="s">
        <v>81</v>
      </c>
      <c r="F3" t="s">
        <v>104</v>
      </c>
      <c r="G3" t="s">
        <v>105</v>
      </c>
      <c r="H3" t="s">
        <v>84</v>
      </c>
      <c r="I3" t="s">
        <v>85</v>
      </c>
      <c r="J3" t="s">
        <v>781</v>
      </c>
      <c r="K3" t="s">
        <v>786</v>
      </c>
      <c r="L3" t="s">
        <v>107</v>
      </c>
      <c r="M3" t="s">
        <v>108</v>
      </c>
      <c r="N3" t="s">
        <v>109</v>
      </c>
      <c r="O3" t="s">
        <v>110</v>
      </c>
      <c r="P3" t="s">
        <v>91</v>
      </c>
      <c r="Q3" t="s">
        <v>111</v>
      </c>
      <c r="R3" t="s">
        <v>787</v>
      </c>
      <c r="S3" t="s">
        <v>94</v>
      </c>
      <c r="T3" s="14" t="s">
        <v>783</v>
      </c>
      <c r="U3" t="s">
        <v>113</v>
      </c>
      <c r="V3" t="s">
        <v>788</v>
      </c>
      <c r="W3" t="s">
        <v>98</v>
      </c>
      <c r="X3" t="s">
        <v>99</v>
      </c>
      <c r="Y3" t="s">
        <v>100</v>
      </c>
      <c r="Z3" t="s">
        <v>101</v>
      </c>
      <c r="AA3" s="5" t="s">
        <v>785</v>
      </c>
    </row>
    <row r="4" spans="1:27" ht="14" customHeight="1">
      <c r="A4" t="s">
        <v>115</v>
      </c>
      <c r="B4" t="s">
        <v>78</v>
      </c>
      <c r="C4" t="s">
        <v>116</v>
      </c>
      <c r="D4" t="s">
        <v>80</v>
      </c>
      <c r="E4" t="s">
        <v>81</v>
      </c>
      <c r="F4" t="s">
        <v>117</v>
      </c>
      <c r="G4" t="s">
        <v>118</v>
      </c>
      <c r="H4" t="s">
        <v>84</v>
      </c>
      <c r="I4" t="s">
        <v>85</v>
      </c>
      <c r="J4" t="s">
        <v>781</v>
      </c>
      <c r="K4" t="s">
        <v>789</v>
      </c>
      <c r="L4" t="s">
        <v>790</v>
      </c>
      <c r="M4" t="s">
        <v>121</v>
      </c>
      <c r="N4" t="s">
        <v>122</v>
      </c>
      <c r="O4" t="s">
        <v>123</v>
      </c>
      <c r="P4" t="s">
        <v>91</v>
      </c>
      <c r="Q4" t="s">
        <v>111</v>
      </c>
      <c r="R4" t="s">
        <v>791</v>
      </c>
      <c r="S4" t="s">
        <v>94</v>
      </c>
      <c r="T4" s="14" t="s">
        <v>783</v>
      </c>
      <c r="U4" t="s">
        <v>125</v>
      </c>
      <c r="V4" t="s">
        <v>792</v>
      </c>
      <c r="W4" t="s">
        <v>127</v>
      </c>
      <c r="X4" t="s">
        <v>99</v>
      </c>
      <c r="Y4" t="s">
        <v>100</v>
      </c>
      <c r="Z4" t="s">
        <v>101</v>
      </c>
      <c r="AA4" s="5" t="s">
        <v>793</v>
      </c>
    </row>
    <row r="5" spans="1:27" ht="14" customHeight="1">
      <c r="A5" t="s">
        <v>128</v>
      </c>
      <c r="B5" t="s">
        <v>78</v>
      </c>
      <c r="C5" t="s">
        <v>129</v>
      </c>
      <c r="D5" t="s">
        <v>80</v>
      </c>
      <c r="E5" t="s">
        <v>81</v>
      </c>
      <c r="F5" t="s">
        <v>130</v>
      </c>
      <c r="G5" t="s">
        <v>131</v>
      </c>
      <c r="H5" t="s">
        <v>84</v>
      </c>
      <c r="I5" t="s">
        <v>85</v>
      </c>
      <c r="J5" t="s">
        <v>794</v>
      </c>
      <c r="K5" t="s">
        <v>795</v>
      </c>
      <c r="L5" t="s">
        <v>134</v>
      </c>
      <c r="M5" t="s">
        <v>135</v>
      </c>
      <c r="N5" t="s">
        <v>136</v>
      </c>
      <c r="O5" t="s">
        <v>137</v>
      </c>
      <c r="P5" t="s">
        <v>91</v>
      </c>
      <c r="Q5" t="s">
        <v>111</v>
      </c>
      <c r="R5" t="s">
        <v>138</v>
      </c>
      <c r="S5" t="s">
        <v>94</v>
      </c>
      <c r="T5" s="14" t="s">
        <v>783</v>
      </c>
      <c r="U5" t="s">
        <v>140</v>
      </c>
      <c r="V5" t="s">
        <v>796</v>
      </c>
      <c r="W5" t="s">
        <v>98</v>
      </c>
      <c r="X5" t="s">
        <v>142</v>
      </c>
      <c r="Y5" t="s">
        <v>100</v>
      </c>
      <c r="Z5" t="s">
        <v>101</v>
      </c>
      <c r="AA5" s="5" t="s">
        <v>797</v>
      </c>
    </row>
    <row r="6" spans="1:27" ht="14" customHeight="1">
      <c r="A6" t="s">
        <v>143</v>
      </c>
      <c r="B6" t="s">
        <v>78</v>
      </c>
      <c r="C6" t="s">
        <v>144</v>
      </c>
      <c r="D6" t="s">
        <v>80</v>
      </c>
      <c r="E6" t="s">
        <v>81</v>
      </c>
      <c r="F6" t="s">
        <v>145</v>
      </c>
      <c r="G6" t="s">
        <v>146</v>
      </c>
      <c r="H6" t="s">
        <v>84</v>
      </c>
      <c r="I6" t="s">
        <v>85</v>
      </c>
      <c r="J6" t="s">
        <v>794</v>
      </c>
      <c r="K6" t="s">
        <v>795</v>
      </c>
      <c r="L6" t="s">
        <v>134</v>
      </c>
      <c r="M6" t="s">
        <v>135</v>
      </c>
      <c r="O6" t="s">
        <v>147</v>
      </c>
      <c r="P6" t="s">
        <v>91</v>
      </c>
      <c r="Q6" t="s">
        <v>148</v>
      </c>
      <c r="R6" t="s">
        <v>138</v>
      </c>
      <c r="S6" t="s">
        <v>94</v>
      </c>
      <c r="T6" s="14" t="s">
        <v>783</v>
      </c>
      <c r="U6" t="s">
        <v>140</v>
      </c>
      <c r="V6" t="s">
        <v>798</v>
      </c>
      <c r="W6" t="s">
        <v>98</v>
      </c>
      <c r="X6" t="s">
        <v>142</v>
      </c>
      <c r="Y6" t="s">
        <v>100</v>
      </c>
      <c r="Z6" t="s">
        <v>101</v>
      </c>
      <c r="AA6" s="5" t="s">
        <v>797</v>
      </c>
    </row>
    <row r="7" spans="1:27" ht="14" customHeight="1">
      <c r="A7" t="s">
        <v>149</v>
      </c>
      <c r="B7" t="s">
        <v>78</v>
      </c>
      <c r="C7" t="s">
        <v>150</v>
      </c>
      <c r="D7" t="s">
        <v>151</v>
      </c>
      <c r="E7" t="s">
        <v>81</v>
      </c>
      <c r="F7" t="s">
        <v>152</v>
      </c>
      <c r="G7" t="s">
        <v>153</v>
      </c>
      <c r="H7" t="s">
        <v>84</v>
      </c>
      <c r="I7" t="s">
        <v>154</v>
      </c>
      <c r="J7" t="s">
        <v>781</v>
      </c>
      <c r="K7" t="s">
        <v>799</v>
      </c>
      <c r="L7" t="s">
        <v>120</v>
      </c>
      <c r="M7" t="s">
        <v>156</v>
      </c>
      <c r="N7" t="s">
        <v>157</v>
      </c>
      <c r="O7" t="s">
        <v>158</v>
      </c>
      <c r="P7" t="s">
        <v>91</v>
      </c>
      <c r="Q7" t="s">
        <v>111</v>
      </c>
      <c r="R7" t="s">
        <v>800</v>
      </c>
      <c r="S7" t="s">
        <v>94</v>
      </c>
      <c r="T7" s="14" t="s">
        <v>783</v>
      </c>
      <c r="U7" t="s">
        <v>160</v>
      </c>
      <c r="V7" t="s">
        <v>801</v>
      </c>
      <c r="W7" t="s">
        <v>161</v>
      </c>
      <c r="X7" t="s">
        <v>99</v>
      </c>
      <c r="Y7" t="s">
        <v>100</v>
      </c>
      <c r="Z7" t="s">
        <v>101</v>
      </c>
      <c r="AA7" s="5" t="s">
        <v>802</v>
      </c>
    </row>
    <row r="8" spans="1:27" ht="14" customHeight="1">
      <c r="A8" t="s">
        <v>162</v>
      </c>
      <c r="B8" t="s">
        <v>78</v>
      </c>
      <c r="C8" t="s">
        <v>163</v>
      </c>
      <c r="D8" t="s">
        <v>151</v>
      </c>
      <c r="E8" t="s">
        <v>81</v>
      </c>
      <c r="F8" t="s">
        <v>164</v>
      </c>
      <c r="G8" t="s">
        <v>165</v>
      </c>
      <c r="H8" t="s">
        <v>84</v>
      </c>
      <c r="I8" t="s">
        <v>85</v>
      </c>
      <c r="J8" t="s">
        <v>781</v>
      </c>
      <c r="K8" t="s">
        <v>803</v>
      </c>
      <c r="L8" t="s">
        <v>87</v>
      </c>
      <c r="M8" t="s">
        <v>88</v>
      </c>
      <c r="N8" t="s">
        <v>167</v>
      </c>
      <c r="O8" t="s">
        <v>168</v>
      </c>
      <c r="P8" t="s">
        <v>91</v>
      </c>
      <c r="Q8" t="s">
        <v>111</v>
      </c>
      <c r="R8" t="s">
        <v>804</v>
      </c>
      <c r="S8" t="s">
        <v>94</v>
      </c>
      <c r="T8" s="14" t="s">
        <v>783</v>
      </c>
      <c r="U8" t="s">
        <v>169</v>
      </c>
      <c r="V8" t="s">
        <v>805</v>
      </c>
      <c r="W8" t="s">
        <v>161</v>
      </c>
      <c r="X8" t="s">
        <v>142</v>
      </c>
      <c r="Y8" t="s">
        <v>100</v>
      </c>
      <c r="Z8" t="s">
        <v>101</v>
      </c>
      <c r="AA8" s="5" t="s">
        <v>806</v>
      </c>
    </row>
    <row r="9" spans="1:27" ht="14" customHeight="1">
      <c r="A9" t="s">
        <v>170</v>
      </c>
      <c r="B9" t="s">
        <v>78</v>
      </c>
      <c r="C9" t="s">
        <v>171</v>
      </c>
      <c r="D9" t="s">
        <v>151</v>
      </c>
      <c r="E9" t="s">
        <v>81</v>
      </c>
      <c r="F9" t="s">
        <v>172</v>
      </c>
      <c r="G9" t="s">
        <v>173</v>
      </c>
      <c r="H9" t="s">
        <v>84</v>
      </c>
      <c r="I9" t="s">
        <v>85</v>
      </c>
      <c r="J9" t="s">
        <v>807</v>
      </c>
      <c r="K9" t="s">
        <v>808</v>
      </c>
      <c r="L9" t="s">
        <v>176</v>
      </c>
      <c r="M9" t="s">
        <v>177</v>
      </c>
      <c r="N9" t="s">
        <v>178</v>
      </c>
      <c r="O9" t="s">
        <v>179</v>
      </c>
      <c r="P9" t="s">
        <v>91</v>
      </c>
      <c r="Q9" t="s">
        <v>111</v>
      </c>
      <c r="R9" t="s">
        <v>809</v>
      </c>
      <c r="S9" t="s">
        <v>94</v>
      </c>
      <c r="T9" s="14" t="s">
        <v>783</v>
      </c>
      <c r="U9" t="s">
        <v>182</v>
      </c>
      <c r="V9" t="s">
        <v>810</v>
      </c>
      <c r="W9" t="s">
        <v>127</v>
      </c>
      <c r="X9" t="s">
        <v>99</v>
      </c>
      <c r="Y9" t="s">
        <v>184</v>
      </c>
      <c r="Z9" t="s">
        <v>101</v>
      </c>
      <c r="AA9" s="5" t="s">
        <v>793</v>
      </c>
    </row>
    <row r="10" spans="1:27" ht="14" customHeight="1">
      <c r="A10" t="s">
        <v>185</v>
      </c>
      <c r="B10" t="s">
        <v>78</v>
      </c>
      <c r="C10" t="s">
        <v>186</v>
      </c>
      <c r="D10" t="s">
        <v>151</v>
      </c>
      <c r="E10" t="s">
        <v>81</v>
      </c>
      <c r="F10" t="s">
        <v>811</v>
      </c>
      <c r="G10" t="s">
        <v>812</v>
      </c>
      <c r="H10" t="s">
        <v>84</v>
      </c>
      <c r="I10" t="s">
        <v>85</v>
      </c>
      <c r="J10" t="s">
        <v>813</v>
      </c>
      <c r="K10"/>
      <c r="L10" t="s">
        <v>190</v>
      </c>
      <c r="M10" t="s">
        <v>191</v>
      </c>
      <c r="N10" t="s">
        <v>814</v>
      </c>
      <c r="O10" t="s">
        <v>193</v>
      </c>
      <c r="P10" t="s">
        <v>91</v>
      </c>
      <c r="Q10" t="s">
        <v>111</v>
      </c>
      <c r="R10" t="s">
        <v>194</v>
      </c>
      <c r="S10" t="s">
        <v>94</v>
      </c>
      <c r="T10" s="14" t="s">
        <v>783</v>
      </c>
      <c r="U10" t="s">
        <v>195</v>
      </c>
      <c r="V10" t="s">
        <v>815</v>
      </c>
      <c r="W10" t="s">
        <v>161</v>
      </c>
      <c r="X10" t="s">
        <v>142</v>
      </c>
      <c r="Y10" t="s">
        <v>184</v>
      </c>
      <c r="Z10" t="s">
        <v>101</v>
      </c>
      <c r="AA10" s="5" t="s">
        <v>816</v>
      </c>
    </row>
    <row r="11" spans="1:27" ht="14" customHeight="1">
      <c r="A11" t="s">
        <v>197</v>
      </c>
      <c r="B11" t="s">
        <v>78</v>
      </c>
      <c r="C11" t="s">
        <v>198</v>
      </c>
      <c r="D11" t="s">
        <v>199</v>
      </c>
      <c r="E11" t="s">
        <v>81</v>
      </c>
      <c r="F11" t="s">
        <v>200</v>
      </c>
      <c r="G11" t="s">
        <v>201</v>
      </c>
      <c r="H11" t="s">
        <v>84</v>
      </c>
      <c r="I11" t="s">
        <v>16</v>
      </c>
      <c r="J11" t="s">
        <v>817</v>
      </c>
      <c r="K11" t="s">
        <v>202</v>
      </c>
      <c r="L11" t="s">
        <v>203</v>
      </c>
      <c r="M11" t="s">
        <v>204</v>
      </c>
      <c r="N11" t="s">
        <v>205</v>
      </c>
      <c r="O11" t="s">
        <v>206</v>
      </c>
      <c r="P11" t="s">
        <v>91</v>
      </c>
      <c r="Q11" t="s">
        <v>207</v>
      </c>
      <c r="R11" t="s">
        <v>818</v>
      </c>
      <c r="S11" t="s">
        <v>94</v>
      </c>
      <c r="T11" s="14" t="s">
        <v>783</v>
      </c>
      <c r="U11" t="s">
        <v>208</v>
      </c>
      <c r="V11" t="s">
        <v>819</v>
      </c>
      <c r="W11" t="s">
        <v>209</v>
      </c>
      <c r="X11" t="s">
        <v>99</v>
      </c>
      <c r="Y11" t="s">
        <v>100</v>
      </c>
      <c r="Z11" t="s">
        <v>101</v>
      </c>
      <c r="AA11" s="5" t="s">
        <v>820</v>
      </c>
    </row>
    <row r="12" spans="1:27" ht="14" customHeight="1">
      <c r="A12" t="s">
        <v>210</v>
      </c>
      <c r="B12" t="s">
        <v>78</v>
      </c>
      <c r="C12" t="s">
        <v>211</v>
      </c>
      <c r="D12" t="s">
        <v>199</v>
      </c>
      <c r="E12" t="s">
        <v>81</v>
      </c>
      <c r="F12" t="s">
        <v>212</v>
      </c>
      <c r="G12" t="s">
        <v>213</v>
      </c>
      <c r="H12" t="s">
        <v>84</v>
      </c>
      <c r="I12" t="s">
        <v>214</v>
      </c>
      <c r="J12" t="s">
        <v>813</v>
      </c>
      <c r="K12" t="s">
        <v>821</v>
      </c>
      <c r="L12" t="s">
        <v>216</v>
      </c>
      <c r="M12" t="s">
        <v>217</v>
      </c>
      <c r="N12" t="s">
        <v>218</v>
      </c>
      <c r="O12" t="s">
        <v>219</v>
      </c>
      <c r="P12" t="s">
        <v>91</v>
      </c>
      <c r="Q12" t="s">
        <v>111</v>
      </c>
      <c r="R12" t="s">
        <v>822</v>
      </c>
      <c r="S12" t="s">
        <v>94</v>
      </c>
      <c r="T12" s="14" t="s">
        <v>783</v>
      </c>
      <c r="U12" t="s">
        <v>220</v>
      </c>
      <c r="V12" t="s">
        <v>823</v>
      </c>
      <c r="W12" t="s">
        <v>209</v>
      </c>
      <c r="X12" t="s">
        <v>99</v>
      </c>
      <c r="Y12" t="s">
        <v>184</v>
      </c>
      <c r="Z12" t="s">
        <v>101</v>
      </c>
      <c r="AA12" s="5" t="s">
        <v>820</v>
      </c>
    </row>
    <row r="13" spans="1:27" ht="14" customHeight="1">
      <c r="A13" t="s">
        <v>221</v>
      </c>
      <c r="B13" t="s">
        <v>78</v>
      </c>
      <c r="C13" t="s">
        <v>222</v>
      </c>
      <c r="D13" t="s">
        <v>199</v>
      </c>
      <c r="E13" t="s">
        <v>81</v>
      </c>
      <c r="F13" t="s">
        <v>824</v>
      </c>
      <c r="G13" t="s">
        <v>825</v>
      </c>
      <c r="H13" t="s">
        <v>84</v>
      </c>
      <c r="I13" t="s">
        <v>226</v>
      </c>
      <c r="J13" t="s">
        <v>781</v>
      </c>
      <c r="K13" t="s">
        <v>826</v>
      </c>
      <c r="L13" t="s">
        <v>827</v>
      </c>
      <c r="M13" t="s">
        <v>229</v>
      </c>
      <c r="N13" t="s">
        <v>230</v>
      </c>
      <c r="O13" t="s">
        <v>231</v>
      </c>
      <c r="P13" t="s">
        <v>91</v>
      </c>
      <c r="Q13" t="s">
        <v>111</v>
      </c>
      <c r="R13" t="s">
        <v>828</v>
      </c>
      <c r="S13" t="s">
        <v>94</v>
      </c>
      <c r="T13" s="14" t="s">
        <v>783</v>
      </c>
      <c r="U13" t="s">
        <v>233</v>
      </c>
      <c r="V13" t="s">
        <v>829</v>
      </c>
      <c r="W13" t="s">
        <v>98</v>
      </c>
      <c r="X13" t="s">
        <v>142</v>
      </c>
      <c r="Y13" t="s">
        <v>184</v>
      </c>
      <c r="Z13" t="s">
        <v>101</v>
      </c>
      <c r="AA13" s="5" t="s">
        <v>797</v>
      </c>
    </row>
    <row r="14" spans="1:27" ht="14" customHeight="1">
      <c r="A14" t="s">
        <v>235</v>
      </c>
      <c r="B14" t="s">
        <v>78</v>
      </c>
      <c r="C14" t="s">
        <v>236</v>
      </c>
      <c r="D14" t="s">
        <v>199</v>
      </c>
      <c r="E14" t="s">
        <v>81</v>
      </c>
      <c r="F14" t="s">
        <v>237</v>
      </c>
      <c r="G14" t="s">
        <v>238</v>
      </c>
      <c r="H14" t="s">
        <v>84</v>
      </c>
      <c r="I14" t="s">
        <v>16</v>
      </c>
      <c r="J14" t="s">
        <v>817</v>
      </c>
      <c r="K14" t="s">
        <v>202</v>
      </c>
      <c r="L14" t="s">
        <v>240</v>
      </c>
      <c r="M14" t="s">
        <v>241</v>
      </c>
      <c r="N14" t="s">
        <v>242</v>
      </c>
      <c r="O14" t="s">
        <v>243</v>
      </c>
      <c r="P14" t="s">
        <v>91</v>
      </c>
      <c r="Q14" t="s">
        <v>244</v>
      </c>
      <c r="R14" t="s">
        <v>830</v>
      </c>
      <c r="S14" t="s">
        <v>94</v>
      </c>
      <c r="T14" s="14" t="s">
        <v>783</v>
      </c>
      <c r="U14" t="s">
        <v>246</v>
      </c>
      <c r="V14" t="s">
        <v>831</v>
      </c>
      <c r="W14" t="s">
        <v>161</v>
      </c>
      <c r="X14" t="s">
        <v>99</v>
      </c>
      <c r="Y14" t="s">
        <v>184</v>
      </c>
      <c r="Z14" t="s">
        <v>101</v>
      </c>
      <c r="AA14" s="5" t="s">
        <v>802</v>
      </c>
    </row>
    <row r="15" spans="1:27" ht="14" customHeight="1">
      <c r="A15" t="s">
        <v>248</v>
      </c>
      <c r="B15" t="s">
        <v>78</v>
      </c>
      <c r="C15" t="s">
        <v>249</v>
      </c>
      <c r="D15" t="s">
        <v>250</v>
      </c>
      <c r="E15" t="s">
        <v>81</v>
      </c>
      <c r="F15" t="s">
        <v>251</v>
      </c>
      <c r="G15" t="s">
        <v>252</v>
      </c>
      <c r="H15" t="s">
        <v>84</v>
      </c>
      <c r="I15" t="s">
        <v>85</v>
      </c>
      <c r="J15" t="s">
        <v>832</v>
      </c>
      <c r="K15" t="s">
        <v>833</v>
      </c>
      <c r="L15" t="s">
        <v>254</v>
      </c>
      <c r="M15" t="s">
        <v>255</v>
      </c>
      <c r="N15" t="s">
        <v>256</v>
      </c>
      <c r="O15" t="s">
        <v>257</v>
      </c>
      <c r="P15" t="s">
        <v>91</v>
      </c>
      <c r="Q15" t="s">
        <v>258</v>
      </c>
      <c r="R15" t="s">
        <v>834</v>
      </c>
      <c r="S15" t="s">
        <v>94</v>
      </c>
      <c r="T15" s="14" t="s">
        <v>783</v>
      </c>
      <c r="U15" t="s">
        <v>260</v>
      </c>
      <c r="V15" t="s">
        <v>835</v>
      </c>
      <c r="W15" t="s">
        <v>262</v>
      </c>
      <c r="X15" t="s">
        <v>99</v>
      </c>
      <c r="Y15" t="s">
        <v>100</v>
      </c>
      <c r="Z15" t="s">
        <v>101</v>
      </c>
      <c r="AA15" s="5" t="s">
        <v>836</v>
      </c>
    </row>
    <row r="16" spans="1:27" ht="14" customHeight="1">
      <c r="A16" t="s">
        <v>263</v>
      </c>
      <c r="B16" t="s">
        <v>78</v>
      </c>
      <c r="C16" t="s">
        <v>264</v>
      </c>
      <c r="D16" t="s">
        <v>250</v>
      </c>
      <c r="E16" t="s">
        <v>81</v>
      </c>
      <c r="F16" t="s">
        <v>837</v>
      </c>
      <c r="G16" s="7" t="s">
        <v>266</v>
      </c>
      <c r="H16" t="s">
        <v>84</v>
      </c>
      <c r="I16" t="s">
        <v>85</v>
      </c>
      <c r="J16" t="s">
        <v>832</v>
      </c>
      <c r="L16" t="s">
        <v>254</v>
      </c>
      <c r="M16" t="s">
        <v>255</v>
      </c>
      <c r="N16" t="s">
        <v>267</v>
      </c>
      <c r="O16" t="s">
        <v>268</v>
      </c>
      <c r="P16" t="s">
        <v>91</v>
      </c>
      <c r="Q16" t="s">
        <v>258</v>
      </c>
      <c r="R16" t="s">
        <v>834</v>
      </c>
      <c r="S16" t="s">
        <v>94</v>
      </c>
      <c r="T16" s="14" t="s">
        <v>783</v>
      </c>
      <c r="U16" t="s">
        <v>269</v>
      </c>
      <c r="V16" t="s">
        <v>838</v>
      </c>
      <c r="W16" t="s">
        <v>262</v>
      </c>
      <c r="X16" t="s">
        <v>142</v>
      </c>
      <c r="Y16" t="s">
        <v>184</v>
      </c>
      <c r="Z16" t="s">
        <v>101</v>
      </c>
      <c r="AA16" s="5" t="s">
        <v>839</v>
      </c>
    </row>
    <row r="17" spans="1:27" ht="14" customHeight="1">
      <c r="A17" t="s">
        <v>270</v>
      </c>
      <c r="B17" t="s">
        <v>78</v>
      </c>
      <c r="C17" t="s">
        <v>271</v>
      </c>
      <c r="D17" t="s">
        <v>250</v>
      </c>
      <c r="E17" t="s">
        <v>81</v>
      </c>
      <c r="F17" t="s">
        <v>272</v>
      </c>
      <c r="G17" t="s">
        <v>273</v>
      </c>
      <c r="H17" t="s">
        <v>84</v>
      </c>
      <c r="I17" t="s">
        <v>85</v>
      </c>
      <c r="J17" t="s">
        <v>832</v>
      </c>
      <c r="L17" t="s">
        <v>274</v>
      </c>
      <c r="M17" t="s">
        <v>275</v>
      </c>
      <c r="N17" t="s">
        <v>276</v>
      </c>
      <c r="O17" t="s">
        <v>277</v>
      </c>
      <c r="P17" t="s">
        <v>91</v>
      </c>
      <c r="Q17" t="s">
        <v>258</v>
      </c>
      <c r="R17" t="s">
        <v>278</v>
      </c>
      <c r="S17" t="s">
        <v>94</v>
      </c>
      <c r="T17" s="14" t="s">
        <v>783</v>
      </c>
      <c r="U17" t="s">
        <v>269</v>
      </c>
      <c r="V17" t="s">
        <v>840</v>
      </c>
      <c r="W17" t="s">
        <v>262</v>
      </c>
      <c r="X17" t="s">
        <v>142</v>
      </c>
      <c r="Y17" t="s">
        <v>184</v>
      </c>
      <c r="Z17" t="s">
        <v>101</v>
      </c>
      <c r="AA17" s="5" t="s">
        <v>839</v>
      </c>
    </row>
    <row r="18" spans="1:27" ht="14" customHeight="1">
      <c r="A18" t="s">
        <v>841</v>
      </c>
      <c r="B18" t="s">
        <v>78</v>
      </c>
      <c r="C18" t="s">
        <v>498</v>
      </c>
      <c r="D18" t="s">
        <v>499</v>
      </c>
      <c r="E18" t="s">
        <v>81</v>
      </c>
      <c r="F18" t="s">
        <v>842</v>
      </c>
      <c r="G18" t="s">
        <v>843</v>
      </c>
      <c r="H18" t="s">
        <v>84</v>
      </c>
      <c r="I18" t="s">
        <v>154</v>
      </c>
      <c r="J18" t="s">
        <v>813</v>
      </c>
      <c r="K18"/>
      <c r="L18" t="s">
        <v>190</v>
      </c>
      <c r="M18" t="s">
        <v>191</v>
      </c>
      <c r="N18" t="s">
        <v>501</v>
      </c>
      <c r="O18" t="s">
        <v>502</v>
      </c>
      <c r="P18" t="s">
        <v>91</v>
      </c>
      <c r="Q18" t="s">
        <v>367</v>
      </c>
      <c r="R18" t="s">
        <v>194</v>
      </c>
      <c r="S18" t="s">
        <v>94</v>
      </c>
      <c r="T18" s="14" t="s">
        <v>783</v>
      </c>
      <c r="U18" t="s">
        <v>504</v>
      </c>
      <c r="V18" t="s">
        <v>844</v>
      </c>
      <c r="W18" t="s">
        <v>471</v>
      </c>
      <c r="X18" t="s">
        <v>99</v>
      </c>
      <c r="Y18" t="s">
        <v>100</v>
      </c>
      <c r="Z18" t="s">
        <v>505</v>
      </c>
      <c r="AA18" s="5" t="s">
        <v>845</v>
      </c>
    </row>
    <row r="19" spans="1:27" ht="14" customHeight="1">
      <c r="A19" t="s">
        <v>280</v>
      </c>
      <c r="B19" t="s">
        <v>281</v>
      </c>
      <c r="C19" t="s">
        <v>79</v>
      </c>
      <c r="D19" t="s">
        <v>282</v>
      </c>
      <c r="E19" t="s">
        <v>81</v>
      </c>
      <c r="F19" t="s">
        <v>283</v>
      </c>
      <c r="G19" t="s">
        <v>83</v>
      </c>
      <c r="H19" t="s">
        <v>84</v>
      </c>
      <c r="I19" t="s">
        <v>85</v>
      </c>
      <c r="J19" t="s">
        <v>781</v>
      </c>
      <c r="K19" t="s">
        <v>782</v>
      </c>
      <c r="L19" t="s">
        <v>87</v>
      </c>
      <c r="M19" t="s">
        <v>88</v>
      </c>
      <c r="N19" t="s">
        <v>89</v>
      </c>
      <c r="O19" t="s">
        <v>90</v>
      </c>
      <c r="P19" t="s">
        <v>91</v>
      </c>
      <c r="Q19" t="s">
        <v>284</v>
      </c>
      <c r="R19" t="s">
        <v>93</v>
      </c>
      <c r="S19" t="s">
        <v>94</v>
      </c>
      <c r="T19" s="14" t="s">
        <v>783</v>
      </c>
      <c r="U19" t="s">
        <v>96</v>
      </c>
      <c r="V19" t="s">
        <v>846</v>
      </c>
      <c r="W19" t="s">
        <v>285</v>
      </c>
      <c r="X19" t="s">
        <v>142</v>
      </c>
      <c r="Y19" t="s">
        <v>100</v>
      </c>
      <c r="Z19" t="s">
        <v>286</v>
      </c>
      <c r="AA19" s="5" t="s">
        <v>847</v>
      </c>
    </row>
    <row r="20" spans="1:27" ht="14" customHeight="1">
      <c r="A20" t="s">
        <v>287</v>
      </c>
      <c r="B20" t="s">
        <v>281</v>
      </c>
      <c r="C20" t="s">
        <v>103</v>
      </c>
      <c r="D20" t="s">
        <v>282</v>
      </c>
      <c r="E20" t="s">
        <v>81</v>
      </c>
      <c r="F20" t="s">
        <v>288</v>
      </c>
      <c r="G20" t="s">
        <v>105</v>
      </c>
      <c r="H20" t="s">
        <v>84</v>
      </c>
      <c r="I20" t="s">
        <v>85</v>
      </c>
      <c r="J20" t="s">
        <v>781</v>
      </c>
      <c r="K20" t="s">
        <v>786</v>
      </c>
      <c r="L20" t="s">
        <v>107</v>
      </c>
      <c r="M20" t="s">
        <v>108</v>
      </c>
      <c r="N20" t="s">
        <v>109</v>
      </c>
      <c r="O20" t="s">
        <v>110</v>
      </c>
      <c r="P20" t="s">
        <v>91</v>
      </c>
      <c r="Q20" t="s">
        <v>284</v>
      </c>
      <c r="R20" t="s">
        <v>787</v>
      </c>
      <c r="S20" t="s">
        <v>94</v>
      </c>
      <c r="T20" s="14" t="s">
        <v>783</v>
      </c>
      <c r="U20" t="s">
        <v>113</v>
      </c>
      <c r="V20" t="s">
        <v>788</v>
      </c>
      <c r="W20" t="s">
        <v>285</v>
      </c>
      <c r="X20" t="s">
        <v>142</v>
      </c>
      <c r="Y20" t="s">
        <v>100</v>
      </c>
      <c r="Z20" t="s">
        <v>286</v>
      </c>
      <c r="AA20" s="5" t="s">
        <v>847</v>
      </c>
    </row>
    <row r="21" spans="1:27" ht="14" customHeight="1">
      <c r="A21" t="s">
        <v>289</v>
      </c>
      <c r="B21" t="s">
        <v>281</v>
      </c>
      <c r="C21" t="s">
        <v>123</v>
      </c>
      <c r="D21" t="s">
        <v>282</v>
      </c>
      <c r="E21" t="s">
        <v>81</v>
      </c>
      <c r="F21" t="s">
        <v>290</v>
      </c>
      <c r="G21" t="s">
        <v>118</v>
      </c>
      <c r="H21" t="s">
        <v>84</v>
      </c>
      <c r="I21" t="s">
        <v>85</v>
      </c>
      <c r="J21" t="s">
        <v>781</v>
      </c>
      <c r="K21" t="s">
        <v>789</v>
      </c>
      <c r="L21" t="s">
        <v>790</v>
      </c>
      <c r="M21" t="s">
        <v>121</v>
      </c>
      <c r="N21" t="s">
        <v>122</v>
      </c>
      <c r="O21" t="s">
        <v>123</v>
      </c>
      <c r="P21" t="s">
        <v>91</v>
      </c>
      <c r="Q21" t="s">
        <v>291</v>
      </c>
      <c r="R21" t="s">
        <v>791</v>
      </c>
      <c r="S21" t="s">
        <v>94</v>
      </c>
      <c r="T21" s="14" t="s">
        <v>783</v>
      </c>
      <c r="U21" t="s">
        <v>125</v>
      </c>
      <c r="V21" t="s">
        <v>792</v>
      </c>
      <c r="W21" t="s">
        <v>292</v>
      </c>
      <c r="X21" t="s">
        <v>142</v>
      </c>
      <c r="Y21" t="s">
        <v>100</v>
      </c>
      <c r="Z21" t="s">
        <v>286</v>
      </c>
      <c r="AA21" s="5" t="s">
        <v>847</v>
      </c>
    </row>
    <row r="22" spans="1:27" ht="14" customHeight="1">
      <c r="A22" t="s">
        <v>293</v>
      </c>
      <c r="B22" t="s">
        <v>281</v>
      </c>
      <c r="C22" t="s">
        <v>294</v>
      </c>
      <c r="D22" t="s">
        <v>282</v>
      </c>
      <c r="E22" t="s">
        <v>81</v>
      </c>
      <c r="F22" t="s">
        <v>130</v>
      </c>
      <c r="G22" t="s">
        <v>131</v>
      </c>
      <c r="H22" t="s">
        <v>84</v>
      </c>
      <c r="I22" t="s">
        <v>85</v>
      </c>
      <c r="J22" t="s">
        <v>794</v>
      </c>
      <c r="K22" t="s">
        <v>795</v>
      </c>
      <c r="L22" t="s">
        <v>134</v>
      </c>
      <c r="M22" t="s">
        <v>135</v>
      </c>
      <c r="N22" t="s">
        <v>136</v>
      </c>
      <c r="O22" t="s">
        <v>137</v>
      </c>
      <c r="P22" t="s">
        <v>91</v>
      </c>
      <c r="Q22" t="s">
        <v>295</v>
      </c>
      <c r="R22" t="s">
        <v>138</v>
      </c>
      <c r="S22" t="s">
        <v>94</v>
      </c>
      <c r="T22" s="14" t="s">
        <v>783</v>
      </c>
      <c r="U22" t="s">
        <v>140</v>
      </c>
      <c r="V22" t="s">
        <v>796</v>
      </c>
      <c r="W22" t="s">
        <v>285</v>
      </c>
      <c r="X22" t="s">
        <v>142</v>
      </c>
      <c r="Y22" t="s">
        <v>100</v>
      </c>
      <c r="Z22" t="s">
        <v>296</v>
      </c>
      <c r="AA22" s="5" t="s">
        <v>848</v>
      </c>
    </row>
    <row r="23" spans="1:27" ht="14" customHeight="1">
      <c r="A23" t="s">
        <v>297</v>
      </c>
      <c r="B23" t="s">
        <v>281</v>
      </c>
      <c r="C23" t="s">
        <v>144</v>
      </c>
      <c r="D23" t="s">
        <v>282</v>
      </c>
      <c r="E23" t="s">
        <v>81</v>
      </c>
      <c r="F23" t="s">
        <v>145</v>
      </c>
      <c r="G23" t="s">
        <v>146</v>
      </c>
      <c r="H23" t="s">
        <v>84</v>
      </c>
      <c r="I23" t="s">
        <v>85</v>
      </c>
      <c r="J23" t="s">
        <v>794</v>
      </c>
      <c r="K23" t="s">
        <v>795</v>
      </c>
      <c r="L23" t="s">
        <v>134</v>
      </c>
      <c r="M23" t="s">
        <v>135</v>
      </c>
      <c r="O23" t="s">
        <v>147</v>
      </c>
      <c r="P23" t="s">
        <v>91</v>
      </c>
      <c r="Q23" t="s">
        <v>295</v>
      </c>
      <c r="R23" t="s">
        <v>138</v>
      </c>
      <c r="S23" t="s">
        <v>94</v>
      </c>
      <c r="T23" s="14" t="s">
        <v>783</v>
      </c>
      <c r="U23" t="s">
        <v>140</v>
      </c>
      <c r="V23" t="s">
        <v>798</v>
      </c>
      <c r="W23" t="s">
        <v>285</v>
      </c>
      <c r="X23" t="s">
        <v>142</v>
      </c>
      <c r="Y23" t="s">
        <v>100</v>
      </c>
      <c r="Z23" t="s">
        <v>296</v>
      </c>
      <c r="AA23" s="5" t="s">
        <v>848</v>
      </c>
    </row>
    <row r="24" spans="1:27" ht="14" customHeight="1">
      <c r="A24" t="s">
        <v>298</v>
      </c>
      <c r="B24" t="s">
        <v>281</v>
      </c>
      <c r="C24" t="s">
        <v>299</v>
      </c>
      <c r="D24" t="s">
        <v>300</v>
      </c>
      <c r="E24" t="s">
        <v>81</v>
      </c>
      <c r="F24" t="s">
        <v>301</v>
      </c>
      <c r="G24" t="s">
        <v>302</v>
      </c>
      <c r="H24" t="s">
        <v>84</v>
      </c>
      <c r="I24" t="s">
        <v>85</v>
      </c>
      <c r="J24" t="s">
        <v>781</v>
      </c>
      <c r="K24" t="s">
        <v>849</v>
      </c>
      <c r="L24" t="s">
        <v>850</v>
      </c>
      <c r="M24" t="s">
        <v>303</v>
      </c>
      <c r="N24" t="s">
        <v>306</v>
      </c>
      <c r="O24" t="s">
        <v>307</v>
      </c>
      <c r="P24" t="s">
        <v>91</v>
      </c>
      <c r="Q24" t="s">
        <v>308</v>
      </c>
      <c r="R24" t="s">
        <v>851</v>
      </c>
      <c r="S24" t="s">
        <v>94</v>
      </c>
      <c r="T24" s="14" t="s">
        <v>783</v>
      </c>
      <c r="U24" t="s">
        <v>310</v>
      </c>
      <c r="V24" t="s">
        <v>852</v>
      </c>
      <c r="W24" t="s">
        <v>292</v>
      </c>
      <c r="X24" t="s">
        <v>142</v>
      </c>
      <c r="Y24" t="s">
        <v>100</v>
      </c>
      <c r="Z24" t="s">
        <v>312</v>
      </c>
      <c r="AA24" s="5" t="s">
        <v>847</v>
      </c>
    </row>
    <row r="25" spans="1:27" ht="14" customHeight="1">
      <c r="A25" t="s">
        <v>313</v>
      </c>
      <c r="B25" t="s">
        <v>281</v>
      </c>
      <c r="C25" t="s">
        <v>314</v>
      </c>
      <c r="D25" t="s">
        <v>300</v>
      </c>
      <c r="E25" t="s">
        <v>81</v>
      </c>
      <c r="F25" t="s">
        <v>315</v>
      </c>
      <c r="G25" t="s">
        <v>316</v>
      </c>
      <c r="H25" t="s">
        <v>84</v>
      </c>
      <c r="I25" t="s">
        <v>85</v>
      </c>
      <c r="J25" t="s">
        <v>781</v>
      </c>
      <c r="K25" t="s">
        <v>849</v>
      </c>
      <c r="L25" t="s">
        <v>850</v>
      </c>
      <c r="M25" t="s">
        <v>303</v>
      </c>
      <c r="N25" t="s">
        <v>306</v>
      </c>
      <c r="O25" t="s">
        <v>307</v>
      </c>
      <c r="P25" t="s">
        <v>91</v>
      </c>
      <c r="Q25" t="s">
        <v>308</v>
      </c>
      <c r="R25" t="s">
        <v>853</v>
      </c>
      <c r="S25" t="s">
        <v>94</v>
      </c>
      <c r="T25" s="14" t="s">
        <v>783</v>
      </c>
      <c r="U25" t="s">
        <v>310</v>
      </c>
      <c r="V25" t="s">
        <v>854</v>
      </c>
      <c r="W25" t="s">
        <v>292</v>
      </c>
      <c r="X25" t="s">
        <v>142</v>
      </c>
      <c r="Y25" t="s">
        <v>100</v>
      </c>
      <c r="Z25" t="s">
        <v>312</v>
      </c>
      <c r="AA25" s="5" t="s">
        <v>847</v>
      </c>
    </row>
    <row r="26" spans="1:27" ht="14" customHeight="1">
      <c r="A26" t="s">
        <v>317</v>
      </c>
      <c r="B26" t="s">
        <v>281</v>
      </c>
      <c r="C26" t="s">
        <v>318</v>
      </c>
      <c r="D26" t="s">
        <v>300</v>
      </c>
      <c r="E26" t="s">
        <v>81</v>
      </c>
      <c r="F26" t="s">
        <v>319</v>
      </c>
      <c r="G26" t="s">
        <v>320</v>
      </c>
      <c r="H26" t="s">
        <v>84</v>
      </c>
      <c r="I26" t="s">
        <v>85</v>
      </c>
      <c r="J26" t="s">
        <v>781</v>
      </c>
      <c r="K26" t="s">
        <v>849</v>
      </c>
      <c r="L26" t="s">
        <v>850</v>
      </c>
      <c r="M26" t="s">
        <v>303</v>
      </c>
      <c r="N26" t="s">
        <v>306</v>
      </c>
      <c r="O26" t="s">
        <v>307</v>
      </c>
      <c r="P26" t="s">
        <v>91</v>
      </c>
      <c r="Q26" t="s">
        <v>308</v>
      </c>
      <c r="R26" t="s">
        <v>855</v>
      </c>
      <c r="S26" t="s">
        <v>94</v>
      </c>
      <c r="T26" s="14" t="s">
        <v>783</v>
      </c>
      <c r="U26" t="s">
        <v>310</v>
      </c>
      <c r="V26" t="s">
        <v>856</v>
      </c>
      <c r="W26" t="s">
        <v>292</v>
      </c>
      <c r="X26" t="s">
        <v>142</v>
      </c>
      <c r="Y26" t="s">
        <v>100</v>
      </c>
      <c r="Z26" t="s">
        <v>312</v>
      </c>
      <c r="AA26" s="5" t="s">
        <v>847</v>
      </c>
    </row>
    <row r="27" spans="1:27" ht="14" customHeight="1">
      <c r="A27" t="s">
        <v>321</v>
      </c>
      <c r="B27" t="s">
        <v>281</v>
      </c>
      <c r="C27" t="s">
        <v>322</v>
      </c>
      <c r="D27" t="s">
        <v>300</v>
      </c>
      <c r="E27" t="s">
        <v>81</v>
      </c>
      <c r="F27" t="s">
        <v>323</v>
      </c>
      <c r="G27" t="s">
        <v>324</v>
      </c>
      <c r="H27" t="s">
        <v>84</v>
      </c>
      <c r="I27" t="s">
        <v>85</v>
      </c>
      <c r="J27" t="s">
        <v>781</v>
      </c>
      <c r="K27" t="s">
        <v>849</v>
      </c>
      <c r="L27" t="s">
        <v>850</v>
      </c>
      <c r="M27" t="s">
        <v>303</v>
      </c>
      <c r="N27" t="s">
        <v>306</v>
      </c>
      <c r="O27" t="s">
        <v>307</v>
      </c>
      <c r="P27" t="s">
        <v>91</v>
      </c>
      <c r="Q27" t="s">
        <v>308</v>
      </c>
      <c r="R27" t="s">
        <v>857</v>
      </c>
      <c r="S27" t="s">
        <v>94</v>
      </c>
      <c r="T27" s="14" t="s">
        <v>783</v>
      </c>
      <c r="U27" t="s">
        <v>310</v>
      </c>
      <c r="V27" t="s">
        <v>858</v>
      </c>
      <c r="W27" t="s">
        <v>292</v>
      </c>
      <c r="X27" t="s">
        <v>142</v>
      </c>
      <c r="Y27" t="s">
        <v>184</v>
      </c>
      <c r="Z27" t="s">
        <v>312</v>
      </c>
      <c r="AA27" s="5" t="s">
        <v>847</v>
      </c>
    </row>
    <row r="28" spans="1:27" ht="14" customHeight="1">
      <c r="A28" t="s">
        <v>325</v>
      </c>
      <c r="B28" t="s">
        <v>281</v>
      </c>
      <c r="C28" t="s">
        <v>326</v>
      </c>
      <c r="D28" t="s">
        <v>300</v>
      </c>
      <c r="E28" t="s">
        <v>81</v>
      </c>
      <c r="F28" t="s">
        <v>327</v>
      </c>
      <c r="G28" t="s">
        <v>328</v>
      </c>
      <c r="H28" t="s">
        <v>84</v>
      </c>
      <c r="I28" t="s">
        <v>85</v>
      </c>
      <c r="J28" t="s">
        <v>781</v>
      </c>
      <c r="K28" t="s">
        <v>849</v>
      </c>
      <c r="L28" t="s">
        <v>850</v>
      </c>
      <c r="M28" t="s">
        <v>303</v>
      </c>
      <c r="N28" t="s">
        <v>306</v>
      </c>
      <c r="O28" t="s">
        <v>307</v>
      </c>
      <c r="P28" t="s">
        <v>91</v>
      </c>
      <c r="Q28" t="s">
        <v>308</v>
      </c>
      <c r="R28" t="s">
        <v>859</v>
      </c>
      <c r="S28" t="s">
        <v>94</v>
      </c>
      <c r="T28" s="14" t="s">
        <v>783</v>
      </c>
      <c r="U28" t="s">
        <v>310</v>
      </c>
      <c r="V28" t="s">
        <v>860</v>
      </c>
      <c r="W28" t="s">
        <v>292</v>
      </c>
      <c r="X28" t="s">
        <v>142</v>
      </c>
      <c r="Y28" t="s">
        <v>184</v>
      </c>
      <c r="Z28" t="s">
        <v>312</v>
      </c>
      <c r="AA28" s="5" t="s">
        <v>847</v>
      </c>
    </row>
    <row r="29" spans="1:27" ht="14" customHeight="1">
      <c r="A29" t="s">
        <v>329</v>
      </c>
      <c r="B29" t="s">
        <v>281</v>
      </c>
      <c r="C29" t="s">
        <v>330</v>
      </c>
      <c r="D29" t="s">
        <v>300</v>
      </c>
      <c r="E29" t="s">
        <v>81</v>
      </c>
      <c r="F29" t="s">
        <v>331</v>
      </c>
      <c r="G29" t="s">
        <v>332</v>
      </c>
      <c r="H29" t="s">
        <v>84</v>
      </c>
      <c r="I29" t="s">
        <v>85</v>
      </c>
      <c r="J29" t="s">
        <v>807</v>
      </c>
      <c r="K29" t="s">
        <v>861</v>
      </c>
      <c r="L29" t="s">
        <v>850</v>
      </c>
      <c r="M29" t="s">
        <v>303</v>
      </c>
      <c r="N29" t="s">
        <v>306</v>
      </c>
      <c r="O29" t="s">
        <v>307</v>
      </c>
      <c r="P29" t="s">
        <v>91</v>
      </c>
      <c r="Q29" t="s">
        <v>308</v>
      </c>
      <c r="R29" t="s">
        <v>862</v>
      </c>
      <c r="S29" t="s">
        <v>94</v>
      </c>
      <c r="T29" s="14" t="s">
        <v>783</v>
      </c>
      <c r="U29" t="s">
        <v>310</v>
      </c>
      <c r="V29" t="s">
        <v>863</v>
      </c>
      <c r="W29" t="s">
        <v>292</v>
      </c>
      <c r="X29" t="s">
        <v>142</v>
      </c>
      <c r="Y29" t="s">
        <v>100</v>
      </c>
      <c r="Z29" t="s">
        <v>334</v>
      </c>
      <c r="AA29" s="5" t="s">
        <v>847</v>
      </c>
    </row>
    <row r="30" spans="1:27" ht="14" customHeight="1">
      <c r="A30" t="s">
        <v>335</v>
      </c>
      <c r="B30" t="s">
        <v>281</v>
      </c>
      <c r="C30" t="s">
        <v>336</v>
      </c>
      <c r="D30" t="s">
        <v>337</v>
      </c>
      <c r="E30" t="s">
        <v>81</v>
      </c>
      <c r="F30" t="s">
        <v>338</v>
      </c>
      <c r="G30" t="s">
        <v>339</v>
      </c>
      <c r="H30" t="s">
        <v>84</v>
      </c>
      <c r="I30" t="s">
        <v>85</v>
      </c>
      <c r="J30" t="s">
        <v>781</v>
      </c>
      <c r="K30" t="s">
        <v>864</v>
      </c>
      <c r="L30" t="s">
        <v>850</v>
      </c>
      <c r="M30" t="s">
        <v>303</v>
      </c>
      <c r="N30" t="s">
        <v>306</v>
      </c>
      <c r="O30" t="s">
        <v>307</v>
      </c>
      <c r="P30" t="s">
        <v>91</v>
      </c>
      <c r="Q30" t="s">
        <v>341</v>
      </c>
      <c r="R30" t="s">
        <v>865</v>
      </c>
      <c r="S30" t="s">
        <v>94</v>
      </c>
      <c r="T30" s="14" t="s">
        <v>783</v>
      </c>
      <c r="U30" t="s">
        <v>310</v>
      </c>
      <c r="V30" t="s">
        <v>866</v>
      </c>
      <c r="W30" t="s">
        <v>292</v>
      </c>
      <c r="X30" t="s">
        <v>99</v>
      </c>
      <c r="Y30" t="s">
        <v>100</v>
      </c>
      <c r="Z30" t="s">
        <v>334</v>
      </c>
      <c r="AA30" s="5" t="s">
        <v>867</v>
      </c>
    </row>
    <row r="31" spans="1:27" ht="14" customHeight="1">
      <c r="A31" t="s">
        <v>342</v>
      </c>
      <c r="B31" t="s">
        <v>281</v>
      </c>
      <c r="C31" t="s">
        <v>343</v>
      </c>
      <c r="D31" t="s">
        <v>337</v>
      </c>
      <c r="E31" t="s">
        <v>81</v>
      </c>
      <c r="F31" t="s">
        <v>344</v>
      </c>
      <c r="G31" t="s">
        <v>345</v>
      </c>
      <c r="H31" t="s">
        <v>84</v>
      </c>
      <c r="I31" t="s">
        <v>85</v>
      </c>
      <c r="J31" t="s">
        <v>781</v>
      </c>
      <c r="K31" t="s">
        <v>864</v>
      </c>
      <c r="L31" t="s">
        <v>850</v>
      </c>
      <c r="M31" t="s">
        <v>303</v>
      </c>
      <c r="N31" t="s">
        <v>306</v>
      </c>
      <c r="O31" t="s">
        <v>307</v>
      </c>
      <c r="P31" t="s">
        <v>91</v>
      </c>
      <c r="Q31" t="s">
        <v>341</v>
      </c>
      <c r="R31" t="s">
        <v>868</v>
      </c>
      <c r="S31" t="s">
        <v>94</v>
      </c>
      <c r="T31" s="14" t="s">
        <v>783</v>
      </c>
      <c r="U31" t="s">
        <v>310</v>
      </c>
      <c r="V31" t="s">
        <v>869</v>
      </c>
      <c r="W31" t="s">
        <v>292</v>
      </c>
      <c r="X31" t="s">
        <v>142</v>
      </c>
      <c r="Y31" t="s">
        <v>100</v>
      </c>
      <c r="Z31" t="s">
        <v>334</v>
      </c>
      <c r="AA31" s="5" t="s">
        <v>847</v>
      </c>
    </row>
    <row r="32" spans="1:27" ht="14" customHeight="1">
      <c r="A32" t="s">
        <v>346</v>
      </c>
      <c r="B32" t="s">
        <v>281</v>
      </c>
      <c r="C32" t="s">
        <v>347</v>
      </c>
      <c r="D32" t="s">
        <v>337</v>
      </c>
      <c r="E32" t="s">
        <v>81</v>
      </c>
      <c r="F32" t="s">
        <v>331</v>
      </c>
      <c r="G32" t="s">
        <v>332</v>
      </c>
      <c r="H32" t="s">
        <v>84</v>
      </c>
      <c r="I32" t="s">
        <v>85</v>
      </c>
      <c r="J32" t="s">
        <v>781</v>
      </c>
      <c r="K32" t="s">
        <v>864</v>
      </c>
      <c r="L32" t="s">
        <v>850</v>
      </c>
      <c r="M32" t="s">
        <v>303</v>
      </c>
      <c r="N32" t="s">
        <v>306</v>
      </c>
      <c r="O32" t="s">
        <v>307</v>
      </c>
      <c r="P32" t="s">
        <v>91</v>
      </c>
      <c r="Q32" t="s">
        <v>341</v>
      </c>
      <c r="R32" t="s">
        <v>870</v>
      </c>
      <c r="S32" t="s">
        <v>94</v>
      </c>
      <c r="T32" s="14" t="s">
        <v>783</v>
      </c>
      <c r="U32" t="s">
        <v>310</v>
      </c>
      <c r="V32" t="s">
        <v>871</v>
      </c>
      <c r="W32" t="s">
        <v>292</v>
      </c>
      <c r="X32" t="s">
        <v>142</v>
      </c>
      <c r="Y32" t="s">
        <v>100</v>
      </c>
      <c r="Z32" t="s">
        <v>334</v>
      </c>
      <c r="AA32" s="5" t="s">
        <v>847</v>
      </c>
    </row>
    <row r="33" spans="1:27" ht="14" customHeight="1">
      <c r="A33" t="s">
        <v>348</v>
      </c>
      <c r="B33" t="s">
        <v>281</v>
      </c>
      <c r="C33" t="s">
        <v>349</v>
      </c>
      <c r="D33" t="s">
        <v>337</v>
      </c>
      <c r="E33" t="s">
        <v>81</v>
      </c>
      <c r="F33" t="s">
        <v>350</v>
      </c>
      <c r="G33" t="s">
        <v>351</v>
      </c>
      <c r="H33" t="s">
        <v>352</v>
      </c>
      <c r="I33" t="s">
        <v>85</v>
      </c>
      <c r="J33" t="s">
        <v>781</v>
      </c>
      <c r="K33" t="s">
        <v>864</v>
      </c>
      <c r="L33" t="s">
        <v>850</v>
      </c>
      <c r="M33" t="s">
        <v>303</v>
      </c>
      <c r="N33" t="s">
        <v>353</v>
      </c>
      <c r="O33" t="s">
        <v>354</v>
      </c>
      <c r="P33" t="s">
        <v>91</v>
      </c>
      <c r="Q33" t="s">
        <v>355</v>
      </c>
      <c r="R33" t="s">
        <v>872</v>
      </c>
      <c r="S33" t="s">
        <v>94</v>
      </c>
      <c r="T33" s="14" t="s">
        <v>783</v>
      </c>
      <c r="U33" t="s">
        <v>310</v>
      </c>
      <c r="V33" t="s">
        <v>873</v>
      </c>
      <c r="W33" t="s">
        <v>292</v>
      </c>
      <c r="X33" t="s">
        <v>142</v>
      </c>
      <c r="Y33" t="s">
        <v>184</v>
      </c>
      <c r="Z33" t="s">
        <v>356</v>
      </c>
      <c r="AA33" s="5" t="s">
        <v>847</v>
      </c>
    </row>
    <row r="34" spans="1:27" ht="14" customHeight="1">
      <c r="A34" t="s">
        <v>357</v>
      </c>
      <c r="B34" t="s">
        <v>358</v>
      </c>
      <c r="C34" t="s">
        <v>359</v>
      </c>
      <c r="D34" t="s">
        <v>360</v>
      </c>
      <c r="E34" t="s">
        <v>81</v>
      </c>
      <c r="F34" t="s">
        <v>361</v>
      </c>
      <c r="G34" t="s">
        <v>362</v>
      </c>
      <c r="H34" t="s">
        <v>363</v>
      </c>
      <c r="I34" t="s">
        <v>85</v>
      </c>
      <c r="J34" t="s">
        <v>781</v>
      </c>
      <c r="K34" t="s">
        <v>874</v>
      </c>
      <c r="L34" t="s">
        <v>87</v>
      </c>
      <c r="M34" t="s">
        <v>88</v>
      </c>
      <c r="N34" t="s">
        <v>875</v>
      </c>
      <c r="O34" t="s">
        <v>876</v>
      </c>
      <c r="P34" t="s">
        <v>91</v>
      </c>
      <c r="Q34" t="s">
        <v>367</v>
      </c>
      <c r="R34" t="s">
        <v>93</v>
      </c>
      <c r="S34" t="s">
        <v>94</v>
      </c>
      <c r="T34" s="14" t="s">
        <v>783</v>
      </c>
      <c r="U34" t="s">
        <v>96</v>
      </c>
      <c r="V34" t="s">
        <v>877</v>
      </c>
      <c r="W34" t="s">
        <v>368</v>
      </c>
      <c r="X34" t="s">
        <v>142</v>
      </c>
      <c r="Y34" t="s">
        <v>100</v>
      </c>
      <c r="Z34" t="s">
        <v>369</v>
      </c>
      <c r="AA34" s="5" t="s">
        <v>878</v>
      </c>
    </row>
    <row r="35" spans="1:27" ht="14" customHeight="1">
      <c r="A35" t="s">
        <v>370</v>
      </c>
      <c r="B35" t="s">
        <v>358</v>
      </c>
      <c r="C35" t="s">
        <v>371</v>
      </c>
      <c r="D35" t="s">
        <v>360</v>
      </c>
      <c r="E35" t="s">
        <v>81</v>
      </c>
      <c r="F35" t="s">
        <v>372</v>
      </c>
      <c r="G35" t="s">
        <v>373</v>
      </c>
      <c r="H35" t="s">
        <v>363</v>
      </c>
      <c r="I35" t="s">
        <v>85</v>
      </c>
      <c r="J35" t="s">
        <v>832</v>
      </c>
      <c r="K35" t="s">
        <v>166</v>
      </c>
      <c r="L35" t="s">
        <v>87</v>
      </c>
      <c r="M35" t="s">
        <v>88</v>
      </c>
      <c r="N35" t="s">
        <v>875</v>
      </c>
      <c r="O35" t="s">
        <v>879</v>
      </c>
      <c r="P35" t="s">
        <v>91</v>
      </c>
      <c r="Q35" t="s">
        <v>367</v>
      </c>
      <c r="R35" t="s">
        <v>880</v>
      </c>
      <c r="S35" t="s">
        <v>94</v>
      </c>
      <c r="T35" s="14" t="s">
        <v>783</v>
      </c>
      <c r="U35" t="s">
        <v>169</v>
      </c>
      <c r="V35" t="s">
        <v>881</v>
      </c>
      <c r="W35" t="s">
        <v>368</v>
      </c>
      <c r="X35" t="s">
        <v>142</v>
      </c>
      <c r="Y35" t="s">
        <v>100</v>
      </c>
      <c r="Z35" t="s">
        <v>369</v>
      </c>
      <c r="AA35" s="5" t="s">
        <v>878</v>
      </c>
    </row>
    <row r="36" spans="1:27" ht="14" customHeight="1">
      <c r="A36" t="s">
        <v>375</v>
      </c>
      <c r="B36" t="s">
        <v>358</v>
      </c>
      <c r="C36" t="s">
        <v>376</v>
      </c>
      <c r="D36" t="s">
        <v>360</v>
      </c>
      <c r="E36" t="s">
        <v>81</v>
      </c>
      <c r="F36" t="s">
        <v>377</v>
      </c>
      <c r="G36" t="s">
        <v>378</v>
      </c>
      <c r="H36" t="s">
        <v>363</v>
      </c>
      <c r="I36" t="s">
        <v>85</v>
      </c>
      <c r="J36" t="s">
        <v>832</v>
      </c>
      <c r="K36" t="s">
        <v>882</v>
      </c>
      <c r="L36" t="s">
        <v>87</v>
      </c>
      <c r="M36" t="s">
        <v>88</v>
      </c>
      <c r="N36" t="s">
        <v>875</v>
      </c>
      <c r="O36" t="s">
        <v>879</v>
      </c>
      <c r="P36" t="s">
        <v>91</v>
      </c>
      <c r="Q36" t="s">
        <v>367</v>
      </c>
      <c r="R36" t="s">
        <v>883</v>
      </c>
      <c r="S36" t="s">
        <v>94</v>
      </c>
      <c r="T36" s="14" t="s">
        <v>783</v>
      </c>
      <c r="U36" t="s">
        <v>169</v>
      </c>
      <c r="V36" t="s">
        <v>884</v>
      </c>
      <c r="W36" t="s">
        <v>368</v>
      </c>
      <c r="X36" t="s">
        <v>142</v>
      </c>
      <c r="Y36" t="s">
        <v>100</v>
      </c>
      <c r="Z36" t="s">
        <v>369</v>
      </c>
      <c r="AA36" s="5" t="s">
        <v>878</v>
      </c>
    </row>
    <row r="37" spans="1:27" ht="14" customHeight="1">
      <c r="A37" t="s">
        <v>380</v>
      </c>
      <c r="B37" t="s">
        <v>358</v>
      </c>
      <c r="C37" t="s">
        <v>381</v>
      </c>
      <c r="D37" t="s">
        <v>360</v>
      </c>
      <c r="E37" t="s">
        <v>81</v>
      </c>
      <c r="F37" t="s">
        <v>382</v>
      </c>
      <c r="G37" t="s">
        <v>165</v>
      </c>
      <c r="H37" t="s">
        <v>84</v>
      </c>
      <c r="I37" t="s">
        <v>85</v>
      </c>
      <c r="J37" t="s">
        <v>832</v>
      </c>
      <c r="K37" t="s">
        <v>166</v>
      </c>
      <c r="L37" t="s">
        <v>87</v>
      </c>
      <c r="M37" t="s">
        <v>88</v>
      </c>
      <c r="N37" t="s">
        <v>875</v>
      </c>
      <c r="O37" t="s">
        <v>879</v>
      </c>
      <c r="P37" t="s">
        <v>91</v>
      </c>
      <c r="Q37" t="s">
        <v>367</v>
      </c>
      <c r="R37" t="s">
        <v>885</v>
      </c>
      <c r="S37" t="s">
        <v>94</v>
      </c>
      <c r="T37" s="14" t="s">
        <v>783</v>
      </c>
      <c r="U37" t="s">
        <v>169</v>
      </c>
      <c r="V37" t="s">
        <v>886</v>
      </c>
      <c r="W37" t="s">
        <v>368</v>
      </c>
      <c r="X37" t="s">
        <v>142</v>
      </c>
      <c r="Y37" t="s">
        <v>100</v>
      </c>
      <c r="Z37" t="s">
        <v>383</v>
      </c>
      <c r="AA37" s="5" t="s">
        <v>878</v>
      </c>
    </row>
    <row r="38" spans="1:27" ht="14" customHeight="1">
      <c r="A38" t="s">
        <v>384</v>
      </c>
      <c r="B38" t="s">
        <v>358</v>
      </c>
      <c r="C38" t="s">
        <v>385</v>
      </c>
      <c r="D38" t="s">
        <v>386</v>
      </c>
      <c r="E38" t="s">
        <v>81</v>
      </c>
      <c r="F38" t="s">
        <v>387</v>
      </c>
      <c r="G38" t="s">
        <v>388</v>
      </c>
      <c r="H38" t="s">
        <v>84</v>
      </c>
      <c r="I38" t="s">
        <v>154</v>
      </c>
      <c r="J38" t="s">
        <v>781</v>
      </c>
      <c r="K38" t="s">
        <v>887</v>
      </c>
      <c r="L38" t="s">
        <v>176</v>
      </c>
      <c r="M38" t="s">
        <v>177</v>
      </c>
      <c r="N38" t="s">
        <v>306</v>
      </c>
      <c r="O38" t="s">
        <v>390</v>
      </c>
      <c r="P38" t="s">
        <v>91</v>
      </c>
      <c r="Q38" t="s">
        <v>391</v>
      </c>
      <c r="R38" t="s">
        <v>888</v>
      </c>
      <c r="S38" t="s">
        <v>94</v>
      </c>
      <c r="T38" s="14" t="s">
        <v>783</v>
      </c>
      <c r="U38" t="s">
        <v>392</v>
      </c>
      <c r="V38" t="s">
        <v>889</v>
      </c>
      <c r="W38" t="s">
        <v>393</v>
      </c>
      <c r="X38" t="s">
        <v>99</v>
      </c>
      <c r="Y38" t="s">
        <v>100</v>
      </c>
      <c r="Z38" t="s">
        <v>394</v>
      </c>
      <c r="AA38" s="5" t="s">
        <v>890</v>
      </c>
    </row>
    <row r="39" spans="1:27" ht="14" customHeight="1">
      <c r="A39" t="s">
        <v>395</v>
      </c>
      <c r="B39" t="s">
        <v>358</v>
      </c>
      <c r="C39" t="s">
        <v>396</v>
      </c>
      <c r="D39" t="s">
        <v>386</v>
      </c>
      <c r="E39" t="s">
        <v>81</v>
      </c>
      <c r="F39" t="s">
        <v>397</v>
      </c>
      <c r="G39" t="s">
        <v>398</v>
      </c>
      <c r="H39" t="s">
        <v>84</v>
      </c>
      <c r="I39" t="s">
        <v>154</v>
      </c>
      <c r="J39" t="s">
        <v>781</v>
      </c>
      <c r="K39" t="s">
        <v>887</v>
      </c>
      <c r="L39" t="s">
        <v>176</v>
      </c>
      <c r="M39" t="s">
        <v>177</v>
      </c>
      <c r="N39" t="s">
        <v>306</v>
      </c>
      <c r="O39" t="s">
        <v>390</v>
      </c>
      <c r="P39" t="s">
        <v>91</v>
      </c>
      <c r="Q39" t="s">
        <v>391</v>
      </c>
      <c r="R39" t="s">
        <v>891</v>
      </c>
      <c r="S39" t="s">
        <v>94</v>
      </c>
      <c r="T39" s="14" t="s">
        <v>783</v>
      </c>
      <c r="U39" t="s">
        <v>392</v>
      </c>
      <c r="V39" t="s">
        <v>892</v>
      </c>
      <c r="W39" t="s">
        <v>393</v>
      </c>
      <c r="X39" t="s">
        <v>99</v>
      </c>
      <c r="Y39" t="s">
        <v>184</v>
      </c>
      <c r="Z39" t="s">
        <v>394</v>
      </c>
      <c r="AA39" s="5" t="s">
        <v>890</v>
      </c>
    </row>
    <row r="40" spans="1:27" ht="14" customHeight="1">
      <c r="A40" t="s">
        <v>399</v>
      </c>
      <c r="B40" t="s">
        <v>358</v>
      </c>
      <c r="C40" t="s">
        <v>400</v>
      </c>
      <c r="D40" t="s">
        <v>386</v>
      </c>
      <c r="E40" t="s">
        <v>81</v>
      </c>
      <c r="F40" t="s">
        <v>401</v>
      </c>
      <c r="G40" t="s">
        <v>173</v>
      </c>
      <c r="H40" t="s">
        <v>363</v>
      </c>
      <c r="I40" t="s">
        <v>154</v>
      </c>
      <c r="J40" t="s">
        <v>807</v>
      </c>
      <c r="K40" t="s">
        <v>893</v>
      </c>
      <c r="L40" t="s">
        <v>176</v>
      </c>
      <c r="M40" t="s">
        <v>177</v>
      </c>
      <c r="N40" t="s">
        <v>178</v>
      </c>
      <c r="O40" t="s">
        <v>179</v>
      </c>
      <c r="P40" t="s">
        <v>91</v>
      </c>
      <c r="Q40" t="s">
        <v>391</v>
      </c>
      <c r="R40" t="s">
        <v>809</v>
      </c>
      <c r="S40" t="s">
        <v>94</v>
      </c>
      <c r="T40" s="14" t="s">
        <v>783</v>
      </c>
      <c r="U40" t="s">
        <v>182</v>
      </c>
      <c r="V40" t="s">
        <v>894</v>
      </c>
      <c r="W40" t="s">
        <v>393</v>
      </c>
      <c r="X40" t="s">
        <v>99</v>
      </c>
      <c r="Y40" t="s">
        <v>100</v>
      </c>
      <c r="Z40" t="s">
        <v>403</v>
      </c>
      <c r="AA40" s="5" t="s">
        <v>890</v>
      </c>
    </row>
    <row r="41" spans="1:27" ht="14" customHeight="1">
      <c r="A41" t="s">
        <v>404</v>
      </c>
      <c r="B41" t="s">
        <v>358</v>
      </c>
      <c r="C41" t="s">
        <v>405</v>
      </c>
      <c r="D41" t="s">
        <v>386</v>
      </c>
      <c r="E41" t="s">
        <v>81</v>
      </c>
      <c r="F41" t="s">
        <v>406</v>
      </c>
      <c r="G41" s="7" t="s">
        <v>895</v>
      </c>
      <c r="H41" t="s">
        <v>84</v>
      </c>
      <c r="I41" t="s">
        <v>154</v>
      </c>
      <c r="J41" t="s">
        <v>813</v>
      </c>
      <c r="K41" t="s">
        <v>896</v>
      </c>
      <c r="L41" t="s">
        <v>176</v>
      </c>
      <c r="M41" t="s">
        <v>177</v>
      </c>
      <c r="N41" t="s">
        <v>306</v>
      </c>
      <c r="O41" t="s">
        <v>409</v>
      </c>
      <c r="P41" t="s">
        <v>91</v>
      </c>
      <c r="Q41" t="s">
        <v>391</v>
      </c>
      <c r="R41" t="s">
        <v>897</v>
      </c>
      <c r="S41" t="s">
        <v>94</v>
      </c>
      <c r="T41" s="14" t="s">
        <v>783</v>
      </c>
      <c r="U41" t="s">
        <v>392</v>
      </c>
      <c r="V41" t="s">
        <v>898</v>
      </c>
      <c r="W41" t="s">
        <v>393</v>
      </c>
      <c r="X41" t="s">
        <v>99</v>
      </c>
      <c r="Y41" t="s">
        <v>100</v>
      </c>
      <c r="Z41" t="s">
        <v>334</v>
      </c>
      <c r="AA41" s="5" t="s">
        <v>890</v>
      </c>
    </row>
    <row r="42" spans="1:27" ht="14" customHeight="1">
      <c r="A42" t="s">
        <v>410</v>
      </c>
      <c r="B42" t="s">
        <v>358</v>
      </c>
      <c r="C42" t="s">
        <v>411</v>
      </c>
      <c r="D42" t="s">
        <v>412</v>
      </c>
      <c r="E42" t="s">
        <v>81</v>
      </c>
      <c r="F42" t="s">
        <v>413</v>
      </c>
      <c r="G42" t="s">
        <v>414</v>
      </c>
      <c r="H42" t="s">
        <v>84</v>
      </c>
      <c r="I42" t="s">
        <v>154</v>
      </c>
      <c r="J42" t="s">
        <v>781</v>
      </c>
      <c r="K42" t="s">
        <v>899</v>
      </c>
      <c r="L42" t="s">
        <v>176</v>
      </c>
      <c r="M42" t="s">
        <v>177</v>
      </c>
      <c r="N42" t="s">
        <v>306</v>
      </c>
      <c r="O42" t="s">
        <v>416</v>
      </c>
      <c r="P42" t="s">
        <v>91</v>
      </c>
      <c r="Q42" t="s">
        <v>391</v>
      </c>
      <c r="R42" t="s">
        <v>900</v>
      </c>
      <c r="S42" t="s">
        <v>94</v>
      </c>
      <c r="T42" s="14" t="s">
        <v>783</v>
      </c>
      <c r="U42" t="s">
        <v>392</v>
      </c>
      <c r="V42" t="s">
        <v>901</v>
      </c>
      <c r="W42" t="s">
        <v>393</v>
      </c>
      <c r="X42" t="s">
        <v>142</v>
      </c>
      <c r="Y42" t="s">
        <v>184</v>
      </c>
      <c r="Z42" t="s">
        <v>417</v>
      </c>
      <c r="AA42" s="5" t="s">
        <v>902</v>
      </c>
    </row>
    <row r="43" spans="1:27" ht="14" customHeight="1">
      <c r="A43" t="s">
        <v>418</v>
      </c>
      <c r="B43" t="s">
        <v>358</v>
      </c>
      <c r="C43" t="s">
        <v>419</v>
      </c>
      <c r="D43" t="s">
        <v>412</v>
      </c>
      <c r="E43" t="s">
        <v>81</v>
      </c>
      <c r="F43" t="s">
        <v>420</v>
      </c>
      <c r="G43" t="s">
        <v>421</v>
      </c>
      <c r="H43" t="s">
        <v>84</v>
      </c>
      <c r="I43" t="s">
        <v>154</v>
      </c>
      <c r="J43" t="s">
        <v>781</v>
      </c>
      <c r="K43" t="s">
        <v>903</v>
      </c>
      <c r="L43" t="s">
        <v>176</v>
      </c>
      <c r="M43" t="s">
        <v>177</v>
      </c>
      <c r="N43" t="s">
        <v>306</v>
      </c>
      <c r="O43" t="s">
        <v>416</v>
      </c>
      <c r="P43" t="s">
        <v>91</v>
      </c>
      <c r="Q43" t="s">
        <v>423</v>
      </c>
      <c r="R43" t="s">
        <v>904</v>
      </c>
      <c r="S43" t="s">
        <v>94</v>
      </c>
      <c r="T43" s="14" t="s">
        <v>783</v>
      </c>
      <c r="U43" t="s">
        <v>392</v>
      </c>
      <c r="V43" t="s">
        <v>905</v>
      </c>
      <c r="W43" t="s">
        <v>393</v>
      </c>
      <c r="X43" t="s">
        <v>142</v>
      </c>
      <c r="Y43" t="s">
        <v>100</v>
      </c>
      <c r="Z43" t="s">
        <v>334</v>
      </c>
      <c r="AA43" s="5" t="s">
        <v>902</v>
      </c>
    </row>
    <row r="44" spans="1:27" ht="14" customHeight="1">
      <c r="A44" t="s">
        <v>424</v>
      </c>
      <c r="B44" t="s">
        <v>358</v>
      </c>
      <c r="C44" t="s">
        <v>425</v>
      </c>
      <c r="D44" t="s">
        <v>412</v>
      </c>
      <c r="E44" t="s">
        <v>81</v>
      </c>
      <c r="F44" t="s">
        <v>426</v>
      </c>
      <c r="G44" s="10" t="s">
        <v>427</v>
      </c>
      <c r="H44" t="s">
        <v>685</v>
      </c>
      <c r="I44" t="s">
        <v>154</v>
      </c>
      <c r="J44" t="s">
        <v>781</v>
      </c>
      <c r="K44" t="s">
        <v>906</v>
      </c>
      <c r="L44" t="s">
        <v>176</v>
      </c>
      <c r="M44" t="s">
        <v>177</v>
      </c>
      <c r="N44" t="s">
        <v>306</v>
      </c>
      <c r="O44" t="s">
        <v>429</v>
      </c>
      <c r="P44" t="s">
        <v>91</v>
      </c>
      <c r="Q44" t="s">
        <v>430</v>
      </c>
      <c r="R44" t="s">
        <v>907</v>
      </c>
      <c r="S44" t="s">
        <v>94</v>
      </c>
      <c r="T44" s="14" t="s">
        <v>783</v>
      </c>
      <c r="U44" t="s">
        <v>392</v>
      </c>
      <c r="V44" t="s">
        <v>908</v>
      </c>
      <c r="W44" t="s">
        <v>393</v>
      </c>
      <c r="X44" t="s">
        <v>142</v>
      </c>
      <c r="Y44" t="s">
        <v>184</v>
      </c>
      <c r="Z44" t="s">
        <v>431</v>
      </c>
      <c r="AA44" s="5" t="s">
        <v>902</v>
      </c>
    </row>
    <row r="45" spans="1:27" ht="14" customHeight="1">
      <c r="A45" t="s">
        <v>432</v>
      </c>
      <c r="B45" t="s">
        <v>358</v>
      </c>
      <c r="C45" t="s">
        <v>433</v>
      </c>
      <c r="D45" t="s">
        <v>412</v>
      </c>
      <c r="E45" t="s">
        <v>81</v>
      </c>
      <c r="F45" t="s">
        <v>434</v>
      </c>
      <c r="G45" t="s">
        <v>435</v>
      </c>
      <c r="H45" t="s">
        <v>84</v>
      </c>
      <c r="I45" t="s">
        <v>154</v>
      </c>
      <c r="J45" t="s">
        <v>781</v>
      </c>
      <c r="K45" t="s">
        <v>909</v>
      </c>
      <c r="L45" t="s">
        <v>176</v>
      </c>
      <c r="M45" t="s">
        <v>177</v>
      </c>
      <c r="N45" t="s">
        <v>437</v>
      </c>
      <c r="O45" t="s">
        <v>438</v>
      </c>
      <c r="P45" t="s">
        <v>91</v>
      </c>
      <c r="Q45" t="s">
        <v>439</v>
      </c>
      <c r="R45" t="s">
        <v>910</v>
      </c>
      <c r="S45" t="s">
        <v>94</v>
      </c>
      <c r="T45" s="14" t="s">
        <v>783</v>
      </c>
      <c r="U45" t="s">
        <v>392</v>
      </c>
      <c r="V45" t="s">
        <v>911</v>
      </c>
      <c r="W45" t="s">
        <v>393</v>
      </c>
      <c r="X45" t="s">
        <v>142</v>
      </c>
      <c r="Y45" t="s">
        <v>184</v>
      </c>
      <c r="Z45" t="s">
        <v>440</v>
      </c>
      <c r="AA45" s="5" t="s">
        <v>902</v>
      </c>
    </row>
    <row r="46" spans="1:27" ht="14" customHeight="1">
      <c r="A46" t="s">
        <v>441</v>
      </c>
      <c r="B46" t="s">
        <v>358</v>
      </c>
      <c r="C46" t="s">
        <v>442</v>
      </c>
      <c r="D46" t="s">
        <v>443</v>
      </c>
      <c r="E46" t="s">
        <v>81</v>
      </c>
      <c r="F46" t="s">
        <v>444</v>
      </c>
      <c r="G46" t="s">
        <v>445</v>
      </c>
      <c r="H46" t="s">
        <v>84</v>
      </c>
      <c r="I46" t="s">
        <v>154</v>
      </c>
      <c r="J46" t="s">
        <v>781</v>
      </c>
      <c r="K46" t="s">
        <v>909</v>
      </c>
      <c r="L46" t="s">
        <v>176</v>
      </c>
      <c r="M46" t="s">
        <v>177</v>
      </c>
      <c r="N46" t="s">
        <v>306</v>
      </c>
      <c r="O46" t="s">
        <v>409</v>
      </c>
      <c r="P46" t="s">
        <v>91</v>
      </c>
      <c r="Q46" t="s">
        <v>447</v>
      </c>
      <c r="R46" t="s">
        <v>912</v>
      </c>
      <c r="S46" t="s">
        <v>94</v>
      </c>
      <c r="T46" s="14" t="s">
        <v>783</v>
      </c>
      <c r="U46" t="s">
        <v>392</v>
      </c>
      <c r="V46" t="s">
        <v>913</v>
      </c>
      <c r="W46" t="s">
        <v>393</v>
      </c>
      <c r="X46" t="s">
        <v>142</v>
      </c>
      <c r="Y46" t="s">
        <v>184</v>
      </c>
      <c r="Z46" t="s">
        <v>448</v>
      </c>
      <c r="AA46" s="5" t="s">
        <v>902</v>
      </c>
    </row>
    <row r="47" spans="1:27" ht="14" customHeight="1">
      <c r="A47" t="s">
        <v>449</v>
      </c>
      <c r="B47" t="s">
        <v>358</v>
      </c>
      <c r="C47" t="s">
        <v>450</v>
      </c>
      <c r="D47" t="s">
        <v>443</v>
      </c>
      <c r="E47" t="s">
        <v>81</v>
      </c>
      <c r="F47" t="s">
        <v>451</v>
      </c>
      <c r="G47" t="s">
        <v>452</v>
      </c>
      <c r="H47" t="s">
        <v>84</v>
      </c>
      <c r="I47" t="s">
        <v>154</v>
      </c>
      <c r="J47" t="s">
        <v>781</v>
      </c>
      <c r="K47" t="s">
        <v>909</v>
      </c>
      <c r="L47" t="s">
        <v>176</v>
      </c>
      <c r="M47" t="s">
        <v>177</v>
      </c>
      <c r="N47" t="s">
        <v>306</v>
      </c>
      <c r="O47" t="s">
        <v>409</v>
      </c>
      <c r="P47" t="s">
        <v>91</v>
      </c>
      <c r="Q47" t="s">
        <v>447</v>
      </c>
      <c r="R47" t="s">
        <v>914</v>
      </c>
      <c r="S47" t="s">
        <v>94</v>
      </c>
      <c r="T47" s="14" t="s">
        <v>783</v>
      </c>
      <c r="U47" t="s">
        <v>392</v>
      </c>
      <c r="V47" t="s">
        <v>915</v>
      </c>
      <c r="W47" t="s">
        <v>393</v>
      </c>
      <c r="X47" t="s">
        <v>142</v>
      </c>
      <c r="Y47" t="s">
        <v>184</v>
      </c>
      <c r="Z47" t="s">
        <v>448</v>
      </c>
      <c r="AA47" s="5" t="s">
        <v>902</v>
      </c>
    </row>
    <row r="48" spans="1:27" ht="14" customHeight="1">
      <c r="A48" t="s">
        <v>453</v>
      </c>
      <c r="B48" t="s">
        <v>358</v>
      </c>
      <c r="C48" t="s">
        <v>454</v>
      </c>
      <c r="D48" t="s">
        <v>443</v>
      </c>
      <c r="E48" t="s">
        <v>81</v>
      </c>
      <c r="F48" t="s">
        <v>455</v>
      </c>
      <c r="G48" t="s">
        <v>456</v>
      </c>
      <c r="H48" t="s">
        <v>84</v>
      </c>
      <c r="I48" t="s">
        <v>154</v>
      </c>
      <c r="J48" t="s">
        <v>781</v>
      </c>
      <c r="K48" t="s">
        <v>909</v>
      </c>
      <c r="L48" t="s">
        <v>176</v>
      </c>
      <c r="M48" t="s">
        <v>177</v>
      </c>
      <c r="N48" t="s">
        <v>306</v>
      </c>
      <c r="O48" t="s">
        <v>409</v>
      </c>
      <c r="P48" t="s">
        <v>91</v>
      </c>
      <c r="Q48" t="s">
        <v>447</v>
      </c>
      <c r="R48" t="s">
        <v>916</v>
      </c>
      <c r="S48" t="s">
        <v>94</v>
      </c>
      <c r="T48" s="14" t="s">
        <v>783</v>
      </c>
      <c r="U48" t="s">
        <v>392</v>
      </c>
      <c r="V48" t="s">
        <v>917</v>
      </c>
      <c r="W48" t="s">
        <v>393</v>
      </c>
      <c r="X48" t="s">
        <v>142</v>
      </c>
      <c r="Y48" t="s">
        <v>100</v>
      </c>
      <c r="Z48" t="s">
        <v>334</v>
      </c>
      <c r="AA48" s="5" t="s">
        <v>902</v>
      </c>
    </row>
    <row r="49" spans="1:27" ht="14" customHeight="1">
      <c r="A49" t="s">
        <v>457</v>
      </c>
      <c r="B49" t="s">
        <v>358</v>
      </c>
      <c r="C49" t="s">
        <v>458</v>
      </c>
      <c r="D49" t="s">
        <v>443</v>
      </c>
      <c r="E49" t="s">
        <v>81</v>
      </c>
      <c r="F49" t="s">
        <v>459</v>
      </c>
      <c r="G49" t="s">
        <v>460</v>
      </c>
      <c r="H49" t="s">
        <v>363</v>
      </c>
      <c r="I49" t="s">
        <v>154</v>
      </c>
      <c r="J49" t="s">
        <v>781</v>
      </c>
      <c r="K49" t="s">
        <v>909</v>
      </c>
      <c r="L49" t="s">
        <v>176</v>
      </c>
      <c r="M49" t="s">
        <v>177</v>
      </c>
      <c r="N49" t="s">
        <v>353</v>
      </c>
      <c r="O49" t="s">
        <v>461</v>
      </c>
      <c r="P49" t="s">
        <v>91</v>
      </c>
      <c r="Q49" t="s">
        <v>439</v>
      </c>
      <c r="R49" t="s">
        <v>918</v>
      </c>
      <c r="S49" t="s">
        <v>94</v>
      </c>
      <c r="T49" s="14" t="s">
        <v>783</v>
      </c>
      <c r="U49" t="s">
        <v>392</v>
      </c>
      <c r="V49" t="s">
        <v>919</v>
      </c>
      <c r="W49" t="s">
        <v>393</v>
      </c>
      <c r="X49" t="s">
        <v>142</v>
      </c>
      <c r="Y49" t="s">
        <v>184</v>
      </c>
      <c r="Z49" t="s">
        <v>356</v>
      </c>
      <c r="AA49" s="5" t="s">
        <v>902</v>
      </c>
    </row>
    <row r="50" spans="1:27" ht="14" customHeight="1">
      <c r="A50" t="s">
        <v>462</v>
      </c>
      <c r="B50" t="s">
        <v>463</v>
      </c>
      <c r="C50" t="s">
        <v>464</v>
      </c>
      <c r="D50" t="s">
        <v>465</v>
      </c>
      <c r="E50" t="s">
        <v>81</v>
      </c>
      <c r="F50" t="s">
        <v>466</v>
      </c>
      <c r="G50" t="s">
        <v>467</v>
      </c>
      <c r="H50" t="s">
        <v>363</v>
      </c>
      <c r="I50" t="s">
        <v>154</v>
      </c>
      <c r="J50" t="s">
        <v>781</v>
      </c>
      <c r="K50" t="s">
        <v>920</v>
      </c>
      <c r="L50" t="s">
        <v>120</v>
      </c>
      <c r="M50" t="s">
        <v>156</v>
      </c>
      <c r="N50" t="s">
        <v>365</v>
      </c>
      <c r="O50" t="s">
        <v>469</v>
      </c>
      <c r="P50" t="s">
        <v>91</v>
      </c>
      <c r="Q50" t="s">
        <v>470</v>
      </c>
      <c r="R50" t="s">
        <v>921</v>
      </c>
      <c r="S50" t="s">
        <v>94</v>
      </c>
      <c r="T50" s="14" t="s">
        <v>783</v>
      </c>
      <c r="U50" t="s">
        <v>160</v>
      </c>
      <c r="V50" t="s">
        <v>922</v>
      </c>
      <c r="W50" t="s">
        <v>471</v>
      </c>
      <c r="X50" t="s">
        <v>142</v>
      </c>
      <c r="Y50" t="s">
        <v>100</v>
      </c>
      <c r="Z50" t="s">
        <v>472</v>
      </c>
      <c r="AA50" s="5" t="s">
        <v>923</v>
      </c>
    </row>
    <row r="51" spans="1:27" ht="14" customHeight="1">
      <c r="A51" t="s">
        <v>473</v>
      </c>
      <c r="B51" t="s">
        <v>463</v>
      </c>
      <c r="C51" t="s">
        <v>474</v>
      </c>
      <c r="D51" t="s">
        <v>465</v>
      </c>
      <c r="E51" t="s">
        <v>81</v>
      </c>
      <c r="F51" t="s">
        <v>475</v>
      </c>
      <c r="G51" t="s">
        <v>476</v>
      </c>
      <c r="H51" t="s">
        <v>363</v>
      </c>
      <c r="I51" t="s">
        <v>154</v>
      </c>
      <c r="J51" t="s">
        <v>832</v>
      </c>
      <c r="K51" t="s">
        <v>920</v>
      </c>
      <c r="L51" t="s">
        <v>120</v>
      </c>
      <c r="M51" t="s">
        <v>156</v>
      </c>
      <c r="N51" t="s">
        <v>365</v>
      </c>
      <c r="O51" t="s">
        <v>477</v>
      </c>
      <c r="P51" t="s">
        <v>91</v>
      </c>
      <c r="Q51" t="s">
        <v>470</v>
      </c>
      <c r="R51" t="s">
        <v>924</v>
      </c>
      <c r="S51" t="s">
        <v>94</v>
      </c>
      <c r="T51" s="14" t="s">
        <v>783</v>
      </c>
      <c r="U51" t="s">
        <v>160</v>
      </c>
      <c r="V51" t="s">
        <v>925</v>
      </c>
      <c r="W51" t="s">
        <v>471</v>
      </c>
      <c r="X51" t="s">
        <v>142</v>
      </c>
      <c r="Y51" t="s">
        <v>100</v>
      </c>
      <c r="Z51" t="s">
        <v>472</v>
      </c>
      <c r="AA51" s="5" t="s">
        <v>923</v>
      </c>
    </row>
    <row r="52" spans="1:27" ht="14" customHeight="1">
      <c r="A52" t="s">
        <v>478</v>
      </c>
      <c r="B52" t="s">
        <v>463</v>
      </c>
      <c r="C52" t="s">
        <v>479</v>
      </c>
      <c r="D52" t="s">
        <v>465</v>
      </c>
      <c r="E52" t="s">
        <v>81</v>
      </c>
      <c r="F52" t="s">
        <v>480</v>
      </c>
      <c r="G52" t="s">
        <v>481</v>
      </c>
      <c r="H52" t="s">
        <v>363</v>
      </c>
      <c r="I52" t="s">
        <v>154</v>
      </c>
      <c r="J52" t="s">
        <v>832</v>
      </c>
      <c r="K52" t="s">
        <v>920</v>
      </c>
      <c r="L52" t="s">
        <v>120</v>
      </c>
      <c r="M52" t="s">
        <v>156</v>
      </c>
      <c r="N52" t="s">
        <v>365</v>
      </c>
      <c r="O52" t="s">
        <v>477</v>
      </c>
      <c r="P52" t="s">
        <v>91</v>
      </c>
      <c r="Q52" t="s">
        <v>470</v>
      </c>
      <c r="R52" t="s">
        <v>926</v>
      </c>
      <c r="S52" t="s">
        <v>94</v>
      </c>
      <c r="T52" s="14" t="s">
        <v>783</v>
      </c>
      <c r="U52" t="s">
        <v>160</v>
      </c>
      <c r="V52" t="s">
        <v>927</v>
      </c>
      <c r="W52" t="s">
        <v>471</v>
      </c>
      <c r="X52" t="s">
        <v>142</v>
      </c>
      <c r="Y52" t="s">
        <v>100</v>
      </c>
      <c r="Z52" t="s">
        <v>472</v>
      </c>
      <c r="AA52" s="5" t="s">
        <v>923</v>
      </c>
    </row>
    <row r="53" spans="1:27" ht="14" customHeight="1">
      <c r="A53" t="s">
        <v>482</v>
      </c>
      <c r="B53" t="s">
        <v>463</v>
      </c>
      <c r="C53" t="s">
        <v>483</v>
      </c>
      <c r="D53" t="s">
        <v>465</v>
      </c>
      <c r="E53" t="s">
        <v>81</v>
      </c>
      <c r="F53" t="s">
        <v>928</v>
      </c>
      <c r="G53" t="s">
        <v>153</v>
      </c>
      <c r="H53" t="s">
        <v>84</v>
      </c>
      <c r="I53" t="s">
        <v>154</v>
      </c>
      <c r="J53" t="s">
        <v>832</v>
      </c>
      <c r="K53" t="s">
        <v>920</v>
      </c>
      <c r="L53" t="s">
        <v>120</v>
      </c>
      <c r="M53" t="s">
        <v>156</v>
      </c>
      <c r="N53" t="s">
        <v>365</v>
      </c>
      <c r="O53" t="s">
        <v>477</v>
      </c>
      <c r="P53" t="s">
        <v>91</v>
      </c>
      <c r="Q53" t="s">
        <v>470</v>
      </c>
      <c r="R53" t="s">
        <v>921</v>
      </c>
      <c r="S53" t="s">
        <v>94</v>
      </c>
      <c r="T53" s="14" t="s">
        <v>783</v>
      </c>
      <c r="U53" t="s">
        <v>169</v>
      </c>
      <c r="V53" t="s">
        <v>929</v>
      </c>
      <c r="W53" t="s">
        <v>471</v>
      </c>
      <c r="X53" t="s">
        <v>142</v>
      </c>
      <c r="Y53" t="s">
        <v>100</v>
      </c>
      <c r="Z53" t="s">
        <v>383</v>
      </c>
      <c r="AA53" s="5" t="s">
        <v>930</v>
      </c>
    </row>
    <row r="54" spans="1:27" ht="14" customHeight="1">
      <c r="A54" t="s">
        <v>485</v>
      </c>
      <c r="B54" t="s">
        <v>463</v>
      </c>
      <c r="C54" t="s">
        <v>486</v>
      </c>
      <c r="D54" t="s">
        <v>487</v>
      </c>
      <c r="E54" t="s">
        <v>81</v>
      </c>
      <c r="F54" t="s">
        <v>931</v>
      </c>
      <c r="G54" t="s">
        <v>153</v>
      </c>
      <c r="H54" t="s">
        <v>84</v>
      </c>
      <c r="I54" t="s">
        <v>154</v>
      </c>
      <c r="J54" t="s">
        <v>832</v>
      </c>
      <c r="K54" t="s">
        <v>920</v>
      </c>
      <c r="L54" t="s">
        <v>120</v>
      </c>
      <c r="M54" t="s">
        <v>156</v>
      </c>
      <c r="N54" t="s">
        <v>365</v>
      </c>
      <c r="O54" t="s">
        <v>477</v>
      </c>
      <c r="P54" t="s">
        <v>91</v>
      </c>
      <c r="Q54" t="s">
        <v>470</v>
      </c>
      <c r="R54" t="s">
        <v>921</v>
      </c>
      <c r="S54" t="s">
        <v>94</v>
      </c>
      <c r="T54" s="14" t="s">
        <v>783</v>
      </c>
      <c r="U54" t="s">
        <v>160</v>
      </c>
      <c r="V54" t="s">
        <v>932</v>
      </c>
      <c r="W54" t="s">
        <v>471</v>
      </c>
      <c r="X54" t="s">
        <v>142</v>
      </c>
      <c r="Y54" t="s">
        <v>100</v>
      </c>
      <c r="Z54" t="s">
        <v>472</v>
      </c>
      <c r="AA54" s="5" t="s">
        <v>930</v>
      </c>
    </row>
    <row r="55" spans="1:27" ht="14" customHeight="1">
      <c r="A55" t="s">
        <v>489</v>
      </c>
      <c r="B55" t="s">
        <v>463</v>
      </c>
      <c r="C55" t="s">
        <v>490</v>
      </c>
      <c r="D55" t="s">
        <v>487</v>
      </c>
      <c r="E55" t="s">
        <v>81</v>
      </c>
      <c r="F55" t="s">
        <v>933</v>
      </c>
      <c r="G55" t="s">
        <v>492</v>
      </c>
      <c r="H55" t="s">
        <v>84</v>
      </c>
      <c r="I55" t="s">
        <v>154</v>
      </c>
      <c r="J55" t="s">
        <v>832</v>
      </c>
      <c r="K55" t="s">
        <v>920</v>
      </c>
      <c r="L55" t="s">
        <v>120</v>
      </c>
      <c r="M55" t="s">
        <v>156</v>
      </c>
      <c r="N55" t="s">
        <v>365</v>
      </c>
      <c r="O55" t="s">
        <v>477</v>
      </c>
      <c r="P55" t="s">
        <v>91</v>
      </c>
      <c r="Q55" t="s">
        <v>470</v>
      </c>
      <c r="R55" t="s">
        <v>921</v>
      </c>
      <c r="S55" t="s">
        <v>94</v>
      </c>
      <c r="T55" s="14" t="s">
        <v>783</v>
      </c>
      <c r="U55" t="s">
        <v>160</v>
      </c>
      <c r="V55" t="s">
        <v>934</v>
      </c>
      <c r="W55" t="s">
        <v>471</v>
      </c>
      <c r="X55" t="s">
        <v>142</v>
      </c>
      <c r="Y55" t="s">
        <v>100</v>
      </c>
      <c r="Z55" t="s">
        <v>472</v>
      </c>
      <c r="AA55" s="5" t="s">
        <v>923</v>
      </c>
    </row>
    <row r="56" spans="1:27" ht="14" customHeight="1">
      <c r="A56" t="s">
        <v>493</v>
      </c>
      <c r="B56" t="s">
        <v>463</v>
      </c>
      <c r="C56" t="s">
        <v>494</v>
      </c>
      <c r="D56" t="s">
        <v>487</v>
      </c>
      <c r="E56" t="s">
        <v>81</v>
      </c>
      <c r="F56" t="s">
        <v>935</v>
      </c>
      <c r="G56" t="s">
        <v>496</v>
      </c>
      <c r="H56" t="s">
        <v>84</v>
      </c>
      <c r="I56" t="s">
        <v>154</v>
      </c>
      <c r="J56" t="s">
        <v>832</v>
      </c>
      <c r="K56" t="s">
        <v>920</v>
      </c>
      <c r="L56" t="s">
        <v>120</v>
      </c>
      <c r="M56" t="s">
        <v>156</v>
      </c>
      <c r="N56" t="s">
        <v>365</v>
      </c>
      <c r="O56" t="s">
        <v>477</v>
      </c>
      <c r="P56" t="s">
        <v>91</v>
      </c>
      <c r="Q56" t="s">
        <v>470</v>
      </c>
      <c r="R56" t="s">
        <v>921</v>
      </c>
      <c r="S56" t="s">
        <v>94</v>
      </c>
      <c r="T56" s="14" t="s">
        <v>783</v>
      </c>
      <c r="U56" t="s">
        <v>169</v>
      </c>
      <c r="V56" t="s">
        <v>936</v>
      </c>
      <c r="W56" t="s">
        <v>471</v>
      </c>
      <c r="X56" t="s">
        <v>142</v>
      </c>
      <c r="Y56" t="s">
        <v>184</v>
      </c>
      <c r="Z56" t="s">
        <v>286</v>
      </c>
      <c r="AA56" s="5" t="s">
        <v>923</v>
      </c>
    </row>
    <row r="57" spans="1:27" ht="14" customHeight="1">
      <c r="A57" t="s">
        <v>497</v>
      </c>
      <c r="B57" t="s">
        <v>463</v>
      </c>
      <c r="C57" t="s">
        <v>507</v>
      </c>
      <c r="D57" t="s">
        <v>508</v>
      </c>
      <c r="E57" t="s">
        <v>81</v>
      </c>
      <c r="F57" s="7" t="s">
        <v>937</v>
      </c>
      <c r="G57" s="7" t="s">
        <v>938</v>
      </c>
      <c r="H57" t="s">
        <v>84</v>
      </c>
      <c r="I57" t="s">
        <v>154</v>
      </c>
      <c r="J57" t="s">
        <v>813</v>
      </c>
      <c r="K57"/>
      <c r="L57" t="s">
        <v>939</v>
      </c>
      <c r="M57" t="s">
        <v>512</v>
      </c>
      <c r="N57" t="s">
        <v>513</v>
      </c>
      <c r="O57" t="s">
        <v>514</v>
      </c>
      <c r="P57" t="s">
        <v>91</v>
      </c>
      <c r="Q57" t="s">
        <v>367</v>
      </c>
      <c r="R57" t="s">
        <v>940</v>
      </c>
      <c r="S57" t="s">
        <v>94</v>
      </c>
      <c r="T57" s="14" t="s">
        <v>783</v>
      </c>
      <c r="U57" t="s">
        <v>516</v>
      </c>
      <c r="V57" t="s">
        <v>941</v>
      </c>
      <c r="W57" t="s">
        <v>471</v>
      </c>
      <c r="X57" t="s">
        <v>99</v>
      </c>
      <c r="Y57" t="s">
        <v>100</v>
      </c>
      <c r="Z57" t="s">
        <v>505</v>
      </c>
      <c r="AA57" s="5" t="s">
        <v>942</v>
      </c>
    </row>
    <row r="58" spans="1:27" ht="14" customHeight="1">
      <c r="A58" t="s">
        <v>506</v>
      </c>
      <c r="B58" t="s">
        <v>463</v>
      </c>
      <c r="C58" t="s">
        <v>519</v>
      </c>
      <c r="D58" t="s">
        <v>520</v>
      </c>
      <c r="E58" t="s">
        <v>81</v>
      </c>
      <c r="F58" t="s">
        <v>521</v>
      </c>
      <c r="G58" t="s">
        <v>943</v>
      </c>
      <c r="H58" t="s">
        <v>84</v>
      </c>
      <c r="I58" t="s">
        <v>154</v>
      </c>
      <c r="J58" t="s">
        <v>813</v>
      </c>
      <c r="K58"/>
      <c r="L58" t="s">
        <v>190</v>
      </c>
      <c r="M58" t="s">
        <v>191</v>
      </c>
      <c r="N58" t="s">
        <v>814</v>
      </c>
      <c r="O58" t="s">
        <v>523</v>
      </c>
      <c r="P58" t="s">
        <v>91</v>
      </c>
      <c r="Q58" t="s">
        <v>367</v>
      </c>
      <c r="R58" t="s">
        <v>194</v>
      </c>
      <c r="S58" t="s">
        <v>94</v>
      </c>
      <c r="T58" s="14" t="s">
        <v>783</v>
      </c>
      <c r="U58" t="s">
        <v>195</v>
      </c>
      <c r="V58" t="s">
        <v>944</v>
      </c>
      <c r="W58" t="s">
        <v>471</v>
      </c>
      <c r="X58" t="s">
        <v>142</v>
      </c>
      <c r="Y58" t="s">
        <v>100</v>
      </c>
      <c r="Z58" t="s">
        <v>505</v>
      </c>
      <c r="AA58" s="5" t="s">
        <v>945</v>
      </c>
    </row>
    <row r="59" spans="1:27" ht="14" customHeight="1">
      <c r="A59" t="s">
        <v>518</v>
      </c>
      <c r="B59" t="s">
        <v>463</v>
      </c>
      <c r="C59" t="s">
        <v>525</v>
      </c>
      <c r="D59" t="s">
        <v>526</v>
      </c>
      <c r="E59" t="s">
        <v>81</v>
      </c>
      <c r="F59" t="s">
        <v>527</v>
      </c>
      <c r="G59" t="s">
        <v>528</v>
      </c>
      <c r="H59" t="s">
        <v>84</v>
      </c>
      <c r="I59" t="s">
        <v>154</v>
      </c>
      <c r="J59" t="s">
        <v>813</v>
      </c>
      <c r="L59" t="s">
        <v>274</v>
      </c>
      <c r="M59" t="s">
        <v>529</v>
      </c>
      <c r="N59" t="s">
        <v>530</v>
      </c>
      <c r="O59" t="s">
        <v>519</v>
      </c>
      <c r="P59" t="s">
        <v>91</v>
      </c>
      <c r="Q59" t="s">
        <v>367</v>
      </c>
      <c r="R59" t="s">
        <v>278</v>
      </c>
      <c r="S59" t="s">
        <v>94</v>
      </c>
      <c r="T59" s="14" t="s">
        <v>783</v>
      </c>
      <c r="U59" t="s">
        <v>169</v>
      </c>
      <c r="V59" t="s">
        <v>946</v>
      </c>
      <c r="W59" t="s">
        <v>471</v>
      </c>
      <c r="X59" t="s">
        <v>142</v>
      </c>
      <c r="Y59" t="s">
        <v>184</v>
      </c>
      <c r="Z59" t="s">
        <v>286</v>
      </c>
      <c r="AA59" s="5" t="s">
        <v>945</v>
      </c>
    </row>
    <row r="60" spans="1:27" ht="14" customHeight="1">
      <c r="A60" t="s">
        <v>531</v>
      </c>
      <c r="B60" t="s">
        <v>532</v>
      </c>
      <c r="C60" t="s">
        <v>198</v>
      </c>
      <c r="D60" t="s">
        <v>533</v>
      </c>
      <c r="E60" t="s">
        <v>81</v>
      </c>
      <c r="F60" t="s">
        <v>947</v>
      </c>
      <c r="G60" t="s">
        <v>201</v>
      </c>
      <c r="H60" t="s">
        <v>84</v>
      </c>
      <c r="I60" t="s">
        <v>16</v>
      </c>
      <c r="J60" t="s">
        <v>781</v>
      </c>
      <c r="K60" t="s">
        <v>535</v>
      </c>
      <c r="L60" t="s">
        <v>203</v>
      </c>
      <c r="M60" t="s">
        <v>204</v>
      </c>
      <c r="N60" t="s">
        <v>537</v>
      </c>
      <c r="O60" t="s">
        <v>538</v>
      </c>
      <c r="P60" t="s">
        <v>91</v>
      </c>
      <c r="Q60" t="s">
        <v>207</v>
      </c>
      <c r="R60" t="s">
        <v>948</v>
      </c>
      <c r="S60" t="s">
        <v>94</v>
      </c>
      <c r="T60" s="14" t="s">
        <v>783</v>
      </c>
      <c r="U60" t="s">
        <v>539</v>
      </c>
      <c r="V60" t="s">
        <v>949</v>
      </c>
      <c r="W60" t="s">
        <v>540</v>
      </c>
      <c r="X60" t="s">
        <v>142</v>
      </c>
      <c r="Y60" t="s">
        <v>100</v>
      </c>
      <c r="Z60" t="s">
        <v>541</v>
      </c>
      <c r="AA60" s="5" t="s">
        <v>950</v>
      </c>
    </row>
    <row r="61" spans="1:27" ht="14" customHeight="1">
      <c r="A61" t="s">
        <v>542</v>
      </c>
      <c r="B61" t="s">
        <v>532</v>
      </c>
      <c r="C61" t="s">
        <v>543</v>
      </c>
      <c r="D61" t="s">
        <v>533</v>
      </c>
      <c r="E61" t="s">
        <v>81</v>
      </c>
      <c r="F61" t="s">
        <v>951</v>
      </c>
      <c r="G61" t="s">
        <v>545</v>
      </c>
      <c r="H61" t="s">
        <v>84</v>
      </c>
      <c r="I61" t="s">
        <v>16</v>
      </c>
      <c r="J61" t="s">
        <v>781</v>
      </c>
      <c r="K61" t="s">
        <v>546</v>
      </c>
      <c r="L61" t="s">
        <v>203</v>
      </c>
      <c r="M61" t="s">
        <v>204</v>
      </c>
      <c r="N61" t="s">
        <v>547</v>
      </c>
      <c r="O61" t="s">
        <v>548</v>
      </c>
      <c r="P61" t="s">
        <v>91</v>
      </c>
      <c r="Q61" t="s">
        <v>207</v>
      </c>
      <c r="R61" t="s">
        <v>952</v>
      </c>
      <c r="S61" t="s">
        <v>94</v>
      </c>
      <c r="T61" s="14" t="s">
        <v>783</v>
      </c>
      <c r="U61" t="s">
        <v>539</v>
      </c>
      <c r="V61" t="s">
        <v>953</v>
      </c>
      <c r="W61" t="s">
        <v>540</v>
      </c>
      <c r="X61" t="s">
        <v>142</v>
      </c>
      <c r="Y61" t="s">
        <v>100</v>
      </c>
      <c r="Z61" t="s">
        <v>541</v>
      </c>
      <c r="AA61" s="5" t="s">
        <v>950</v>
      </c>
    </row>
    <row r="62" spans="1:27" ht="14" customHeight="1">
      <c r="A62" t="s">
        <v>549</v>
      </c>
      <c r="B62" t="s">
        <v>532</v>
      </c>
      <c r="C62" t="s">
        <v>236</v>
      </c>
      <c r="D62" t="s">
        <v>533</v>
      </c>
      <c r="E62" t="s">
        <v>81</v>
      </c>
      <c r="F62" t="s">
        <v>954</v>
      </c>
      <c r="G62" t="s">
        <v>551</v>
      </c>
      <c r="H62" t="s">
        <v>84</v>
      </c>
      <c r="I62" t="s">
        <v>16</v>
      </c>
      <c r="J62" t="s">
        <v>781</v>
      </c>
      <c r="K62" t="s">
        <v>546</v>
      </c>
      <c r="L62" t="s">
        <v>203</v>
      </c>
      <c r="M62" t="s">
        <v>204</v>
      </c>
      <c r="N62" t="s">
        <v>547</v>
      </c>
      <c r="O62" t="s">
        <v>548</v>
      </c>
      <c r="P62" t="s">
        <v>91</v>
      </c>
      <c r="Q62" t="s">
        <v>207</v>
      </c>
      <c r="R62" t="s">
        <v>830</v>
      </c>
      <c r="S62" t="s">
        <v>94</v>
      </c>
      <c r="T62" s="14" t="s">
        <v>783</v>
      </c>
      <c r="U62" t="s">
        <v>539</v>
      </c>
      <c r="V62" t="s">
        <v>955</v>
      </c>
      <c r="W62" t="s">
        <v>540</v>
      </c>
      <c r="X62" t="s">
        <v>142</v>
      </c>
      <c r="Y62" t="s">
        <v>100</v>
      </c>
      <c r="Z62" t="s">
        <v>541</v>
      </c>
      <c r="AA62" s="5" t="s">
        <v>950</v>
      </c>
    </row>
    <row r="63" spans="1:27" ht="14" customHeight="1">
      <c r="A63" t="s">
        <v>552</v>
      </c>
      <c r="B63" t="s">
        <v>532</v>
      </c>
      <c r="C63" t="s">
        <v>553</v>
      </c>
      <c r="D63" t="s">
        <v>533</v>
      </c>
      <c r="E63" t="s">
        <v>81</v>
      </c>
      <c r="F63" t="s">
        <v>956</v>
      </c>
      <c r="G63" t="s">
        <v>555</v>
      </c>
      <c r="H63" t="s">
        <v>84</v>
      </c>
      <c r="I63" t="s">
        <v>16</v>
      </c>
      <c r="J63" t="s">
        <v>817</v>
      </c>
      <c r="K63" t="s">
        <v>957</v>
      </c>
      <c r="L63" t="s">
        <v>203</v>
      </c>
      <c r="M63" t="s">
        <v>204</v>
      </c>
      <c r="N63" t="s">
        <v>547</v>
      </c>
      <c r="O63" t="s">
        <v>548</v>
      </c>
      <c r="P63" t="s">
        <v>91</v>
      </c>
      <c r="Q63" t="s">
        <v>207</v>
      </c>
      <c r="R63" t="s">
        <v>958</v>
      </c>
      <c r="S63" t="s">
        <v>94</v>
      </c>
      <c r="T63" s="14" t="s">
        <v>783</v>
      </c>
      <c r="U63" t="s">
        <v>557</v>
      </c>
      <c r="V63" t="s">
        <v>959</v>
      </c>
      <c r="W63" t="s">
        <v>540</v>
      </c>
      <c r="X63" t="s">
        <v>142</v>
      </c>
      <c r="Y63" t="s">
        <v>100</v>
      </c>
      <c r="Z63" t="s">
        <v>383</v>
      </c>
      <c r="AA63" s="5" t="s">
        <v>950</v>
      </c>
    </row>
    <row r="64" spans="1:27" ht="14" customHeight="1">
      <c r="A64" t="s">
        <v>558</v>
      </c>
      <c r="B64" t="s">
        <v>532</v>
      </c>
      <c r="C64" t="s">
        <v>559</v>
      </c>
      <c r="D64" t="s">
        <v>560</v>
      </c>
      <c r="E64" t="s">
        <v>81</v>
      </c>
      <c r="F64" t="s">
        <v>960</v>
      </c>
      <c r="G64" t="s">
        <v>562</v>
      </c>
      <c r="H64" t="s">
        <v>84</v>
      </c>
      <c r="I64" t="s">
        <v>154</v>
      </c>
      <c r="J64" t="s">
        <v>781</v>
      </c>
      <c r="K64" t="s">
        <v>563</v>
      </c>
      <c r="L64" t="s">
        <v>203</v>
      </c>
      <c r="M64" t="s">
        <v>204</v>
      </c>
      <c r="N64" t="s">
        <v>547</v>
      </c>
      <c r="O64" t="s">
        <v>548</v>
      </c>
      <c r="P64" t="s">
        <v>91</v>
      </c>
      <c r="Q64" t="s">
        <v>244</v>
      </c>
      <c r="R64" t="s">
        <v>961</v>
      </c>
      <c r="S64" t="s">
        <v>94</v>
      </c>
      <c r="T64" s="14" t="s">
        <v>783</v>
      </c>
      <c r="U64" t="s">
        <v>557</v>
      </c>
      <c r="V64" t="s">
        <v>962</v>
      </c>
      <c r="W64" t="s">
        <v>540</v>
      </c>
      <c r="X64" t="s">
        <v>142</v>
      </c>
      <c r="Y64" t="s">
        <v>100</v>
      </c>
      <c r="Z64" t="s">
        <v>383</v>
      </c>
      <c r="AA64" s="5" t="s">
        <v>950</v>
      </c>
    </row>
    <row r="65" spans="1:27" ht="14" customHeight="1">
      <c r="A65" t="s">
        <v>564</v>
      </c>
      <c r="B65" t="s">
        <v>532</v>
      </c>
      <c r="C65" t="s">
        <v>565</v>
      </c>
      <c r="D65" t="s">
        <v>560</v>
      </c>
      <c r="E65" t="s">
        <v>81</v>
      </c>
      <c r="F65" t="s">
        <v>963</v>
      </c>
      <c r="G65" t="s">
        <v>567</v>
      </c>
      <c r="H65" t="s">
        <v>84</v>
      </c>
      <c r="I65" t="s">
        <v>154</v>
      </c>
      <c r="J65" t="s">
        <v>781</v>
      </c>
      <c r="K65" t="s">
        <v>563</v>
      </c>
      <c r="L65" t="s">
        <v>203</v>
      </c>
      <c r="M65" t="s">
        <v>204</v>
      </c>
      <c r="N65" t="s">
        <v>547</v>
      </c>
      <c r="O65" t="s">
        <v>548</v>
      </c>
      <c r="P65" t="s">
        <v>91</v>
      </c>
      <c r="Q65" t="s">
        <v>244</v>
      </c>
      <c r="R65" t="s">
        <v>964</v>
      </c>
      <c r="S65" t="s">
        <v>94</v>
      </c>
      <c r="T65" s="14" t="s">
        <v>783</v>
      </c>
      <c r="U65" t="s">
        <v>557</v>
      </c>
      <c r="V65" t="s">
        <v>965</v>
      </c>
      <c r="W65" t="s">
        <v>540</v>
      </c>
      <c r="X65" t="s">
        <v>142</v>
      </c>
      <c r="Y65" t="s">
        <v>100</v>
      </c>
      <c r="Z65" t="s">
        <v>541</v>
      </c>
      <c r="AA65" s="5" t="s">
        <v>950</v>
      </c>
    </row>
    <row r="66" spans="1:27" ht="14" customHeight="1">
      <c r="A66" t="s">
        <v>568</v>
      </c>
      <c r="B66" t="s">
        <v>532</v>
      </c>
      <c r="C66" t="s">
        <v>236</v>
      </c>
      <c r="D66" t="s">
        <v>560</v>
      </c>
      <c r="E66" t="s">
        <v>81</v>
      </c>
      <c r="F66" t="s">
        <v>966</v>
      </c>
      <c r="G66" t="s">
        <v>551</v>
      </c>
      <c r="H66" t="s">
        <v>84</v>
      </c>
      <c r="I66" t="s">
        <v>154</v>
      </c>
      <c r="J66" t="s">
        <v>781</v>
      </c>
      <c r="K66" t="s">
        <v>563</v>
      </c>
      <c r="L66" t="s">
        <v>203</v>
      </c>
      <c r="M66" t="s">
        <v>204</v>
      </c>
      <c r="N66" t="s">
        <v>570</v>
      </c>
      <c r="O66" t="s">
        <v>571</v>
      </c>
      <c r="P66" t="s">
        <v>91</v>
      </c>
      <c r="Q66" t="s">
        <v>244</v>
      </c>
      <c r="R66" t="s">
        <v>830</v>
      </c>
      <c r="S66" t="s">
        <v>94</v>
      </c>
      <c r="T66" s="14" t="s">
        <v>783</v>
      </c>
      <c r="U66" t="s">
        <v>557</v>
      </c>
      <c r="V66" t="s">
        <v>967</v>
      </c>
      <c r="W66" t="s">
        <v>540</v>
      </c>
      <c r="X66" t="s">
        <v>142</v>
      </c>
      <c r="Y66" t="s">
        <v>184</v>
      </c>
      <c r="Z66" t="s">
        <v>286</v>
      </c>
      <c r="AA66" s="5" t="s">
        <v>950</v>
      </c>
    </row>
    <row r="67" spans="1:27" ht="14" customHeight="1">
      <c r="A67" t="s">
        <v>572</v>
      </c>
      <c r="B67" t="s">
        <v>532</v>
      </c>
      <c r="C67" t="s">
        <v>573</v>
      </c>
      <c r="D67" t="s">
        <v>574</v>
      </c>
      <c r="E67" t="s">
        <v>81</v>
      </c>
      <c r="F67" t="s">
        <v>968</v>
      </c>
      <c r="G67" t="s">
        <v>467</v>
      </c>
      <c r="H67" t="s">
        <v>363</v>
      </c>
      <c r="I67" t="s">
        <v>214</v>
      </c>
      <c r="J67" t="s">
        <v>813</v>
      </c>
      <c r="K67" t="s">
        <v>969</v>
      </c>
      <c r="L67" t="s">
        <v>970</v>
      </c>
      <c r="M67" t="s">
        <v>971</v>
      </c>
      <c r="N67" t="s">
        <v>972</v>
      </c>
      <c r="O67" t="s">
        <v>973</v>
      </c>
      <c r="P67" t="s">
        <v>91</v>
      </c>
      <c r="Q67" t="s">
        <v>244</v>
      </c>
      <c r="R67" t="s">
        <v>974</v>
      </c>
      <c r="S67" t="s">
        <v>94</v>
      </c>
      <c r="T67" s="14" t="s">
        <v>783</v>
      </c>
      <c r="U67" t="s">
        <v>581</v>
      </c>
      <c r="V67" t="s">
        <v>975</v>
      </c>
      <c r="W67" t="s">
        <v>540</v>
      </c>
      <c r="X67" t="s">
        <v>99</v>
      </c>
      <c r="Y67" t="s">
        <v>100</v>
      </c>
      <c r="Z67" t="s">
        <v>334</v>
      </c>
      <c r="AA67" s="5" t="s">
        <v>976</v>
      </c>
    </row>
    <row r="68" spans="1:27" ht="14" customHeight="1">
      <c r="A68" t="s">
        <v>582</v>
      </c>
      <c r="B68" t="s">
        <v>532</v>
      </c>
      <c r="C68" t="s">
        <v>583</v>
      </c>
      <c r="D68" t="s">
        <v>574</v>
      </c>
      <c r="E68" t="s">
        <v>81</v>
      </c>
      <c r="F68" t="s">
        <v>977</v>
      </c>
      <c r="G68" t="s">
        <v>585</v>
      </c>
      <c r="H68" t="s">
        <v>363</v>
      </c>
      <c r="I68" t="s">
        <v>214</v>
      </c>
      <c r="J68" t="s">
        <v>813</v>
      </c>
      <c r="L68" t="s">
        <v>203</v>
      </c>
      <c r="M68" t="s">
        <v>204</v>
      </c>
      <c r="N68" t="s">
        <v>978</v>
      </c>
      <c r="O68" t="s">
        <v>979</v>
      </c>
      <c r="P68" t="s">
        <v>91</v>
      </c>
      <c r="Q68" t="s">
        <v>244</v>
      </c>
      <c r="R68" t="s">
        <v>980</v>
      </c>
      <c r="S68" t="s">
        <v>94</v>
      </c>
      <c r="T68" s="14" t="s">
        <v>783</v>
      </c>
      <c r="U68" t="s">
        <v>581</v>
      </c>
      <c r="V68" t="s">
        <v>981</v>
      </c>
      <c r="W68" t="s">
        <v>540</v>
      </c>
      <c r="X68" t="s">
        <v>99</v>
      </c>
      <c r="Y68" t="s">
        <v>100</v>
      </c>
      <c r="Z68" t="s">
        <v>334</v>
      </c>
      <c r="AA68" s="5" t="s">
        <v>976</v>
      </c>
    </row>
    <row r="69" spans="1:27" ht="14" customHeight="1">
      <c r="A69" t="s">
        <v>589</v>
      </c>
      <c r="B69" t="s">
        <v>532</v>
      </c>
      <c r="C69" t="s">
        <v>198</v>
      </c>
      <c r="D69" t="s">
        <v>574</v>
      </c>
      <c r="E69" t="s">
        <v>81</v>
      </c>
      <c r="F69" t="s">
        <v>982</v>
      </c>
      <c r="G69" t="s">
        <v>591</v>
      </c>
      <c r="H69" t="s">
        <v>84</v>
      </c>
      <c r="I69" t="s">
        <v>214</v>
      </c>
      <c r="J69" t="s">
        <v>813</v>
      </c>
      <c r="L69" t="s">
        <v>203</v>
      </c>
      <c r="M69" t="s">
        <v>204</v>
      </c>
      <c r="N69" t="s">
        <v>205</v>
      </c>
      <c r="O69" t="s">
        <v>206</v>
      </c>
      <c r="P69" t="s">
        <v>91</v>
      </c>
      <c r="Q69" t="s">
        <v>244</v>
      </c>
      <c r="R69" t="s">
        <v>983</v>
      </c>
      <c r="S69" t="s">
        <v>94</v>
      </c>
      <c r="T69" s="14" t="s">
        <v>783</v>
      </c>
      <c r="U69" t="s">
        <v>581</v>
      </c>
      <c r="V69" t="s">
        <v>984</v>
      </c>
      <c r="W69" t="s">
        <v>540</v>
      </c>
      <c r="X69" t="s">
        <v>142</v>
      </c>
      <c r="Y69" t="s">
        <v>184</v>
      </c>
      <c r="Z69" t="s">
        <v>431</v>
      </c>
      <c r="AA69" s="5" t="s">
        <v>950</v>
      </c>
    </row>
    <row r="70" spans="1:27" ht="14" customHeight="1">
      <c r="A70" t="s">
        <v>592</v>
      </c>
      <c r="B70" t="s">
        <v>532</v>
      </c>
      <c r="C70" t="s">
        <v>593</v>
      </c>
      <c r="D70" t="s">
        <v>594</v>
      </c>
      <c r="E70" t="s">
        <v>81</v>
      </c>
      <c r="F70" t="s">
        <v>985</v>
      </c>
      <c r="G70" t="s">
        <v>596</v>
      </c>
      <c r="H70" t="s">
        <v>363</v>
      </c>
      <c r="I70" t="s">
        <v>214</v>
      </c>
      <c r="J70" t="s">
        <v>813</v>
      </c>
      <c r="K70" t="s">
        <v>986</v>
      </c>
      <c r="L70" t="s">
        <v>216</v>
      </c>
      <c r="M70" t="s">
        <v>217</v>
      </c>
      <c r="N70" t="s">
        <v>987</v>
      </c>
      <c r="O70" t="s">
        <v>988</v>
      </c>
      <c r="P70" t="s">
        <v>91</v>
      </c>
      <c r="Q70" t="s">
        <v>367</v>
      </c>
      <c r="R70" t="s">
        <v>989</v>
      </c>
      <c r="S70" t="s">
        <v>94</v>
      </c>
      <c r="T70" s="14" t="s">
        <v>783</v>
      </c>
      <c r="U70" t="s">
        <v>581</v>
      </c>
      <c r="V70" t="s">
        <v>990</v>
      </c>
      <c r="W70" t="s">
        <v>540</v>
      </c>
      <c r="X70" t="s">
        <v>142</v>
      </c>
      <c r="Y70" t="s">
        <v>184</v>
      </c>
      <c r="Z70" t="s">
        <v>431</v>
      </c>
      <c r="AA70" s="5" t="s">
        <v>991</v>
      </c>
    </row>
    <row r="71" spans="1:27" ht="14" customHeight="1">
      <c r="A71" t="s">
        <v>599</v>
      </c>
      <c r="B71" t="s">
        <v>532</v>
      </c>
      <c r="C71" t="s">
        <v>600</v>
      </c>
      <c r="D71" t="s">
        <v>594</v>
      </c>
      <c r="E71" t="s">
        <v>81</v>
      </c>
      <c r="F71" t="s">
        <v>992</v>
      </c>
      <c r="G71" t="s">
        <v>602</v>
      </c>
      <c r="H71" t="s">
        <v>363</v>
      </c>
      <c r="I71" t="s">
        <v>214</v>
      </c>
      <c r="J71" t="s">
        <v>813</v>
      </c>
      <c r="L71" t="s">
        <v>216</v>
      </c>
      <c r="M71" t="s">
        <v>217</v>
      </c>
      <c r="N71" t="s">
        <v>993</v>
      </c>
      <c r="O71" t="s">
        <v>994</v>
      </c>
      <c r="P71" t="s">
        <v>91</v>
      </c>
      <c r="Q71" t="s">
        <v>367</v>
      </c>
      <c r="R71" t="s">
        <v>995</v>
      </c>
      <c r="S71" t="s">
        <v>94</v>
      </c>
      <c r="T71" s="14" t="s">
        <v>783</v>
      </c>
      <c r="U71" t="s">
        <v>608</v>
      </c>
      <c r="V71" t="s">
        <v>996</v>
      </c>
      <c r="W71" t="s">
        <v>610</v>
      </c>
      <c r="X71" t="s">
        <v>142</v>
      </c>
      <c r="Y71" t="s">
        <v>100</v>
      </c>
      <c r="Z71" t="s">
        <v>611</v>
      </c>
      <c r="AA71" s="5" t="s">
        <v>950</v>
      </c>
    </row>
    <row r="72" spans="1:27" ht="14" customHeight="1">
      <c r="A72" t="s">
        <v>612</v>
      </c>
      <c r="B72" t="s">
        <v>532</v>
      </c>
      <c r="C72" t="s">
        <v>613</v>
      </c>
      <c r="D72" t="s">
        <v>594</v>
      </c>
      <c r="E72" t="s">
        <v>81</v>
      </c>
      <c r="F72" t="s">
        <v>997</v>
      </c>
      <c r="G72" t="s">
        <v>615</v>
      </c>
      <c r="H72" t="s">
        <v>363</v>
      </c>
      <c r="I72" t="s">
        <v>214</v>
      </c>
      <c r="J72" t="s">
        <v>813</v>
      </c>
      <c r="K72" t="s">
        <v>998</v>
      </c>
      <c r="L72" t="s">
        <v>216</v>
      </c>
      <c r="M72" t="s">
        <v>217</v>
      </c>
      <c r="N72" t="s">
        <v>999</v>
      </c>
      <c r="O72" t="s">
        <v>1000</v>
      </c>
      <c r="P72" t="s">
        <v>91</v>
      </c>
      <c r="Q72" t="s">
        <v>367</v>
      </c>
      <c r="R72" t="s">
        <v>1001</v>
      </c>
      <c r="S72" t="s">
        <v>94</v>
      </c>
      <c r="T72" s="14" t="s">
        <v>783</v>
      </c>
      <c r="U72" t="s">
        <v>260</v>
      </c>
      <c r="V72" t="s">
        <v>1002</v>
      </c>
      <c r="W72" t="s">
        <v>610</v>
      </c>
      <c r="X72" t="s">
        <v>142</v>
      </c>
      <c r="Y72" t="s">
        <v>100</v>
      </c>
      <c r="Z72" t="s">
        <v>611</v>
      </c>
      <c r="AA72" s="5" t="s">
        <v>950</v>
      </c>
    </row>
    <row r="73" spans="1:27" ht="14" customHeight="1">
      <c r="A73" t="s">
        <v>617</v>
      </c>
      <c r="B73" t="s">
        <v>532</v>
      </c>
      <c r="C73" t="s">
        <v>211</v>
      </c>
      <c r="D73" t="s">
        <v>594</v>
      </c>
      <c r="E73" t="s">
        <v>81</v>
      </c>
      <c r="F73" t="s">
        <v>1003</v>
      </c>
      <c r="G73" t="s">
        <v>619</v>
      </c>
      <c r="H73" t="s">
        <v>84</v>
      </c>
      <c r="I73" t="s">
        <v>214</v>
      </c>
      <c r="J73" t="s">
        <v>813</v>
      </c>
      <c r="K73" t="s">
        <v>821</v>
      </c>
      <c r="L73" t="s">
        <v>216</v>
      </c>
      <c r="M73" t="s">
        <v>217</v>
      </c>
      <c r="N73" t="s">
        <v>218</v>
      </c>
      <c r="O73" t="s">
        <v>219</v>
      </c>
      <c r="P73" t="s">
        <v>91</v>
      </c>
      <c r="Q73" t="s">
        <v>367</v>
      </c>
      <c r="R73" t="s">
        <v>822</v>
      </c>
      <c r="S73" t="s">
        <v>94</v>
      </c>
      <c r="T73" s="14" t="s">
        <v>783</v>
      </c>
      <c r="U73" t="s">
        <v>260</v>
      </c>
      <c r="V73" t="s">
        <v>1004</v>
      </c>
      <c r="W73" t="s">
        <v>610</v>
      </c>
      <c r="X73" t="s">
        <v>142</v>
      </c>
      <c r="Y73" t="s">
        <v>100</v>
      </c>
      <c r="Z73" t="s">
        <v>611</v>
      </c>
      <c r="AA73" s="5" t="s">
        <v>991</v>
      </c>
    </row>
    <row r="74" spans="1:27" ht="14" customHeight="1">
      <c r="A74" t="s">
        <v>621</v>
      </c>
      <c r="B74" t="s">
        <v>532</v>
      </c>
      <c r="C74" t="s">
        <v>622</v>
      </c>
      <c r="D74" t="s">
        <v>623</v>
      </c>
      <c r="E74" t="s">
        <v>81</v>
      </c>
      <c r="F74" t="s">
        <v>1005</v>
      </c>
      <c r="G74" t="s">
        <v>625</v>
      </c>
      <c r="H74" t="s">
        <v>363</v>
      </c>
      <c r="I74" t="s">
        <v>226</v>
      </c>
      <c r="J74" t="s">
        <v>781</v>
      </c>
      <c r="K74" t="s">
        <v>1006</v>
      </c>
      <c r="L74" t="s">
        <v>827</v>
      </c>
      <c r="M74" t="s">
        <v>229</v>
      </c>
      <c r="N74" t="s">
        <v>1007</v>
      </c>
      <c r="O74" t="s">
        <v>1008</v>
      </c>
      <c r="P74" t="s">
        <v>91</v>
      </c>
      <c r="Q74" t="s">
        <v>367</v>
      </c>
      <c r="R74" t="s">
        <v>1009</v>
      </c>
      <c r="S74" t="s">
        <v>94</v>
      </c>
      <c r="T74" s="14" t="s">
        <v>783</v>
      </c>
      <c r="U74" t="s">
        <v>269</v>
      </c>
      <c r="V74" t="s">
        <v>1010</v>
      </c>
      <c r="W74" t="s">
        <v>610</v>
      </c>
      <c r="X74" t="s">
        <v>142</v>
      </c>
      <c r="Y74" t="s">
        <v>100</v>
      </c>
      <c r="Z74" t="s">
        <v>383</v>
      </c>
      <c r="AA74" s="5" t="s">
        <v>1011</v>
      </c>
    </row>
    <row r="75" spans="1:27" ht="14" customHeight="1">
      <c r="A75" t="s">
        <v>627</v>
      </c>
      <c r="B75" t="s">
        <v>532</v>
      </c>
      <c r="C75" t="s">
        <v>628</v>
      </c>
      <c r="D75" t="s">
        <v>623</v>
      </c>
      <c r="E75" t="s">
        <v>81</v>
      </c>
      <c r="F75" t="s">
        <v>1012</v>
      </c>
      <c r="G75" t="s">
        <v>630</v>
      </c>
      <c r="H75" t="s">
        <v>84</v>
      </c>
      <c r="I75" t="s">
        <v>226</v>
      </c>
      <c r="J75" t="s">
        <v>781</v>
      </c>
      <c r="K75" t="s">
        <v>826</v>
      </c>
      <c r="L75" t="s">
        <v>827</v>
      </c>
      <c r="M75" t="s">
        <v>229</v>
      </c>
      <c r="N75" t="s">
        <v>230</v>
      </c>
      <c r="O75" t="s">
        <v>231</v>
      </c>
      <c r="P75" t="s">
        <v>91</v>
      </c>
      <c r="Q75" t="s">
        <v>367</v>
      </c>
      <c r="R75" t="s">
        <v>828</v>
      </c>
      <c r="S75" t="s">
        <v>94</v>
      </c>
      <c r="T75" s="14" t="s">
        <v>783</v>
      </c>
      <c r="U75" t="s">
        <v>269</v>
      </c>
      <c r="V75" t="s">
        <v>1013</v>
      </c>
      <c r="W75" t="s">
        <v>610</v>
      </c>
      <c r="X75" t="s">
        <v>142</v>
      </c>
      <c r="Y75" t="s">
        <v>184</v>
      </c>
      <c r="Z75" t="s">
        <v>286</v>
      </c>
      <c r="AA75" s="5" t="s">
        <v>1011</v>
      </c>
    </row>
    <row r="76" spans="1:27" ht="14" customHeight="1">
      <c r="A76" t="s">
        <v>631</v>
      </c>
      <c r="B76" t="s">
        <v>532</v>
      </c>
      <c r="C76" t="s">
        <v>632</v>
      </c>
      <c r="D76" t="s">
        <v>623</v>
      </c>
      <c r="E76" t="s">
        <v>81</v>
      </c>
      <c r="F76" t="s">
        <v>1014</v>
      </c>
      <c r="G76" t="s">
        <v>634</v>
      </c>
      <c r="H76" t="s">
        <v>363</v>
      </c>
      <c r="I76" t="s">
        <v>226</v>
      </c>
      <c r="J76" t="s">
        <v>781</v>
      </c>
      <c r="K76" t="s">
        <v>1006</v>
      </c>
      <c r="L76" t="s">
        <v>827</v>
      </c>
      <c r="M76" t="s">
        <v>229</v>
      </c>
      <c r="N76" t="s">
        <v>1015</v>
      </c>
      <c r="O76" t="s">
        <v>693</v>
      </c>
      <c r="P76" t="s">
        <v>91</v>
      </c>
      <c r="Q76" t="s">
        <v>367</v>
      </c>
      <c r="R76" t="s">
        <v>1016</v>
      </c>
      <c r="S76" t="s">
        <v>94</v>
      </c>
      <c r="T76" s="14" t="s">
        <v>783</v>
      </c>
      <c r="U76" t="s">
        <v>635</v>
      </c>
      <c r="V76" t="s">
        <v>1017</v>
      </c>
      <c r="W76" t="s">
        <v>610</v>
      </c>
      <c r="X76" t="s">
        <v>142</v>
      </c>
      <c r="Y76" t="s">
        <v>100</v>
      </c>
      <c r="Z76" t="s">
        <v>611</v>
      </c>
      <c r="AA76" s="5" t="s">
        <v>1011</v>
      </c>
    </row>
    <row r="77" spans="1:27" ht="14" customHeight="1">
      <c r="A77" t="s">
        <v>636</v>
      </c>
      <c r="B77" t="s">
        <v>532</v>
      </c>
      <c r="C77" t="s">
        <v>637</v>
      </c>
      <c r="D77" t="s">
        <v>623</v>
      </c>
      <c r="E77" t="s">
        <v>81</v>
      </c>
      <c r="F77" t="s">
        <v>1018</v>
      </c>
      <c r="G77" t="s">
        <v>639</v>
      </c>
      <c r="H77" t="s">
        <v>363</v>
      </c>
      <c r="I77" t="s">
        <v>226</v>
      </c>
      <c r="J77" t="s">
        <v>781</v>
      </c>
      <c r="K77" t="s">
        <v>1006</v>
      </c>
      <c r="L77" t="s">
        <v>827</v>
      </c>
      <c r="M77" t="s">
        <v>229</v>
      </c>
      <c r="N77" t="s">
        <v>1015</v>
      </c>
      <c r="O77" t="s">
        <v>693</v>
      </c>
      <c r="P77" t="s">
        <v>91</v>
      </c>
      <c r="Q77" t="s">
        <v>367</v>
      </c>
      <c r="R77" t="s">
        <v>1019</v>
      </c>
      <c r="S77" t="s">
        <v>94</v>
      </c>
      <c r="T77" s="14" t="s">
        <v>783</v>
      </c>
      <c r="U77" t="s">
        <v>635</v>
      </c>
      <c r="V77" t="s">
        <v>1020</v>
      </c>
      <c r="W77" t="s">
        <v>610</v>
      </c>
      <c r="X77" t="s">
        <v>142</v>
      </c>
      <c r="Y77" t="s">
        <v>100</v>
      </c>
      <c r="Z77" t="s">
        <v>611</v>
      </c>
      <c r="AA77" s="5" t="s">
        <v>1011</v>
      </c>
    </row>
    <row r="78" spans="1:27" ht="14" customHeight="1">
      <c r="A78" t="s">
        <v>640</v>
      </c>
      <c r="B78" t="s">
        <v>532</v>
      </c>
      <c r="C78" t="s">
        <v>641</v>
      </c>
      <c r="D78" t="s">
        <v>623</v>
      </c>
      <c r="E78" t="s">
        <v>81</v>
      </c>
      <c r="F78" t="s">
        <v>1021</v>
      </c>
      <c r="G78" t="s">
        <v>643</v>
      </c>
      <c r="H78" t="s">
        <v>84</v>
      </c>
      <c r="I78" t="s">
        <v>226</v>
      </c>
      <c r="J78" t="s">
        <v>781</v>
      </c>
      <c r="K78" t="s">
        <v>826</v>
      </c>
      <c r="L78" t="s">
        <v>827</v>
      </c>
      <c r="M78" t="s">
        <v>229</v>
      </c>
      <c r="N78" t="s">
        <v>1015</v>
      </c>
      <c r="O78" t="s">
        <v>693</v>
      </c>
      <c r="P78" t="s">
        <v>91</v>
      </c>
      <c r="Q78" t="s">
        <v>367</v>
      </c>
      <c r="R78" t="s">
        <v>1022</v>
      </c>
      <c r="S78" t="s">
        <v>94</v>
      </c>
      <c r="T78" s="14" t="s">
        <v>783</v>
      </c>
      <c r="U78" t="s">
        <v>269</v>
      </c>
      <c r="V78" t="s">
        <v>1023</v>
      </c>
      <c r="W78" t="s">
        <v>610</v>
      </c>
      <c r="X78" t="s">
        <v>142</v>
      </c>
      <c r="Y78" t="s">
        <v>100</v>
      </c>
      <c r="Z78" t="s">
        <v>383</v>
      </c>
      <c r="AA78" s="5" t="s">
        <v>1011</v>
      </c>
    </row>
    <row r="79" spans="1:27" ht="14" customHeight="1">
      <c r="A79" t="s">
        <v>644</v>
      </c>
      <c r="B79" t="s">
        <v>532</v>
      </c>
      <c r="C79" t="s">
        <v>222</v>
      </c>
      <c r="D79" t="s">
        <v>645</v>
      </c>
      <c r="E79" t="s">
        <v>81</v>
      </c>
      <c r="F79" t="s">
        <v>1024</v>
      </c>
      <c r="G79" t="s">
        <v>1025</v>
      </c>
      <c r="H79" t="s">
        <v>84</v>
      </c>
      <c r="I79" t="s">
        <v>226</v>
      </c>
      <c r="J79" t="s">
        <v>781</v>
      </c>
      <c r="K79" t="s">
        <v>826</v>
      </c>
      <c r="L79" t="s">
        <v>827</v>
      </c>
      <c r="M79" t="s">
        <v>229</v>
      </c>
      <c r="N79" t="s">
        <v>230</v>
      </c>
      <c r="O79" t="s">
        <v>231</v>
      </c>
      <c r="P79" t="s">
        <v>91</v>
      </c>
      <c r="Q79" t="s">
        <v>367</v>
      </c>
      <c r="R79" t="s">
        <v>828</v>
      </c>
      <c r="S79" t="s">
        <v>94</v>
      </c>
      <c r="T79" s="14" t="s">
        <v>783</v>
      </c>
      <c r="U79" t="s">
        <v>651</v>
      </c>
      <c r="V79" t="s">
        <v>1026</v>
      </c>
      <c r="W79" t="s">
        <v>285</v>
      </c>
      <c r="X79" t="s">
        <v>652</v>
      </c>
      <c r="Y79" t="s">
        <v>184</v>
      </c>
      <c r="Z79" t="s">
        <v>440</v>
      </c>
      <c r="AA79" s="5" t="s">
        <v>1027</v>
      </c>
    </row>
    <row r="80" spans="1:27" ht="14" customHeight="1">
      <c r="A80" t="s">
        <v>653</v>
      </c>
      <c r="B80" t="s">
        <v>532</v>
      </c>
      <c r="C80" t="s">
        <v>654</v>
      </c>
      <c r="D80" t="s">
        <v>645</v>
      </c>
      <c r="E80" t="s">
        <v>81</v>
      </c>
      <c r="F80" t="s">
        <v>1028</v>
      </c>
      <c r="G80" t="s">
        <v>656</v>
      </c>
      <c r="H80" t="s">
        <v>84</v>
      </c>
      <c r="I80" t="s">
        <v>226</v>
      </c>
      <c r="J80" t="s">
        <v>781</v>
      </c>
      <c r="K80" t="s">
        <v>1006</v>
      </c>
      <c r="L80" t="s">
        <v>827</v>
      </c>
      <c r="M80" t="s">
        <v>229</v>
      </c>
      <c r="N80" t="s">
        <v>1029</v>
      </c>
      <c r="O80" t="s">
        <v>1030</v>
      </c>
      <c r="P80" t="s">
        <v>91</v>
      </c>
      <c r="Q80" t="s">
        <v>367</v>
      </c>
      <c r="R80" t="s">
        <v>1009</v>
      </c>
      <c r="S80" t="s">
        <v>94</v>
      </c>
      <c r="T80" s="14" t="s">
        <v>783</v>
      </c>
      <c r="U80" t="s">
        <v>660</v>
      </c>
      <c r="V80" t="s">
        <v>1031</v>
      </c>
      <c r="W80" t="s">
        <v>610</v>
      </c>
      <c r="X80" t="s">
        <v>652</v>
      </c>
      <c r="Y80" t="s">
        <v>184</v>
      </c>
      <c r="Z80" t="s">
        <v>661</v>
      </c>
      <c r="AA80" s="5" t="s">
        <v>1027</v>
      </c>
    </row>
    <row r="81" spans="1:27" ht="14" customHeight="1">
      <c r="A81" t="s">
        <v>662</v>
      </c>
      <c r="B81" t="s">
        <v>532</v>
      </c>
      <c r="C81" t="s">
        <v>641</v>
      </c>
      <c r="D81" t="s">
        <v>645</v>
      </c>
      <c r="E81" t="s">
        <v>81</v>
      </c>
      <c r="F81" t="s">
        <v>1032</v>
      </c>
      <c r="G81" t="s">
        <v>643</v>
      </c>
      <c r="H81" t="s">
        <v>84</v>
      </c>
      <c r="I81" t="s">
        <v>226</v>
      </c>
      <c r="J81" t="s">
        <v>781</v>
      </c>
      <c r="K81" t="s">
        <v>1006</v>
      </c>
      <c r="L81" t="s">
        <v>827</v>
      </c>
      <c r="M81" t="s">
        <v>229</v>
      </c>
      <c r="N81" t="s">
        <v>1015</v>
      </c>
      <c r="O81" t="s">
        <v>693</v>
      </c>
      <c r="P81" t="s">
        <v>91</v>
      </c>
      <c r="Q81" t="s">
        <v>367</v>
      </c>
      <c r="R81" t="s">
        <v>1009</v>
      </c>
      <c r="S81" t="s">
        <v>94</v>
      </c>
      <c r="T81" s="14" t="s">
        <v>783</v>
      </c>
      <c r="U81" t="s">
        <v>669</v>
      </c>
      <c r="V81" t="s">
        <v>1023</v>
      </c>
      <c r="W81" t="s">
        <v>471</v>
      </c>
      <c r="X81" t="s">
        <v>652</v>
      </c>
      <c r="Y81" t="s">
        <v>184</v>
      </c>
      <c r="Z81" t="s">
        <v>671</v>
      </c>
      <c r="AA81" s="5" t="s">
        <v>1027</v>
      </c>
    </row>
    <row r="82" spans="1:27" ht="14" customHeight="1">
      <c r="A82" t="s">
        <v>672</v>
      </c>
      <c r="B82" t="s">
        <v>532</v>
      </c>
      <c r="C82" t="s">
        <v>673</v>
      </c>
      <c r="D82" t="s">
        <v>645</v>
      </c>
      <c r="E82" t="s">
        <v>81</v>
      </c>
      <c r="F82" t="s">
        <v>1033</v>
      </c>
      <c r="G82" t="s">
        <v>675</v>
      </c>
      <c r="H82" t="s">
        <v>84</v>
      </c>
      <c r="I82" t="s">
        <v>226</v>
      </c>
      <c r="J82" t="s">
        <v>781</v>
      </c>
      <c r="K82" t="s">
        <v>1006</v>
      </c>
      <c r="L82" t="s">
        <v>827</v>
      </c>
      <c r="M82" t="s">
        <v>229</v>
      </c>
      <c r="N82" t="s">
        <v>1034</v>
      </c>
      <c r="O82" t="s">
        <v>687</v>
      </c>
      <c r="P82" t="s">
        <v>91</v>
      </c>
      <c r="Q82" t="s">
        <v>367</v>
      </c>
      <c r="R82" t="s">
        <v>1009</v>
      </c>
      <c r="S82" t="s">
        <v>94</v>
      </c>
      <c r="T82" s="14" t="s">
        <v>783</v>
      </c>
      <c r="U82" t="s">
        <v>678</v>
      </c>
      <c r="V82" t="s">
        <v>1035</v>
      </c>
      <c r="W82" t="s">
        <v>679</v>
      </c>
      <c r="X82" t="s">
        <v>652</v>
      </c>
      <c r="Y82" t="s">
        <v>100</v>
      </c>
      <c r="Z82" t="s">
        <v>680</v>
      </c>
      <c r="AA82" s="5" t="s">
        <v>1027</v>
      </c>
    </row>
    <row r="83" spans="1:27" ht="14" customHeight="1">
      <c r="A83" t="s">
        <v>681</v>
      </c>
      <c r="B83" t="s">
        <v>532</v>
      </c>
      <c r="C83" t="s">
        <v>682</v>
      </c>
      <c r="D83" t="s">
        <v>683</v>
      </c>
      <c r="E83" t="s">
        <v>81</v>
      </c>
      <c r="F83" t="s">
        <v>1036</v>
      </c>
      <c r="G83" t="s">
        <v>682</v>
      </c>
      <c r="H83" t="s">
        <v>685</v>
      </c>
      <c r="I83" t="s">
        <v>226</v>
      </c>
      <c r="J83" t="s">
        <v>781</v>
      </c>
      <c r="K83" t="s">
        <v>1006</v>
      </c>
      <c r="L83" t="s">
        <v>827</v>
      </c>
      <c r="M83" t="s">
        <v>229</v>
      </c>
      <c r="N83" t="s">
        <v>1037</v>
      </c>
      <c r="O83" t="s">
        <v>1038</v>
      </c>
      <c r="P83" t="s">
        <v>91</v>
      </c>
      <c r="Q83" t="s">
        <v>367</v>
      </c>
      <c r="R83" t="s">
        <v>1009</v>
      </c>
      <c r="S83" t="s">
        <v>94</v>
      </c>
      <c r="T83" s="14" t="s">
        <v>783</v>
      </c>
      <c r="U83" t="s">
        <v>678</v>
      </c>
      <c r="V83" t="s">
        <v>1039</v>
      </c>
      <c r="W83" t="s">
        <v>679</v>
      </c>
      <c r="X83" t="s">
        <v>652</v>
      </c>
      <c r="Y83" t="s">
        <v>100</v>
      </c>
      <c r="Z83" t="s">
        <v>680</v>
      </c>
      <c r="AA83" s="5" t="s">
        <v>1027</v>
      </c>
    </row>
    <row r="84" spans="1:27" ht="14" customHeight="1">
      <c r="A84" t="s">
        <v>686</v>
      </c>
      <c r="B84" t="s">
        <v>532</v>
      </c>
      <c r="C84" t="s">
        <v>687</v>
      </c>
      <c r="D84" t="s">
        <v>683</v>
      </c>
      <c r="E84" t="s">
        <v>81</v>
      </c>
      <c r="F84" t="s">
        <v>1040</v>
      </c>
      <c r="G84" t="s">
        <v>687</v>
      </c>
      <c r="H84" t="s">
        <v>685</v>
      </c>
      <c r="I84" t="s">
        <v>226</v>
      </c>
      <c r="J84" t="s">
        <v>781</v>
      </c>
      <c r="K84" t="s">
        <v>1006</v>
      </c>
      <c r="L84" t="s">
        <v>827</v>
      </c>
      <c r="M84" t="s">
        <v>229</v>
      </c>
      <c r="N84" t="s">
        <v>1034</v>
      </c>
      <c r="O84" t="s">
        <v>687</v>
      </c>
      <c r="P84" t="s">
        <v>91</v>
      </c>
      <c r="Q84" t="s">
        <v>367</v>
      </c>
      <c r="R84" t="s">
        <v>1009</v>
      </c>
      <c r="S84" t="s">
        <v>94</v>
      </c>
      <c r="T84" s="14" t="s">
        <v>783</v>
      </c>
      <c r="U84" t="s">
        <v>678</v>
      </c>
      <c r="V84" t="s">
        <v>1041</v>
      </c>
      <c r="W84" t="s">
        <v>679</v>
      </c>
      <c r="X84" t="s">
        <v>652</v>
      </c>
      <c r="Y84" t="s">
        <v>100</v>
      </c>
      <c r="Z84" t="s">
        <v>680</v>
      </c>
      <c r="AA84" s="5" t="s">
        <v>1042</v>
      </c>
    </row>
    <row r="85" spans="1:27" ht="14" customHeight="1">
      <c r="A85" t="s">
        <v>689</v>
      </c>
      <c r="B85" t="s">
        <v>532</v>
      </c>
      <c r="C85" t="s">
        <v>690</v>
      </c>
      <c r="D85" t="s">
        <v>683</v>
      </c>
      <c r="E85" t="s">
        <v>81</v>
      </c>
      <c r="F85" t="s">
        <v>1043</v>
      </c>
      <c r="G85" t="s">
        <v>690</v>
      </c>
      <c r="H85" t="s">
        <v>685</v>
      </c>
      <c r="I85" t="s">
        <v>226</v>
      </c>
      <c r="J85" t="s">
        <v>781</v>
      </c>
      <c r="K85" t="s">
        <v>1006</v>
      </c>
      <c r="L85" t="s">
        <v>827</v>
      </c>
      <c r="M85" t="s">
        <v>229</v>
      </c>
      <c r="N85" t="s">
        <v>692</v>
      </c>
      <c r="O85" t="s">
        <v>693</v>
      </c>
      <c r="P85" t="s">
        <v>91</v>
      </c>
      <c r="Q85" t="s">
        <v>367</v>
      </c>
      <c r="R85" t="s">
        <v>1044</v>
      </c>
      <c r="S85" t="s">
        <v>94</v>
      </c>
      <c r="T85" s="14" t="s">
        <v>783</v>
      </c>
      <c r="U85" t="s">
        <v>694</v>
      </c>
      <c r="V85" t="s">
        <v>1045</v>
      </c>
      <c r="W85" t="s">
        <v>695</v>
      </c>
      <c r="X85" t="s">
        <v>142</v>
      </c>
      <c r="Y85" t="s">
        <v>100</v>
      </c>
      <c r="Z85" t="s">
        <v>440</v>
      </c>
      <c r="AA85" s="5" t="s">
        <v>950</v>
      </c>
    </row>
    <row r="86" spans="1:27" ht="14" customHeight="1">
      <c r="A86" t="s">
        <v>696</v>
      </c>
      <c r="B86" t="s">
        <v>532</v>
      </c>
      <c r="C86" t="s">
        <v>697</v>
      </c>
      <c r="D86" t="s">
        <v>683</v>
      </c>
      <c r="E86" t="s">
        <v>81</v>
      </c>
      <c r="F86" t="s">
        <v>1046</v>
      </c>
      <c r="G86" t="s">
        <v>690</v>
      </c>
      <c r="H86" t="s">
        <v>685</v>
      </c>
      <c r="I86" t="s">
        <v>226</v>
      </c>
      <c r="J86" t="s">
        <v>781</v>
      </c>
      <c r="K86" t="s">
        <v>1006</v>
      </c>
      <c r="L86" t="s">
        <v>827</v>
      </c>
      <c r="M86" t="s">
        <v>229</v>
      </c>
      <c r="N86" t="s">
        <v>699</v>
      </c>
      <c r="O86" t="s">
        <v>700</v>
      </c>
      <c r="P86" t="s">
        <v>91</v>
      </c>
      <c r="Q86" t="s">
        <v>367</v>
      </c>
      <c r="R86" t="s">
        <v>1047</v>
      </c>
      <c r="S86" t="s">
        <v>94</v>
      </c>
      <c r="T86" s="14" t="s">
        <v>783</v>
      </c>
      <c r="U86" t="s">
        <v>694</v>
      </c>
      <c r="V86" t="s">
        <v>1048</v>
      </c>
      <c r="W86" t="s">
        <v>695</v>
      </c>
      <c r="X86" t="s">
        <v>142</v>
      </c>
      <c r="Y86" t="s">
        <v>100</v>
      </c>
      <c r="Z86" t="s">
        <v>334</v>
      </c>
      <c r="AA86" s="5" t="s">
        <v>950</v>
      </c>
    </row>
    <row r="87" spans="1:27" ht="14" customHeight="1">
      <c r="A87" t="s">
        <v>701</v>
      </c>
      <c r="B87" t="s">
        <v>702</v>
      </c>
      <c r="C87" t="s">
        <v>703</v>
      </c>
      <c r="D87" t="s">
        <v>704</v>
      </c>
      <c r="E87" t="s">
        <v>81</v>
      </c>
      <c r="F87" t="s">
        <v>1049</v>
      </c>
      <c r="G87" t="s">
        <v>362</v>
      </c>
      <c r="H87" t="s">
        <v>363</v>
      </c>
      <c r="I87" t="s">
        <v>85</v>
      </c>
      <c r="J87" t="s">
        <v>781</v>
      </c>
      <c r="K87" t="s">
        <v>1050</v>
      </c>
      <c r="L87" t="s">
        <v>254</v>
      </c>
      <c r="M87" t="s">
        <v>255</v>
      </c>
      <c r="N87" t="s">
        <v>1051</v>
      </c>
      <c r="O87" t="s">
        <v>1052</v>
      </c>
      <c r="P87" t="s">
        <v>91</v>
      </c>
      <c r="Q87" t="s">
        <v>295</v>
      </c>
      <c r="R87" t="s">
        <v>834</v>
      </c>
      <c r="S87" t="s">
        <v>94</v>
      </c>
      <c r="T87" s="14" t="s">
        <v>783</v>
      </c>
      <c r="U87" t="s">
        <v>260</v>
      </c>
      <c r="V87" t="s">
        <v>1053</v>
      </c>
      <c r="W87" t="s">
        <v>610</v>
      </c>
      <c r="X87" t="s">
        <v>142</v>
      </c>
      <c r="Y87" t="s">
        <v>100</v>
      </c>
      <c r="Z87" t="s">
        <v>611</v>
      </c>
      <c r="AA87" s="5" t="s">
        <v>1054</v>
      </c>
    </row>
    <row r="88" spans="1:27" ht="14" customHeight="1">
      <c r="A88" t="s">
        <v>708</v>
      </c>
      <c r="B88" t="s">
        <v>702</v>
      </c>
      <c r="C88" t="s">
        <v>709</v>
      </c>
      <c r="D88" t="s">
        <v>704</v>
      </c>
      <c r="E88" t="s">
        <v>81</v>
      </c>
      <c r="F88" t="s">
        <v>1055</v>
      </c>
      <c r="G88" t="s">
        <v>711</v>
      </c>
      <c r="H88" t="s">
        <v>363</v>
      </c>
      <c r="I88" t="s">
        <v>85</v>
      </c>
      <c r="J88" t="s">
        <v>832</v>
      </c>
      <c r="K88" t="s">
        <v>1050</v>
      </c>
      <c r="L88" t="s">
        <v>254</v>
      </c>
      <c r="M88" t="s">
        <v>255</v>
      </c>
      <c r="N88" t="s">
        <v>1051</v>
      </c>
      <c r="O88" t="s">
        <v>1056</v>
      </c>
      <c r="P88" t="s">
        <v>91</v>
      </c>
      <c r="Q88" t="s">
        <v>295</v>
      </c>
      <c r="R88" t="s">
        <v>834</v>
      </c>
      <c r="S88" t="s">
        <v>94</v>
      </c>
      <c r="T88" s="14" t="s">
        <v>783</v>
      </c>
      <c r="U88" t="s">
        <v>260</v>
      </c>
      <c r="V88" t="s">
        <v>1057</v>
      </c>
      <c r="W88" t="s">
        <v>610</v>
      </c>
      <c r="X88" t="s">
        <v>142</v>
      </c>
      <c r="Y88" t="s">
        <v>100</v>
      </c>
      <c r="Z88" t="s">
        <v>611</v>
      </c>
      <c r="AA88" s="5" t="s">
        <v>1054</v>
      </c>
    </row>
    <row r="89" spans="1:27" ht="14" customHeight="1">
      <c r="A89" t="s">
        <v>713</v>
      </c>
      <c r="B89" t="s">
        <v>702</v>
      </c>
      <c r="C89" t="s">
        <v>714</v>
      </c>
      <c r="D89" t="s">
        <v>704</v>
      </c>
      <c r="E89" t="s">
        <v>81</v>
      </c>
      <c r="F89" t="s">
        <v>1058</v>
      </c>
      <c r="G89" t="s">
        <v>716</v>
      </c>
      <c r="H89" t="s">
        <v>84</v>
      </c>
      <c r="I89" t="s">
        <v>85</v>
      </c>
      <c r="J89" t="s">
        <v>832</v>
      </c>
      <c r="K89" t="s">
        <v>1050</v>
      </c>
      <c r="L89" t="s">
        <v>254</v>
      </c>
      <c r="M89" t="s">
        <v>255</v>
      </c>
      <c r="N89" t="s">
        <v>1051</v>
      </c>
      <c r="O89" t="s">
        <v>1056</v>
      </c>
      <c r="P89" t="s">
        <v>91</v>
      </c>
      <c r="Q89" t="s">
        <v>295</v>
      </c>
      <c r="R89" t="s">
        <v>834</v>
      </c>
      <c r="S89" t="s">
        <v>94</v>
      </c>
      <c r="T89" s="14" t="s">
        <v>783</v>
      </c>
      <c r="U89" t="s">
        <v>269</v>
      </c>
      <c r="V89" t="s">
        <v>1059</v>
      </c>
      <c r="W89" t="s">
        <v>610</v>
      </c>
      <c r="X89" t="s">
        <v>142</v>
      </c>
      <c r="Y89" t="s">
        <v>100</v>
      </c>
      <c r="Z89" t="s">
        <v>383</v>
      </c>
      <c r="AA89" s="5" t="s">
        <v>1054</v>
      </c>
    </row>
    <row r="90" spans="1:27" ht="14" customHeight="1">
      <c r="A90" t="s">
        <v>717</v>
      </c>
      <c r="B90" t="s">
        <v>702</v>
      </c>
      <c r="C90" t="s">
        <v>718</v>
      </c>
      <c r="D90" t="s">
        <v>719</v>
      </c>
      <c r="E90" t="s">
        <v>81</v>
      </c>
      <c r="F90" t="s">
        <v>720</v>
      </c>
      <c r="G90" t="s">
        <v>721</v>
      </c>
      <c r="H90" t="s">
        <v>84</v>
      </c>
      <c r="I90" t="s">
        <v>85</v>
      </c>
      <c r="J90" t="s">
        <v>832</v>
      </c>
      <c r="K90" t="s">
        <v>1050</v>
      </c>
      <c r="L90" t="s">
        <v>254</v>
      </c>
      <c r="M90" t="s">
        <v>255</v>
      </c>
      <c r="N90" t="s">
        <v>1051</v>
      </c>
      <c r="O90" t="s">
        <v>1060</v>
      </c>
      <c r="P90" t="s">
        <v>91</v>
      </c>
      <c r="Q90" t="s">
        <v>723</v>
      </c>
      <c r="R90" t="s">
        <v>834</v>
      </c>
      <c r="S90" t="s">
        <v>94</v>
      </c>
      <c r="T90" s="14" t="s">
        <v>783</v>
      </c>
      <c r="U90" t="s">
        <v>260</v>
      </c>
      <c r="V90" t="s">
        <v>1061</v>
      </c>
      <c r="W90" t="s">
        <v>610</v>
      </c>
      <c r="X90" t="s">
        <v>142</v>
      </c>
      <c r="Y90" t="s">
        <v>100</v>
      </c>
      <c r="Z90" t="s">
        <v>611</v>
      </c>
      <c r="AA90" s="5" t="s">
        <v>1062</v>
      </c>
    </row>
    <row r="91" spans="1:27" ht="14" customHeight="1">
      <c r="A91" t="s">
        <v>724</v>
      </c>
      <c r="B91" t="s">
        <v>702</v>
      </c>
      <c r="C91" t="s">
        <v>725</v>
      </c>
      <c r="D91" t="s">
        <v>719</v>
      </c>
      <c r="E91" t="s">
        <v>81</v>
      </c>
      <c r="F91" t="s">
        <v>726</v>
      </c>
      <c r="G91" t="s">
        <v>727</v>
      </c>
      <c r="H91" t="s">
        <v>84</v>
      </c>
      <c r="I91" t="s">
        <v>85</v>
      </c>
      <c r="J91" t="s">
        <v>832</v>
      </c>
      <c r="L91" t="s">
        <v>728</v>
      </c>
      <c r="M91" t="s">
        <v>729</v>
      </c>
      <c r="N91" t="s">
        <v>730</v>
      </c>
      <c r="O91" t="s">
        <v>731</v>
      </c>
      <c r="P91" t="s">
        <v>91</v>
      </c>
      <c r="Q91" t="s">
        <v>295</v>
      </c>
      <c r="R91" t="s">
        <v>1063</v>
      </c>
      <c r="S91" t="s">
        <v>94</v>
      </c>
      <c r="T91" s="14" t="s">
        <v>783</v>
      </c>
      <c r="U91" t="s">
        <v>732</v>
      </c>
      <c r="V91" t="s">
        <v>1064</v>
      </c>
      <c r="W91" t="s">
        <v>610</v>
      </c>
      <c r="X91" t="s">
        <v>142</v>
      </c>
      <c r="Y91" t="s">
        <v>100</v>
      </c>
      <c r="Z91" t="s">
        <v>733</v>
      </c>
      <c r="AA91" s="5" t="s">
        <v>1062</v>
      </c>
    </row>
    <row r="92" spans="1:27" ht="14" customHeight="1">
      <c r="A92" t="s">
        <v>734</v>
      </c>
      <c r="B92" t="s">
        <v>702</v>
      </c>
      <c r="C92" t="s">
        <v>735</v>
      </c>
      <c r="D92" t="s">
        <v>719</v>
      </c>
      <c r="E92" t="s">
        <v>81</v>
      </c>
      <c r="F92" t="s">
        <v>736</v>
      </c>
      <c r="G92" t="s">
        <v>737</v>
      </c>
      <c r="H92" t="s">
        <v>84</v>
      </c>
      <c r="I92" t="s">
        <v>85</v>
      </c>
      <c r="J92" t="s">
        <v>832</v>
      </c>
      <c r="L92" t="s">
        <v>254</v>
      </c>
      <c r="M92" t="s">
        <v>255</v>
      </c>
      <c r="N92" t="s">
        <v>267</v>
      </c>
      <c r="O92" t="s">
        <v>268</v>
      </c>
      <c r="P92" t="s">
        <v>91</v>
      </c>
      <c r="Q92" t="s">
        <v>295</v>
      </c>
      <c r="R92" t="s">
        <v>834</v>
      </c>
      <c r="S92" t="s">
        <v>94</v>
      </c>
      <c r="T92" s="14" t="s">
        <v>783</v>
      </c>
      <c r="U92" t="s">
        <v>260</v>
      </c>
      <c r="V92" t="s">
        <v>1065</v>
      </c>
      <c r="W92" t="s">
        <v>610</v>
      </c>
      <c r="X92" t="s">
        <v>142</v>
      </c>
      <c r="Y92" t="s">
        <v>100</v>
      </c>
      <c r="Z92" t="s">
        <v>733</v>
      </c>
      <c r="AA92" s="5" t="s">
        <v>1062</v>
      </c>
    </row>
    <row r="93" spans="1:27" ht="14" customHeight="1">
      <c r="A93" t="s">
        <v>738</v>
      </c>
      <c r="B93" t="s">
        <v>702</v>
      </c>
      <c r="C93" t="s">
        <v>739</v>
      </c>
      <c r="D93" t="s">
        <v>719</v>
      </c>
      <c r="E93" t="s">
        <v>81</v>
      </c>
      <c r="F93" t="s">
        <v>1066</v>
      </c>
      <c r="G93" t="s">
        <v>741</v>
      </c>
      <c r="H93" t="s">
        <v>84</v>
      </c>
      <c r="I93" t="s">
        <v>85</v>
      </c>
      <c r="J93" t="s">
        <v>832</v>
      </c>
      <c r="L93" t="s">
        <v>274</v>
      </c>
      <c r="M93" t="s">
        <v>275</v>
      </c>
      <c r="N93" t="s">
        <v>276</v>
      </c>
      <c r="O93" t="s">
        <v>277</v>
      </c>
      <c r="P93" t="s">
        <v>91</v>
      </c>
      <c r="Q93" t="s">
        <v>295</v>
      </c>
      <c r="R93" t="s">
        <v>278</v>
      </c>
      <c r="S93" t="s">
        <v>94</v>
      </c>
      <c r="T93" s="14" t="s">
        <v>783</v>
      </c>
      <c r="U93" t="s">
        <v>269</v>
      </c>
      <c r="V93" t="s">
        <v>1067</v>
      </c>
      <c r="W93" t="s">
        <v>610</v>
      </c>
      <c r="X93" t="s">
        <v>142</v>
      </c>
      <c r="Y93" t="s">
        <v>100</v>
      </c>
      <c r="Z93" t="s">
        <v>383</v>
      </c>
      <c r="AA93" s="5" t="s">
        <v>1062</v>
      </c>
    </row>
    <row r="94" spans="1:27" ht="14" customHeight="1">
      <c r="A94" t="s">
        <v>742</v>
      </c>
      <c r="B94" t="s">
        <v>743</v>
      </c>
      <c r="C94" t="s">
        <v>744</v>
      </c>
      <c r="E94" t="s">
        <v>81</v>
      </c>
      <c r="F94" t="s">
        <v>745</v>
      </c>
      <c r="G94" t="s">
        <v>746</v>
      </c>
      <c r="H94" t="s">
        <v>685</v>
      </c>
      <c r="I94" t="s">
        <v>85</v>
      </c>
      <c r="K94" t="s">
        <v>747</v>
      </c>
      <c r="L94" t="s">
        <v>228</v>
      </c>
      <c r="M94" t="s">
        <v>649</v>
      </c>
      <c r="N94" t="s">
        <v>676</v>
      </c>
      <c r="O94" t="s">
        <v>677</v>
      </c>
      <c r="P94" t="s">
        <v>748</v>
      </c>
      <c r="Q94" t="s">
        <v>295</v>
      </c>
      <c r="R94" t="s">
        <v>1068</v>
      </c>
      <c r="S94" t="s">
        <v>94</v>
      </c>
      <c r="T94" s="14" t="s">
        <v>783</v>
      </c>
      <c r="U94" t="s">
        <v>678</v>
      </c>
      <c r="V94" t="s">
        <v>1069</v>
      </c>
      <c r="W94" t="s">
        <v>679</v>
      </c>
      <c r="X94" t="s">
        <v>652</v>
      </c>
      <c r="Y94" t="s">
        <v>100</v>
      </c>
      <c r="Z94" t="s">
        <v>680</v>
      </c>
      <c r="AA94" s="5" t="s">
        <v>1070</v>
      </c>
    </row>
    <row r="95" spans="1:27" ht="14" customHeight="1">
      <c r="A95" t="s">
        <v>749</v>
      </c>
      <c r="B95" t="s">
        <v>743</v>
      </c>
      <c r="C95" t="s">
        <v>750</v>
      </c>
      <c r="E95" t="s">
        <v>81</v>
      </c>
      <c r="F95" t="s">
        <v>751</v>
      </c>
      <c r="G95" t="s">
        <v>746</v>
      </c>
      <c r="H95" t="s">
        <v>685</v>
      </c>
      <c r="I95" t="s">
        <v>85</v>
      </c>
      <c r="K95" t="s">
        <v>752</v>
      </c>
      <c r="L95" t="s">
        <v>304</v>
      </c>
      <c r="M95" t="s">
        <v>657</v>
      </c>
      <c r="N95" t="s">
        <v>676</v>
      </c>
      <c r="O95" t="s">
        <v>677</v>
      </c>
      <c r="P95" t="s">
        <v>748</v>
      </c>
      <c r="Q95" t="s">
        <v>295</v>
      </c>
      <c r="R95" t="s">
        <v>1071</v>
      </c>
      <c r="S95" t="s">
        <v>94</v>
      </c>
      <c r="T95" s="14" t="s">
        <v>783</v>
      </c>
      <c r="U95" t="s">
        <v>678</v>
      </c>
      <c r="V95" t="s">
        <v>1072</v>
      </c>
      <c r="W95" t="s">
        <v>679</v>
      </c>
      <c r="X95" t="s">
        <v>652</v>
      </c>
      <c r="Y95" t="s">
        <v>100</v>
      </c>
      <c r="Z95" t="s">
        <v>680</v>
      </c>
      <c r="AA95" s="5" t="s">
        <v>1073</v>
      </c>
    </row>
    <row r="96" spans="1:27" ht="14" customHeight="1">
      <c r="A96" t="s">
        <v>753</v>
      </c>
      <c r="B96" t="s">
        <v>743</v>
      </c>
      <c r="C96" t="s">
        <v>754</v>
      </c>
      <c r="E96" t="s">
        <v>81</v>
      </c>
      <c r="F96" t="s">
        <v>755</v>
      </c>
      <c r="G96" t="s">
        <v>756</v>
      </c>
      <c r="H96" t="s">
        <v>685</v>
      </c>
      <c r="I96" t="s">
        <v>85</v>
      </c>
      <c r="K96" t="s">
        <v>757</v>
      </c>
      <c r="L96" t="s">
        <v>664</v>
      </c>
      <c r="M96" t="s">
        <v>665</v>
      </c>
      <c r="N96" t="s">
        <v>758</v>
      </c>
      <c r="O96" t="s">
        <v>759</v>
      </c>
      <c r="P96" t="s">
        <v>748</v>
      </c>
      <c r="Q96" t="s">
        <v>295</v>
      </c>
      <c r="R96" t="s">
        <v>1074</v>
      </c>
      <c r="S96" t="s">
        <v>94</v>
      </c>
      <c r="T96" s="14" t="s">
        <v>783</v>
      </c>
      <c r="U96" t="s">
        <v>678</v>
      </c>
      <c r="V96" t="s">
        <v>1075</v>
      </c>
      <c r="W96" t="s">
        <v>679</v>
      </c>
      <c r="X96" t="s">
        <v>652</v>
      </c>
      <c r="Y96" t="s">
        <v>100</v>
      </c>
      <c r="Z96" t="s">
        <v>680</v>
      </c>
      <c r="AA96" s="5" t="s">
        <v>1076</v>
      </c>
    </row>
    <row r="97" spans="1:27" ht="14" customHeight="1">
      <c r="A97" t="s">
        <v>760</v>
      </c>
      <c r="B97" t="s">
        <v>743</v>
      </c>
      <c r="C97" t="s">
        <v>761</v>
      </c>
      <c r="E97" t="s">
        <v>762</v>
      </c>
      <c r="F97" t="s">
        <v>763</v>
      </c>
      <c r="G97" t="s">
        <v>764</v>
      </c>
      <c r="H97" t="s">
        <v>685</v>
      </c>
      <c r="I97" t="s">
        <v>765</v>
      </c>
      <c r="K97" t="s">
        <v>766</v>
      </c>
      <c r="L97" t="s">
        <v>1077</v>
      </c>
      <c r="M97" t="s">
        <v>767</v>
      </c>
      <c r="N97" t="s">
        <v>768</v>
      </c>
      <c r="O97" t="s">
        <v>769</v>
      </c>
      <c r="P97" t="s">
        <v>748</v>
      </c>
      <c r="Q97" t="s">
        <v>762</v>
      </c>
      <c r="R97" t="s">
        <v>1078</v>
      </c>
      <c r="S97" t="s">
        <v>94</v>
      </c>
      <c r="T97" s="14" t="s">
        <v>783</v>
      </c>
      <c r="U97" t="s">
        <v>678</v>
      </c>
      <c r="V97" t="s">
        <v>1079</v>
      </c>
      <c r="W97" t="s">
        <v>679</v>
      </c>
      <c r="X97" t="s">
        <v>652</v>
      </c>
      <c r="Y97" t="s">
        <v>100</v>
      </c>
      <c r="Z97" t="s">
        <v>680</v>
      </c>
      <c r="AA97" s="5" t="s">
        <v>1080</v>
      </c>
    </row>
    <row r="98" spans="1:27" ht="14" customHeight="1">
      <c r="A98" t="s">
        <v>770</v>
      </c>
      <c r="B98" t="s">
        <v>743</v>
      </c>
      <c r="C98" t="s">
        <v>771</v>
      </c>
      <c r="E98" t="s">
        <v>772</v>
      </c>
      <c r="F98" t="s">
        <v>773</v>
      </c>
      <c r="G98" t="s">
        <v>774</v>
      </c>
      <c r="H98" t="s">
        <v>685</v>
      </c>
      <c r="I98" t="s">
        <v>765</v>
      </c>
      <c r="K98" t="s">
        <v>766</v>
      </c>
      <c r="L98" t="s">
        <v>511</v>
      </c>
      <c r="M98" t="s">
        <v>775</v>
      </c>
      <c r="N98" t="s">
        <v>776</v>
      </c>
      <c r="O98" t="s">
        <v>777</v>
      </c>
      <c r="P98" t="s">
        <v>748</v>
      </c>
      <c r="Q98" t="s">
        <v>778</v>
      </c>
      <c r="R98" t="s">
        <v>1081</v>
      </c>
      <c r="S98" t="s">
        <v>94</v>
      </c>
      <c r="T98" s="14" t="s">
        <v>783</v>
      </c>
      <c r="U98" t="s">
        <v>678</v>
      </c>
      <c r="V98" t="s">
        <v>1082</v>
      </c>
      <c r="W98" t="s">
        <v>679</v>
      </c>
      <c r="X98" t="s">
        <v>652</v>
      </c>
      <c r="Y98" t="s">
        <v>100</v>
      </c>
      <c r="Z98" t="s">
        <v>680</v>
      </c>
      <c r="AA98" s="5" t="s">
        <v>1080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1"/>
  <sheetViews>
    <sheetView topLeftCell="A41" workbookViewId="0">
      <selection activeCell="C60" sqref="C60"/>
    </sheetView>
  </sheetViews>
  <sheetFormatPr defaultColWidth="9" defaultRowHeight="14"/>
  <cols>
    <col min="2" max="2" width="18.08203125" style="2" customWidth="1"/>
    <col min="3" max="3" width="25.25" style="2" customWidth="1"/>
    <col min="4" max="4" width="34.9140625" style="2" customWidth="1"/>
    <col min="5" max="5" width="51.6640625" style="2" customWidth="1"/>
    <col min="6" max="6" width="51.9140625" style="2" customWidth="1"/>
    <col min="7" max="7" width="31.33203125" style="2" customWidth="1"/>
    <col min="8" max="8" width="43.08203125" style="2" customWidth="1"/>
    <col min="9" max="9" width="90.58203125" customWidth="1"/>
  </cols>
  <sheetData>
    <row r="1" spans="1:26" s="3" customFormat="1">
      <c r="A1" s="3" t="s">
        <v>52</v>
      </c>
      <c r="B1" s="3" t="s">
        <v>53</v>
      </c>
      <c r="C1" s="3" t="s">
        <v>54</v>
      </c>
      <c r="D1" s="3" t="s">
        <v>1083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  <c r="S1" s="3" t="s">
        <v>69</v>
      </c>
      <c r="T1" s="3" t="s">
        <v>70</v>
      </c>
      <c r="U1" s="3" t="s">
        <v>71</v>
      </c>
      <c r="V1" s="3" t="s">
        <v>72</v>
      </c>
      <c r="W1" s="3" t="s">
        <v>73</v>
      </c>
      <c r="X1" s="3" t="s">
        <v>74</v>
      </c>
      <c r="Y1" s="3" t="s">
        <v>75</v>
      </c>
      <c r="Z1" s="3" t="s">
        <v>76</v>
      </c>
    </row>
    <row r="2" spans="1:26">
      <c r="A2" t="s">
        <v>841</v>
      </c>
      <c r="B2" t="s">
        <v>78</v>
      </c>
      <c r="C2" s="22" t="s">
        <v>1324</v>
      </c>
      <c r="D2" s="20" t="s">
        <v>1309</v>
      </c>
    </row>
    <row r="3" spans="1:26">
      <c r="A3" t="s">
        <v>280</v>
      </c>
      <c r="B3" t="s">
        <v>281</v>
      </c>
      <c r="C3" s="7" t="s">
        <v>1084</v>
      </c>
      <c r="G3" s="7" t="s">
        <v>1085</v>
      </c>
    </row>
    <row r="4" spans="1:26" s="7" customFormat="1" ht="14" customHeight="1">
      <c r="A4" t="s">
        <v>568</v>
      </c>
      <c r="B4" t="s">
        <v>532</v>
      </c>
      <c r="C4" t="s">
        <v>198</v>
      </c>
      <c r="D4" t="s">
        <v>533</v>
      </c>
      <c r="E4" t="s">
        <v>1086</v>
      </c>
      <c r="F4" t="s">
        <v>201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1:26" s="7" customFormat="1" ht="14" customHeight="1">
      <c r="A5" t="s">
        <v>568</v>
      </c>
      <c r="B5" t="s">
        <v>532</v>
      </c>
      <c r="C5" t="s">
        <v>543</v>
      </c>
      <c r="D5" t="s">
        <v>533</v>
      </c>
      <c r="E5" t="s">
        <v>1086</v>
      </c>
      <c r="F5" t="s">
        <v>1087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6" s="7" customFormat="1" ht="14" customHeight="1">
      <c r="A6" t="s">
        <v>568</v>
      </c>
      <c r="B6" t="s">
        <v>532</v>
      </c>
      <c r="C6" t="s">
        <v>236</v>
      </c>
      <c r="D6" t="s">
        <v>533</v>
      </c>
      <c r="E6" t="s">
        <v>951</v>
      </c>
      <c r="F6" t="s">
        <v>1088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6" s="7" customFormat="1" ht="14" customHeight="1">
      <c r="A7" t="s">
        <v>568</v>
      </c>
      <c r="B7" t="s">
        <v>532</v>
      </c>
      <c r="C7" t="s">
        <v>1089</v>
      </c>
      <c r="D7" t="s">
        <v>560</v>
      </c>
      <c r="E7" t="s">
        <v>1090</v>
      </c>
      <c r="F7" t="s">
        <v>1091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6" s="7" customFormat="1" ht="14" customHeight="1">
      <c r="A8" t="s">
        <v>568</v>
      </c>
      <c r="B8" t="s">
        <v>532</v>
      </c>
      <c r="C8" t="s">
        <v>1092</v>
      </c>
      <c r="D8" t="s">
        <v>560</v>
      </c>
      <c r="E8" t="s">
        <v>1093</v>
      </c>
      <c r="F8" t="s">
        <v>1094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6" s="7" customFormat="1" ht="14" customHeight="1">
      <c r="A9" t="s">
        <v>568</v>
      </c>
      <c r="B9" t="s">
        <v>532</v>
      </c>
      <c r="C9" t="s">
        <v>236</v>
      </c>
      <c r="D9" t="s">
        <v>560</v>
      </c>
      <c r="E9" t="s">
        <v>1095</v>
      </c>
      <c r="F9" t="s">
        <v>1096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6" s="7" customFormat="1" ht="14" customHeight="1">
      <c r="A10" t="s">
        <v>568</v>
      </c>
      <c r="B10" t="s">
        <v>532</v>
      </c>
      <c r="C10" t="s">
        <v>654</v>
      </c>
      <c r="D10" t="s">
        <v>623</v>
      </c>
      <c r="E10" t="s">
        <v>1097</v>
      </c>
      <c r="F10" t="s">
        <v>656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6" ht="14" customHeight="1">
      <c r="A11" t="s">
        <v>197</v>
      </c>
      <c r="B11" t="s">
        <v>78</v>
      </c>
      <c r="C11" t="s">
        <v>1098</v>
      </c>
      <c r="D11" t="s">
        <v>199</v>
      </c>
      <c r="E11" t="s">
        <v>200</v>
      </c>
      <c r="F11" t="s">
        <v>201</v>
      </c>
      <c r="G11" t="s">
        <v>16</v>
      </c>
      <c r="H11" t="s">
        <v>202</v>
      </c>
      <c r="I11" t="s">
        <v>817</v>
      </c>
      <c r="K11" t="s">
        <v>1099</v>
      </c>
      <c r="M11" s="5" t="s">
        <v>1100</v>
      </c>
    </row>
    <row r="12" spans="1:26" ht="14" customHeight="1">
      <c r="A12" t="s">
        <v>235</v>
      </c>
      <c r="B12" t="s">
        <v>78</v>
      </c>
      <c r="C12" t="s">
        <v>1101</v>
      </c>
      <c r="D12" t="s">
        <v>199</v>
      </c>
      <c r="E12" t="s">
        <v>237</v>
      </c>
      <c r="F12" t="s">
        <v>238</v>
      </c>
      <c r="G12" t="s">
        <v>16</v>
      </c>
      <c r="H12" t="s">
        <v>202</v>
      </c>
      <c r="I12" t="s">
        <v>817</v>
      </c>
      <c r="K12" t="s">
        <v>1099</v>
      </c>
      <c r="M12" s="5" t="s">
        <v>1102</v>
      </c>
    </row>
    <row r="13" spans="1:26" ht="14" customHeight="1">
      <c r="A13" t="s">
        <v>185</v>
      </c>
      <c r="B13" t="s">
        <v>78</v>
      </c>
      <c r="C13" t="s">
        <v>186</v>
      </c>
      <c r="D13" t="s">
        <v>1103</v>
      </c>
      <c r="E13" t="s">
        <v>151</v>
      </c>
      <c r="F13" t="s">
        <v>1104</v>
      </c>
      <c r="G13" t="s">
        <v>1105</v>
      </c>
      <c r="H13" t="s">
        <v>85</v>
      </c>
      <c r="I13" s="12" t="s">
        <v>1106</v>
      </c>
      <c r="J13" t="s">
        <v>781</v>
      </c>
      <c r="L13" t="s">
        <v>1107</v>
      </c>
      <c r="N13" s="5" t="s">
        <v>1108</v>
      </c>
    </row>
    <row r="14" spans="1:26" ht="14" customHeight="1">
      <c r="A14" t="s">
        <v>197</v>
      </c>
      <c r="B14" t="s">
        <v>78</v>
      </c>
      <c r="C14" t="s">
        <v>186</v>
      </c>
      <c r="D14" t="s">
        <v>1103</v>
      </c>
      <c r="E14" t="s">
        <v>151</v>
      </c>
      <c r="F14" t="s">
        <v>1109</v>
      </c>
      <c r="G14" t="s">
        <v>1110</v>
      </c>
      <c r="H14" t="s">
        <v>85</v>
      </c>
      <c r="I14" s="12" t="s">
        <v>1106</v>
      </c>
      <c r="J14" t="s">
        <v>781</v>
      </c>
      <c r="L14" t="s">
        <v>1107</v>
      </c>
      <c r="N14" s="5" t="s">
        <v>1108</v>
      </c>
    </row>
    <row r="15" spans="1:26" ht="14" customHeight="1">
      <c r="A15" t="s">
        <v>497</v>
      </c>
      <c r="B15" t="s">
        <v>463</v>
      </c>
      <c r="C15" t="s">
        <v>507</v>
      </c>
      <c r="D15"/>
      <c r="E15" t="s">
        <v>508</v>
      </c>
      <c r="F15" t="s">
        <v>1111</v>
      </c>
      <c r="G15" t="s">
        <v>1112</v>
      </c>
      <c r="H15" t="s">
        <v>765</v>
      </c>
      <c r="I15" s="11" t="s">
        <v>1113</v>
      </c>
      <c r="J15" t="s">
        <v>1114</v>
      </c>
      <c r="L15" t="s">
        <v>1107</v>
      </c>
      <c r="M15" t="s">
        <v>1115</v>
      </c>
      <c r="N15" s="5" t="s">
        <v>1116</v>
      </c>
    </row>
    <row r="16" spans="1:26" ht="14" customHeight="1">
      <c r="A16" t="s">
        <v>497</v>
      </c>
      <c r="B16" t="s">
        <v>463</v>
      </c>
      <c r="C16" t="s">
        <v>507</v>
      </c>
      <c r="D16"/>
      <c r="E16" t="s">
        <v>508</v>
      </c>
      <c r="F16" t="s">
        <v>1117</v>
      </c>
      <c r="G16" t="s">
        <v>1118</v>
      </c>
      <c r="H16" t="s">
        <v>765</v>
      </c>
      <c r="I16" s="11" t="s">
        <v>1113</v>
      </c>
      <c r="J16" t="s">
        <v>1114</v>
      </c>
      <c r="L16" t="s">
        <v>1107</v>
      </c>
      <c r="M16" t="s">
        <v>1115</v>
      </c>
      <c r="N16" s="5" t="s">
        <v>1116</v>
      </c>
    </row>
    <row r="17" spans="1:14" ht="14" customHeight="1">
      <c r="A17" t="s">
        <v>399</v>
      </c>
      <c r="B17" t="s">
        <v>358</v>
      </c>
      <c r="C17" t="s">
        <v>400</v>
      </c>
      <c r="D17"/>
      <c r="E17" t="s">
        <v>1119</v>
      </c>
      <c r="F17" t="s">
        <v>401</v>
      </c>
      <c r="G17" s="19" t="s">
        <v>1300</v>
      </c>
      <c r="H17" t="s">
        <v>154</v>
      </c>
      <c r="I17" t="s">
        <v>1120</v>
      </c>
      <c r="J17" t="s">
        <v>781</v>
      </c>
      <c r="L17" t="s">
        <v>1121</v>
      </c>
      <c r="M17" t="s">
        <v>1122</v>
      </c>
      <c r="N17" s="5" t="s">
        <v>1123</v>
      </c>
    </row>
    <row r="18" spans="1:14">
      <c r="A18" t="s">
        <v>841</v>
      </c>
      <c r="B18" t="s">
        <v>78</v>
      </c>
      <c r="C18" s="2" t="s">
        <v>1124</v>
      </c>
      <c r="D18" s="18" t="s">
        <v>1311</v>
      </c>
      <c r="E18" s="18" t="s">
        <v>1304</v>
      </c>
    </row>
    <row r="19" spans="1:14">
      <c r="A19" t="s">
        <v>1326</v>
      </c>
      <c r="B19" t="s">
        <v>78</v>
      </c>
      <c r="C19" s="2" t="s">
        <v>1124</v>
      </c>
      <c r="D19" s="18" t="s">
        <v>1312</v>
      </c>
      <c r="E19" s="18" t="s">
        <v>1320</v>
      </c>
      <c r="F19" s="18"/>
    </row>
    <row r="20" spans="1:14">
      <c r="A20" t="s">
        <v>1327</v>
      </c>
      <c r="B20" t="s">
        <v>78</v>
      </c>
      <c r="C20" s="2" t="s">
        <v>1124</v>
      </c>
      <c r="D20" s="18" t="s">
        <v>1313</v>
      </c>
      <c r="E20" s="18" t="s">
        <v>1303</v>
      </c>
      <c r="F20" s="18"/>
    </row>
    <row r="21" spans="1:14">
      <c r="A21" t="s">
        <v>1328</v>
      </c>
      <c r="B21" t="s">
        <v>78</v>
      </c>
      <c r="C21" s="18" t="s">
        <v>1316</v>
      </c>
      <c r="D21" s="18" t="s">
        <v>1317</v>
      </c>
      <c r="E21" s="18" t="s">
        <v>1318</v>
      </c>
      <c r="F21" s="18"/>
    </row>
    <row r="22" spans="1:14">
      <c r="A22" t="s">
        <v>1329</v>
      </c>
      <c r="B22" t="s">
        <v>78</v>
      </c>
      <c r="C22" s="18" t="s">
        <v>1305</v>
      </c>
      <c r="D22" s="18" t="s">
        <v>1307</v>
      </c>
      <c r="E22" s="18" t="s">
        <v>1306</v>
      </c>
      <c r="F22" s="18"/>
    </row>
    <row r="23" spans="1:14">
      <c r="A23" t="s">
        <v>1330</v>
      </c>
      <c r="B23" t="s">
        <v>78</v>
      </c>
      <c r="C23" s="18" t="s">
        <v>1310</v>
      </c>
      <c r="D23" s="18" t="s">
        <v>1308</v>
      </c>
      <c r="E23" s="2" t="s">
        <v>1323</v>
      </c>
      <c r="F23" s="2" t="s">
        <v>1319</v>
      </c>
    </row>
    <row r="24" spans="1:14">
      <c r="A24" t="s">
        <v>1385</v>
      </c>
      <c r="B24" t="s">
        <v>78</v>
      </c>
      <c r="C24" s="19" t="s">
        <v>1354</v>
      </c>
      <c r="D24" t="s">
        <v>1369</v>
      </c>
      <c r="E24" t="s">
        <v>1372</v>
      </c>
    </row>
    <row r="25" spans="1:14">
      <c r="A25" t="s">
        <v>1386</v>
      </c>
      <c r="B25" t="s">
        <v>78</v>
      </c>
      <c r="C25" s="19" t="s">
        <v>1355</v>
      </c>
      <c r="D25" t="s">
        <v>1369</v>
      </c>
      <c r="E25" t="s">
        <v>1372</v>
      </c>
    </row>
    <row r="26" spans="1:14">
      <c r="A26" t="s">
        <v>1387</v>
      </c>
      <c r="B26" t="s">
        <v>78</v>
      </c>
      <c r="C26" s="19" t="s">
        <v>1356</v>
      </c>
      <c r="D26" t="s">
        <v>1369</v>
      </c>
      <c r="E26" s="19" t="s">
        <v>1434</v>
      </c>
    </row>
    <row r="27" spans="1:14">
      <c r="A27" t="s">
        <v>1388</v>
      </c>
      <c r="B27" t="s">
        <v>78</v>
      </c>
      <c r="C27" s="19" t="s">
        <v>1357</v>
      </c>
      <c r="D27" t="s">
        <v>1369</v>
      </c>
      <c r="E27" t="s">
        <v>1372</v>
      </c>
    </row>
    <row r="28" spans="1:14">
      <c r="A28" t="s">
        <v>1389</v>
      </c>
      <c r="B28" t="s">
        <v>78</v>
      </c>
      <c r="C28" s="19" t="s">
        <v>1358</v>
      </c>
      <c r="D28" t="s">
        <v>1369</v>
      </c>
      <c r="E28" t="s">
        <v>1372</v>
      </c>
    </row>
    <row r="29" spans="1:14">
      <c r="A29" t="s">
        <v>1390</v>
      </c>
      <c r="B29" t="s">
        <v>78</v>
      </c>
      <c r="C29" s="19" t="s">
        <v>1359</v>
      </c>
      <c r="D29" s="19" t="s">
        <v>1433</v>
      </c>
      <c r="E29" t="s">
        <v>1372</v>
      </c>
    </row>
    <row r="30" spans="1:14">
      <c r="A30" t="s">
        <v>1391</v>
      </c>
      <c r="B30" t="s">
        <v>78</v>
      </c>
      <c r="C30" s="19" t="s">
        <v>1360</v>
      </c>
      <c r="D30" t="s">
        <v>1369</v>
      </c>
      <c r="E30" s="19" t="s">
        <v>1434</v>
      </c>
    </row>
    <row r="31" spans="1:14">
      <c r="A31" t="s">
        <v>1392</v>
      </c>
      <c r="B31" t="s">
        <v>78</v>
      </c>
      <c r="C31" s="19" t="s">
        <v>1361</v>
      </c>
      <c r="D31" t="s">
        <v>1369</v>
      </c>
      <c r="E31" t="s">
        <v>1372</v>
      </c>
    </row>
    <row r="32" spans="1:14">
      <c r="A32" t="s">
        <v>1393</v>
      </c>
      <c r="B32" t="s">
        <v>78</v>
      </c>
      <c r="C32" s="19" t="s">
        <v>1362</v>
      </c>
      <c r="D32" t="s">
        <v>1369</v>
      </c>
      <c r="E32" t="s">
        <v>1372</v>
      </c>
    </row>
    <row r="33" spans="1:14">
      <c r="A33" t="s">
        <v>1394</v>
      </c>
      <c r="B33" t="s">
        <v>78</v>
      </c>
      <c r="C33" s="19" t="s">
        <v>1363</v>
      </c>
      <c r="D33" t="s">
        <v>1370</v>
      </c>
      <c r="E33" t="s">
        <v>1372</v>
      </c>
    </row>
    <row r="34" spans="1:14">
      <c r="A34" t="s">
        <v>1395</v>
      </c>
      <c r="B34" t="s">
        <v>78</v>
      </c>
      <c r="C34" s="19" t="s">
        <v>1364</v>
      </c>
      <c r="D34" t="s">
        <v>1370</v>
      </c>
      <c r="E34" t="s">
        <v>1372</v>
      </c>
    </row>
    <row r="35" spans="1:14">
      <c r="A35" t="s">
        <v>1396</v>
      </c>
      <c r="B35" t="s">
        <v>78</v>
      </c>
      <c r="C35" s="19" t="s">
        <v>1365</v>
      </c>
      <c r="D35" t="s">
        <v>1370</v>
      </c>
      <c r="E35" t="s">
        <v>1372</v>
      </c>
    </row>
    <row r="36" spans="1:14">
      <c r="A36" t="s">
        <v>1397</v>
      </c>
      <c r="B36" t="s">
        <v>78</v>
      </c>
      <c r="C36" s="19" t="s">
        <v>1366</v>
      </c>
      <c r="D36" t="s">
        <v>1371</v>
      </c>
      <c r="E36" t="s">
        <v>1372</v>
      </c>
    </row>
    <row r="37" spans="1:14">
      <c r="A37" t="s">
        <v>1398</v>
      </c>
      <c r="B37" t="s">
        <v>78</v>
      </c>
      <c r="C37" s="19" t="s">
        <v>1367</v>
      </c>
      <c r="D37" t="s">
        <v>1371</v>
      </c>
      <c r="E37" t="s">
        <v>1372</v>
      </c>
    </row>
    <row r="38" spans="1:14">
      <c r="A38" t="s">
        <v>1399</v>
      </c>
      <c r="B38" t="s">
        <v>78</v>
      </c>
      <c r="C38" s="19" t="s">
        <v>1479</v>
      </c>
      <c r="D38" t="s">
        <v>1371</v>
      </c>
      <c r="E38" t="s">
        <v>1372</v>
      </c>
    </row>
    <row r="39" spans="1:14">
      <c r="A39" t="s">
        <v>1400</v>
      </c>
      <c r="B39" t="s">
        <v>78</v>
      </c>
      <c r="C39" s="19" t="s">
        <v>1368</v>
      </c>
      <c r="D39" t="s">
        <v>1371</v>
      </c>
      <c r="E39" t="s">
        <v>1372</v>
      </c>
    </row>
    <row r="40" spans="1:14">
      <c r="A40" t="s">
        <v>1401</v>
      </c>
      <c r="B40" t="s">
        <v>78</v>
      </c>
      <c r="C40" s="19" t="s">
        <v>1476</v>
      </c>
      <c r="D40" s="19" t="s">
        <v>1477</v>
      </c>
      <c r="E40" s="19" t="s">
        <v>1478</v>
      </c>
    </row>
    <row r="41" spans="1:14">
      <c r="A41" t="s">
        <v>1402</v>
      </c>
      <c r="B41" t="s">
        <v>78</v>
      </c>
      <c r="C41" s="19" t="s">
        <v>1437</v>
      </c>
      <c r="E41" s="18" t="s">
        <v>1436</v>
      </c>
    </row>
    <row r="42" spans="1:14">
      <c r="A42" t="s">
        <v>1403</v>
      </c>
      <c r="B42" t="s">
        <v>78</v>
      </c>
      <c r="C42" s="19" t="s">
        <v>1438</v>
      </c>
      <c r="E42" s="18" t="s">
        <v>1436</v>
      </c>
    </row>
    <row r="43" spans="1:14">
      <c r="A43" t="s">
        <v>1404</v>
      </c>
      <c r="B43" t="s">
        <v>78</v>
      </c>
      <c r="C43" s="19" t="s">
        <v>1439</v>
      </c>
      <c r="E43" s="18" t="s">
        <v>1436</v>
      </c>
    </row>
    <row r="44" spans="1:14">
      <c r="A44" t="s">
        <v>1405</v>
      </c>
      <c r="B44" t="s">
        <v>78</v>
      </c>
      <c r="C44" s="19" t="s">
        <v>1440</v>
      </c>
      <c r="E44" s="18" t="s">
        <v>1436</v>
      </c>
    </row>
    <row r="45" spans="1:14" ht="14" customHeight="1">
      <c r="A45" t="s">
        <v>1406</v>
      </c>
      <c r="B45" t="s">
        <v>78</v>
      </c>
      <c r="C45" s="19" t="s">
        <v>1463</v>
      </c>
      <c r="D45" t="s">
        <v>1103</v>
      </c>
      <c r="E45" t="s">
        <v>151</v>
      </c>
      <c r="F45" s="19" t="s">
        <v>1467</v>
      </c>
      <c r="G45" s="19" t="s">
        <v>1468</v>
      </c>
      <c r="H45" t="s">
        <v>85</v>
      </c>
      <c r="I45" s="12" t="s">
        <v>1106</v>
      </c>
      <c r="J45" t="s">
        <v>781</v>
      </c>
      <c r="L45" t="s">
        <v>1107</v>
      </c>
      <c r="N45" s="5" t="s">
        <v>1108</v>
      </c>
    </row>
    <row r="46" spans="1:14" ht="14" customHeight="1">
      <c r="A46" t="s">
        <v>1407</v>
      </c>
      <c r="B46" t="s">
        <v>78</v>
      </c>
      <c r="C46" s="19" t="s">
        <v>1464</v>
      </c>
      <c r="D46" t="s">
        <v>1103</v>
      </c>
      <c r="E46" t="s">
        <v>151</v>
      </c>
      <c r="F46" s="19" t="s">
        <v>1469</v>
      </c>
      <c r="G46" s="19" t="s">
        <v>1470</v>
      </c>
      <c r="H46" t="s">
        <v>85</v>
      </c>
      <c r="I46" s="12" t="s">
        <v>1106</v>
      </c>
      <c r="J46" t="s">
        <v>781</v>
      </c>
      <c r="L46" t="s">
        <v>1107</v>
      </c>
      <c r="N46" s="5" t="s">
        <v>1108</v>
      </c>
    </row>
    <row r="47" spans="1:14">
      <c r="A47" t="s">
        <v>1408</v>
      </c>
      <c r="B47" t="s">
        <v>78</v>
      </c>
      <c r="C47" s="19" t="s">
        <v>1465</v>
      </c>
      <c r="D47" t="s">
        <v>1103</v>
      </c>
      <c r="E47" t="s">
        <v>151</v>
      </c>
      <c r="F47" s="19" t="s">
        <v>1471</v>
      </c>
      <c r="G47" s="19" t="s">
        <v>1473</v>
      </c>
    </row>
    <row r="48" spans="1:14">
      <c r="A48" t="s">
        <v>1409</v>
      </c>
      <c r="B48" t="s">
        <v>78</v>
      </c>
      <c r="C48" s="19" t="s">
        <v>1466</v>
      </c>
      <c r="D48" t="s">
        <v>1103</v>
      </c>
      <c r="E48" t="s">
        <v>151</v>
      </c>
      <c r="F48" s="19" t="s">
        <v>1472</v>
      </c>
      <c r="G48" s="19" t="s">
        <v>1474</v>
      </c>
    </row>
    <row r="49" spans="1:7">
      <c r="A49" t="s">
        <v>1486</v>
      </c>
      <c r="B49" t="s">
        <v>78</v>
      </c>
      <c r="C49" s="19" t="s">
        <v>1480</v>
      </c>
      <c r="D49" s="19" t="s">
        <v>1475</v>
      </c>
      <c r="E49" t="s">
        <v>151</v>
      </c>
      <c r="F49" s="19" t="s">
        <v>1484</v>
      </c>
      <c r="G49" s="19" t="s">
        <v>1485</v>
      </c>
    </row>
    <row r="50" spans="1:7">
      <c r="A50" t="s">
        <v>1487</v>
      </c>
      <c r="B50" t="s">
        <v>78</v>
      </c>
      <c r="C50" s="19" t="s">
        <v>1481</v>
      </c>
      <c r="D50" s="19" t="s">
        <v>1475</v>
      </c>
      <c r="E50" t="s">
        <v>151</v>
      </c>
      <c r="F50" s="19" t="s">
        <v>1482</v>
      </c>
      <c r="G50" s="2" t="s">
        <v>1483</v>
      </c>
    </row>
    <row r="51" spans="1:7">
      <c r="A51" s="19" t="s">
        <v>1441</v>
      </c>
      <c r="B51" s="19" t="s">
        <v>1442</v>
      </c>
      <c r="C51" s="19" t="s">
        <v>1437</v>
      </c>
      <c r="E51" s="18" t="s">
        <v>1436</v>
      </c>
    </row>
    <row r="52" spans="1:7">
      <c r="A52" s="19" t="s">
        <v>1448</v>
      </c>
      <c r="B52" s="19" t="s">
        <v>1442</v>
      </c>
      <c r="C52" s="19" t="s">
        <v>1438</v>
      </c>
      <c r="E52" s="18" t="s">
        <v>1436</v>
      </c>
    </row>
    <row r="53" spans="1:7">
      <c r="A53" s="19" t="s">
        <v>1449</v>
      </c>
      <c r="B53" s="19" t="s">
        <v>1442</v>
      </c>
      <c r="C53" s="19" t="s">
        <v>1439</v>
      </c>
      <c r="E53" s="18" t="s">
        <v>1436</v>
      </c>
    </row>
    <row r="54" spans="1:7">
      <c r="A54" s="19" t="s">
        <v>1450</v>
      </c>
      <c r="B54" s="19" t="s">
        <v>1442</v>
      </c>
      <c r="C54" s="19" t="s">
        <v>1440</v>
      </c>
      <c r="E54" s="18" t="s">
        <v>1436</v>
      </c>
    </row>
    <row r="55" spans="1:7">
      <c r="A55" s="19" t="s">
        <v>1451</v>
      </c>
      <c r="B55" s="19" t="s">
        <v>1442</v>
      </c>
      <c r="C55" s="19" t="s">
        <v>1443</v>
      </c>
      <c r="D55" s="18" t="s">
        <v>1444</v>
      </c>
      <c r="E55" s="18" t="s">
        <v>1436</v>
      </c>
    </row>
    <row r="56" spans="1:7">
      <c r="A56" s="19" t="s">
        <v>1452</v>
      </c>
      <c r="B56" s="19" t="s">
        <v>1442</v>
      </c>
      <c r="C56" s="19" t="s">
        <v>1445</v>
      </c>
      <c r="D56" s="18" t="s">
        <v>1444</v>
      </c>
      <c r="E56" s="18" t="s">
        <v>1436</v>
      </c>
    </row>
    <row r="57" spans="1:7">
      <c r="A57" s="19" t="s">
        <v>1453</v>
      </c>
      <c r="B57" s="19" t="s">
        <v>1442</v>
      </c>
      <c r="C57" s="19" t="s">
        <v>1446</v>
      </c>
      <c r="D57" s="18" t="s">
        <v>1444</v>
      </c>
      <c r="E57" s="18" t="s">
        <v>1436</v>
      </c>
    </row>
    <row r="58" spans="1:7">
      <c r="A58" s="19" t="s">
        <v>1454</v>
      </c>
      <c r="B58" s="19" t="s">
        <v>1442</v>
      </c>
      <c r="C58" s="19" t="s">
        <v>1447</v>
      </c>
      <c r="D58" s="18" t="s">
        <v>1444</v>
      </c>
      <c r="E58" s="18" t="s">
        <v>1436</v>
      </c>
    </row>
    <row r="59" spans="1:7">
      <c r="A59" s="19" t="s">
        <v>1455</v>
      </c>
      <c r="B59" s="19" t="s">
        <v>1456</v>
      </c>
      <c r="C59" s="19" t="s">
        <v>1457</v>
      </c>
      <c r="E59" s="19" t="s">
        <v>1462</v>
      </c>
    </row>
    <row r="60" spans="1:7">
      <c r="A60" s="19" t="s">
        <v>1460</v>
      </c>
      <c r="B60" s="19" t="s">
        <v>1456</v>
      </c>
      <c r="C60" s="19" t="s">
        <v>1458</v>
      </c>
      <c r="E60" s="19" t="s">
        <v>1462</v>
      </c>
    </row>
    <row r="61" spans="1:7">
      <c r="A61" s="19" t="s">
        <v>1461</v>
      </c>
      <c r="B61" s="19" t="s">
        <v>1456</v>
      </c>
      <c r="C61" s="19" t="s">
        <v>1459</v>
      </c>
      <c r="E61" s="19" t="s">
        <v>1462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A4AD-B16C-40BC-B6F2-7AD5BDD14864}">
  <dimension ref="A1:J30"/>
  <sheetViews>
    <sheetView workbookViewId="0">
      <selection activeCell="B14" sqref="B14"/>
    </sheetView>
  </sheetViews>
  <sheetFormatPr defaultRowHeight="14"/>
  <cols>
    <col min="1" max="1" width="51.6640625" bestFit="1" customWidth="1"/>
    <col min="2" max="3" width="16.25" bestFit="1" customWidth="1"/>
    <col min="7" max="7" width="8.5" bestFit="1" customWidth="1"/>
    <col min="8" max="9" width="12.33203125" bestFit="1" customWidth="1"/>
  </cols>
  <sheetData>
    <row r="1" spans="1:10">
      <c r="A1" s="19" t="s">
        <v>1295</v>
      </c>
    </row>
    <row r="3" spans="1:10">
      <c r="A3" s="7" t="s">
        <v>1293</v>
      </c>
    </row>
    <row r="4" spans="1:10">
      <c r="A4" s="7" t="s">
        <v>1294</v>
      </c>
    </row>
    <row r="5" spans="1:10">
      <c r="A5" s="19" t="s">
        <v>1290</v>
      </c>
    </row>
    <row r="6" spans="1:10">
      <c r="A6" s="19" t="s">
        <v>1283</v>
      </c>
      <c r="B6" s="21">
        <v>46234</v>
      </c>
      <c r="C6" s="21">
        <v>46265</v>
      </c>
      <c r="E6" s="19" t="s">
        <v>1286</v>
      </c>
      <c r="G6" s="19" t="s">
        <v>1287</v>
      </c>
      <c r="H6" s="19" t="s">
        <v>1288</v>
      </c>
      <c r="I6" s="19" t="s">
        <v>1281</v>
      </c>
      <c r="J6" s="19"/>
    </row>
    <row r="7" spans="1:10">
      <c r="A7" s="19" t="s">
        <v>1289</v>
      </c>
      <c r="B7" s="19" t="s">
        <v>1284</v>
      </c>
      <c r="C7" s="19" t="s">
        <v>1285</v>
      </c>
    </row>
    <row r="8" spans="1:10">
      <c r="B8">
        <v>80</v>
      </c>
      <c r="C8">
        <v>70</v>
      </c>
      <c r="E8">
        <v>50</v>
      </c>
      <c r="G8">
        <v>60</v>
      </c>
      <c r="H8">
        <f>G8/((B8+C8)/2)</f>
        <v>0.8</v>
      </c>
      <c r="I8">
        <f>30/H8</f>
        <v>37.5</v>
      </c>
    </row>
    <row r="10" spans="1:10">
      <c r="A10" s="19" t="s">
        <v>1291</v>
      </c>
    </row>
    <row r="11" spans="1:10">
      <c r="A11" s="19" t="s">
        <v>1283</v>
      </c>
      <c r="B11" s="21">
        <v>46172</v>
      </c>
      <c r="C11" s="21">
        <v>46265</v>
      </c>
      <c r="E11" s="19" t="s">
        <v>1286</v>
      </c>
      <c r="G11" s="19" t="s">
        <v>1287</v>
      </c>
      <c r="H11" s="19" t="s">
        <v>1288</v>
      </c>
      <c r="I11" s="19" t="s">
        <v>1281</v>
      </c>
    </row>
    <row r="12" spans="1:10">
      <c r="A12" s="19" t="s">
        <v>1289</v>
      </c>
      <c r="B12" s="19" t="s">
        <v>1284</v>
      </c>
      <c r="C12" s="19" t="s">
        <v>1285</v>
      </c>
    </row>
    <row r="13" spans="1:10">
      <c r="B13">
        <v>80</v>
      </c>
      <c r="C13">
        <v>70</v>
      </c>
      <c r="E13">
        <v>50</v>
      </c>
      <c r="G13">
        <v>60</v>
      </c>
      <c r="H13">
        <f>G13/((B13+C13)/2)</f>
        <v>0.8</v>
      </c>
      <c r="I13">
        <f>90/H13</f>
        <v>112.5</v>
      </c>
    </row>
    <row r="16" spans="1:10">
      <c r="A16" s="19" t="s">
        <v>1292</v>
      </c>
    </row>
    <row r="17" spans="1:9">
      <c r="A17" s="19" t="s">
        <v>1283</v>
      </c>
      <c r="B17" s="21">
        <v>46023</v>
      </c>
      <c r="C17" s="21">
        <v>46387</v>
      </c>
      <c r="E17" s="19" t="s">
        <v>1286</v>
      </c>
      <c r="G17" s="19" t="s">
        <v>1287</v>
      </c>
      <c r="H17" s="19" t="s">
        <v>1288</v>
      </c>
      <c r="I17" s="19" t="s">
        <v>1281</v>
      </c>
    </row>
    <row r="18" spans="1:9">
      <c r="A18" s="19" t="s">
        <v>1289</v>
      </c>
      <c r="B18" s="19" t="s">
        <v>1284</v>
      </c>
      <c r="C18" s="19" t="s">
        <v>1285</v>
      </c>
    </row>
    <row r="19" spans="1:9">
      <c r="B19">
        <v>80</v>
      </c>
      <c r="C19">
        <v>70</v>
      </c>
      <c r="E19">
        <v>50</v>
      </c>
      <c r="G19">
        <v>60</v>
      </c>
      <c r="H19">
        <f>G19/((B19+C19)/2)</f>
        <v>0.8</v>
      </c>
      <c r="I19">
        <f>360/H19</f>
        <v>450</v>
      </c>
    </row>
    <row r="21" spans="1:9">
      <c r="A21" s="19" t="s">
        <v>1296</v>
      </c>
    </row>
    <row r="22" spans="1:9">
      <c r="B22" s="19" t="s">
        <v>1298</v>
      </c>
    </row>
    <row r="23" spans="1:9">
      <c r="A23" s="19" t="s">
        <v>1314</v>
      </c>
      <c r="B23" s="19" t="s">
        <v>1297</v>
      </c>
    </row>
    <row r="25" spans="1:9">
      <c r="A25" s="19" t="s">
        <v>1315</v>
      </c>
      <c r="B25" s="19" t="s">
        <v>1299</v>
      </c>
    </row>
    <row r="28" spans="1:9">
      <c r="A28" s="19" t="s">
        <v>1301</v>
      </c>
    </row>
    <row r="30" spans="1:9">
      <c r="A30" s="19" t="s">
        <v>1302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8"/>
  <sheetViews>
    <sheetView topLeftCell="A82" workbookViewId="0">
      <pane xSplit="3" topLeftCell="H1" activePane="topRight" state="frozen"/>
      <selection pane="topRight" activeCell="I43" sqref="I43"/>
    </sheetView>
  </sheetViews>
  <sheetFormatPr defaultColWidth="9" defaultRowHeight="14"/>
  <cols>
    <col min="1" max="1" width="9.5" style="2" customWidth="1"/>
    <col min="2" max="2" width="18.25" style="2" customWidth="1"/>
    <col min="3" max="3" width="30.08203125" style="2" customWidth="1"/>
    <col min="4" max="4" width="42.5" style="2" customWidth="1"/>
    <col min="5" max="5" width="20.25" style="2" customWidth="1"/>
    <col min="6" max="6" width="124.58203125" style="2" customWidth="1"/>
    <col min="7" max="7" width="67.08203125" style="2" customWidth="1"/>
    <col min="8" max="8" width="10.4140625" style="2" customWidth="1"/>
    <col min="9" max="9" width="109.9140625" style="2" bestFit="1" customWidth="1"/>
    <col min="10" max="10" width="32" style="2" customWidth="1"/>
    <col min="11" max="11" width="24.4140625" style="2" customWidth="1"/>
    <col min="12" max="12" width="20.25" style="2" customWidth="1"/>
    <col min="13" max="13" width="84.83203125" style="2" customWidth="1"/>
    <col min="14" max="14" width="73.33203125" style="2" customWidth="1"/>
  </cols>
  <sheetData>
    <row r="1" spans="1:14">
      <c r="A1" s="3" t="s">
        <v>52</v>
      </c>
      <c r="B1" s="3" t="s">
        <v>53</v>
      </c>
      <c r="C1" s="3" t="s">
        <v>54</v>
      </c>
      <c r="D1" s="3" t="s">
        <v>1125</v>
      </c>
      <c r="E1" s="3" t="s">
        <v>55</v>
      </c>
      <c r="F1" s="3" t="s">
        <v>57</v>
      </c>
      <c r="G1" s="3" t="s">
        <v>58</v>
      </c>
      <c r="H1" s="3" t="s">
        <v>60</v>
      </c>
      <c r="I1" s="3" t="s">
        <v>61</v>
      </c>
      <c r="J1" s="3" t="s">
        <v>1126</v>
      </c>
      <c r="K1" s="3" t="s">
        <v>76</v>
      </c>
      <c r="L1" s="3" t="s">
        <v>1127</v>
      </c>
      <c r="M1" s="3" t="s">
        <v>1128</v>
      </c>
      <c r="N1" s="3" t="s">
        <v>1128</v>
      </c>
    </row>
    <row r="2" spans="1:14" ht="14" customHeight="1">
      <c r="A2" t="s">
        <v>77</v>
      </c>
      <c r="B2" s="4" t="s">
        <v>78</v>
      </c>
      <c r="C2" t="s">
        <v>79</v>
      </c>
      <c r="D2" t="s">
        <v>1129</v>
      </c>
      <c r="E2" t="s">
        <v>80</v>
      </c>
      <c r="F2" t="s">
        <v>82</v>
      </c>
      <c r="G2" t="s">
        <v>1130</v>
      </c>
      <c r="H2" t="s">
        <v>85</v>
      </c>
      <c r="I2" t="s">
        <v>1131</v>
      </c>
      <c r="J2" t="s">
        <v>781</v>
      </c>
      <c r="K2"/>
      <c r="L2" t="s">
        <v>1132</v>
      </c>
      <c r="M2" t="s">
        <v>1133</v>
      </c>
      <c r="N2" s="5" t="s">
        <v>1134</v>
      </c>
    </row>
    <row r="3" spans="1:14" ht="14" customHeight="1">
      <c r="A3" s="19" t="s">
        <v>1325</v>
      </c>
      <c r="B3" s="4" t="s">
        <v>78</v>
      </c>
      <c r="C3" t="s">
        <v>103</v>
      </c>
      <c r="D3" t="s">
        <v>1129</v>
      </c>
      <c r="E3" t="s">
        <v>80</v>
      </c>
      <c r="F3" t="s">
        <v>104</v>
      </c>
      <c r="G3" t="s">
        <v>1135</v>
      </c>
      <c r="H3" t="s">
        <v>85</v>
      </c>
      <c r="I3" t="s">
        <v>1136</v>
      </c>
      <c r="J3" t="s">
        <v>781</v>
      </c>
      <c r="K3"/>
      <c r="L3" t="s">
        <v>1132</v>
      </c>
      <c r="M3"/>
      <c r="N3" s="5" t="s">
        <v>1134</v>
      </c>
    </row>
    <row r="4" spans="1:14" ht="14" customHeight="1">
      <c r="A4" t="s">
        <v>115</v>
      </c>
      <c r="B4" s="4" t="s">
        <v>78</v>
      </c>
      <c r="C4" t="s">
        <v>116</v>
      </c>
      <c r="D4" t="s">
        <v>1137</v>
      </c>
      <c r="E4" t="s">
        <v>80</v>
      </c>
      <c r="F4" t="s">
        <v>117</v>
      </c>
      <c r="G4" t="s">
        <v>1138</v>
      </c>
      <c r="H4" t="s">
        <v>85</v>
      </c>
      <c r="I4" t="s">
        <v>789</v>
      </c>
      <c r="J4" t="s">
        <v>781</v>
      </c>
      <c r="K4"/>
      <c r="L4" t="s">
        <v>1132</v>
      </c>
      <c r="M4"/>
      <c r="N4" s="5" t="s">
        <v>1139</v>
      </c>
    </row>
    <row r="5" spans="1:14" ht="14" customHeight="1">
      <c r="A5" t="s">
        <v>128</v>
      </c>
      <c r="B5" s="4" t="s">
        <v>1332</v>
      </c>
      <c r="C5" t="s">
        <v>129</v>
      </c>
      <c r="D5" t="s">
        <v>1140</v>
      </c>
      <c r="E5" t="s">
        <v>80</v>
      </c>
      <c r="F5" t="s">
        <v>130</v>
      </c>
      <c r="G5" t="s">
        <v>1141</v>
      </c>
      <c r="H5" t="s">
        <v>85</v>
      </c>
      <c r="I5" t="s">
        <v>795</v>
      </c>
      <c r="J5" t="s">
        <v>794</v>
      </c>
      <c r="K5"/>
      <c r="L5" t="s">
        <v>1132</v>
      </c>
      <c r="M5"/>
      <c r="N5" s="5" t="s">
        <v>1142</v>
      </c>
    </row>
    <row r="6" spans="1:14" ht="14" customHeight="1">
      <c r="A6" t="s">
        <v>143</v>
      </c>
      <c r="B6" s="4" t="s">
        <v>78</v>
      </c>
      <c r="C6" t="s">
        <v>144</v>
      </c>
      <c r="D6" t="s">
        <v>1143</v>
      </c>
      <c r="E6" t="s">
        <v>80</v>
      </c>
      <c r="F6" t="s">
        <v>145</v>
      </c>
      <c r="G6" t="s">
        <v>1144</v>
      </c>
      <c r="H6" t="s">
        <v>85</v>
      </c>
      <c r="I6" t="s">
        <v>795</v>
      </c>
      <c r="J6" t="s">
        <v>794</v>
      </c>
      <c r="K6"/>
      <c r="L6" t="s">
        <v>1145</v>
      </c>
      <c r="M6"/>
      <c r="N6" s="5" t="s">
        <v>1146</v>
      </c>
    </row>
    <row r="7" spans="1:14" ht="14" customHeight="1">
      <c r="A7" t="s">
        <v>149</v>
      </c>
      <c r="B7" s="4" t="s">
        <v>78</v>
      </c>
      <c r="C7" t="s">
        <v>150</v>
      </c>
      <c r="D7" t="s">
        <v>1147</v>
      </c>
      <c r="E7" t="s">
        <v>151</v>
      </c>
      <c r="F7" t="s">
        <v>152</v>
      </c>
      <c r="G7" t="s">
        <v>1148</v>
      </c>
      <c r="H7" t="s">
        <v>154</v>
      </c>
      <c r="I7" t="s">
        <v>799</v>
      </c>
      <c r="J7" t="s">
        <v>781</v>
      </c>
      <c r="K7"/>
      <c r="L7" t="s">
        <v>1149</v>
      </c>
      <c r="M7"/>
      <c r="N7" s="5" t="s">
        <v>1150</v>
      </c>
    </row>
    <row r="8" spans="1:14" ht="14" customHeight="1">
      <c r="A8" t="s">
        <v>162</v>
      </c>
      <c r="B8" s="4" t="s">
        <v>78</v>
      </c>
      <c r="C8" t="s">
        <v>163</v>
      </c>
      <c r="D8" t="s">
        <v>1147</v>
      </c>
      <c r="E8" t="s">
        <v>151</v>
      </c>
      <c r="F8" t="s">
        <v>164</v>
      </c>
      <c r="G8" t="s">
        <v>165</v>
      </c>
      <c r="H8" t="s">
        <v>85</v>
      </c>
      <c r="I8" t="s">
        <v>803</v>
      </c>
      <c r="J8" t="s">
        <v>781</v>
      </c>
      <c r="K8"/>
      <c r="L8" t="s">
        <v>1149</v>
      </c>
      <c r="M8"/>
      <c r="N8" s="5" t="s">
        <v>1102</v>
      </c>
    </row>
    <row r="9" spans="1:14" ht="14" customHeight="1">
      <c r="A9" t="s">
        <v>170</v>
      </c>
      <c r="B9" s="4" t="s">
        <v>78</v>
      </c>
      <c r="C9" t="s">
        <v>171</v>
      </c>
      <c r="D9" s="19" t="s">
        <v>1321</v>
      </c>
      <c r="E9" t="s">
        <v>151</v>
      </c>
      <c r="F9" t="s">
        <v>172</v>
      </c>
      <c r="G9" t="s">
        <v>1151</v>
      </c>
      <c r="H9" t="s">
        <v>85</v>
      </c>
      <c r="I9" t="s">
        <v>1152</v>
      </c>
      <c r="J9" t="s">
        <v>781</v>
      </c>
      <c r="K9"/>
      <c r="L9" t="s">
        <v>1121</v>
      </c>
      <c r="M9"/>
      <c r="N9" s="5" t="s">
        <v>1153</v>
      </c>
    </row>
    <row r="10" spans="1:14" ht="14" customHeight="1">
      <c r="A10" t="s">
        <v>185</v>
      </c>
      <c r="B10" s="4" t="s">
        <v>78</v>
      </c>
      <c r="C10" t="s">
        <v>186</v>
      </c>
      <c r="D10" t="s">
        <v>1103</v>
      </c>
      <c r="E10" t="s">
        <v>151</v>
      </c>
      <c r="F10" t="s">
        <v>1154</v>
      </c>
      <c r="G10" t="s">
        <v>1155</v>
      </c>
      <c r="H10" t="s">
        <v>1156</v>
      </c>
      <c r="I10" t="s">
        <v>1106</v>
      </c>
      <c r="J10" t="s">
        <v>781</v>
      </c>
      <c r="K10"/>
      <c r="L10" t="s">
        <v>1107</v>
      </c>
      <c r="M10"/>
      <c r="N10" s="5" t="s">
        <v>1108</v>
      </c>
    </row>
    <row r="11" spans="1:14" ht="14" customHeight="1">
      <c r="A11" t="s">
        <v>197</v>
      </c>
      <c r="B11" s="6" t="s">
        <v>78</v>
      </c>
      <c r="C11" t="s">
        <v>1157</v>
      </c>
      <c r="D11" t="s">
        <v>1158</v>
      </c>
      <c r="E11" t="s">
        <v>199</v>
      </c>
      <c r="F11" t="s">
        <v>200</v>
      </c>
      <c r="G11" t="s">
        <v>201</v>
      </c>
      <c r="H11" t="s">
        <v>16</v>
      </c>
      <c r="I11" t="s">
        <v>202</v>
      </c>
      <c r="J11" t="s">
        <v>781</v>
      </c>
      <c r="K11"/>
      <c r="L11" t="s">
        <v>1159</v>
      </c>
      <c r="M11"/>
      <c r="N11" s="5" t="s">
        <v>1100</v>
      </c>
    </row>
    <row r="12" spans="1:14" ht="14" customHeight="1">
      <c r="A12" t="s">
        <v>210</v>
      </c>
      <c r="B12" s="7" t="s">
        <v>78</v>
      </c>
      <c r="C12" t="s">
        <v>211</v>
      </c>
      <c r="D12" t="s">
        <v>1160</v>
      </c>
      <c r="E12" t="s">
        <v>199</v>
      </c>
      <c r="F12" t="s">
        <v>212</v>
      </c>
      <c r="G12" t="s">
        <v>213</v>
      </c>
      <c r="H12" t="s">
        <v>214</v>
      </c>
      <c r="I12" t="s">
        <v>821</v>
      </c>
      <c r="J12" t="s">
        <v>1161</v>
      </c>
      <c r="K12"/>
      <c r="L12" t="s">
        <v>1159</v>
      </c>
      <c r="M12"/>
      <c r="N12" s="5" t="s">
        <v>1162</v>
      </c>
    </row>
    <row r="13" spans="1:14" ht="14" customHeight="1">
      <c r="A13" t="s">
        <v>221</v>
      </c>
      <c r="B13" s="4" t="s">
        <v>78</v>
      </c>
      <c r="C13" t="s">
        <v>1163</v>
      </c>
      <c r="D13" t="s">
        <v>1160</v>
      </c>
      <c r="E13" t="s">
        <v>199</v>
      </c>
      <c r="F13" t="s">
        <v>824</v>
      </c>
      <c r="G13" t="s">
        <v>825</v>
      </c>
      <c r="H13" t="s">
        <v>226</v>
      </c>
      <c r="I13" t="s">
        <v>826</v>
      </c>
      <c r="J13" t="s">
        <v>781</v>
      </c>
      <c r="K13"/>
      <c r="L13" t="s">
        <v>1159</v>
      </c>
      <c r="M13"/>
      <c r="N13" s="5" t="s">
        <v>1146</v>
      </c>
    </row>
    <row r="14" spans="1:14" ht="14" customHeight="1">
      <c r="A14" t="s">
        <v>235</v>
      </c>
      <c r="B14" s="6" t="s">
        <v>78</v>
      </c>
      <c r="C14" t="s">
        <v>1164</v>
      </c>
      <c r="D14" t="s">
        <v>1158</v>
      </c>
      <c r="E14" t="s">
        <v>199</v>
      </c>
      <c r="F14" t="s">
        <v>237</v>
      </c>
      <c r="G14" t="s">
        <v>238</v>
      </c>
      <c r="H14" t="s">
        <v>16</v>
      </c>
      <c r="I14" t="s">
        <v>202</v>
      </c>
      <c r="J14" t="s">
        <v>781</v>
      </c>
      <c r="L14" t="s">
        <v>1159</v>
      </c>
      <c r="M14"/>
      <c r="N14" s="5" t="s">
        <v>1102</v>
      </c>
    </row>
    <row r="15" spans="1:14" ht="14" customHeight="1">
      <c r="A15" t="s">
        <v>248</v>
      </c>
      <c r="B15" s="4" t="s">
        <v>78</v>
      </c>
      <c r="C15" t="s">
        <v>249</v>
      </c>
      <c r="D15" t="s">
        <v>1165</v>
      </c>
      <c r="E15" t="s">
        <v>250</v>
      </c>
      <c r="F15" t="s">
        <v>251</v>
      </c>
      <c r="G15" t="s">
        <v>252</v>
      </c>
      <c r="H15" t="s">
        <v>85</v>
      </c>
      <c r="I15" t="s">
        <v>833</v>
      </c>
      <c r="J15" t="s">
        <v>781</v>
      </c>
      <c r="L15" t="s">
        <v>1166</v>
      </c>
      <c r="M15"/>
      <c r="N15" s="5" t="s">
        <v>1167</v>
      </c>
    </row>
    <row r="16" spans="1:14" ht="14" customHeight="1">
      <c r="A16" t="s">
        <v>263</v>
      </c>
      <c r="B16" s="4" t="s">
        <v>78</v>
      </c>
      <c r="C16" t="s">
        <v>264</v>
      </c>
      <c r="D16" s="19" t="s">
        <v>1322</v>
      </c>
      <c r="E16" t="s">
        <v>250</v>
      </c>
      <c r="F16" t="s">
        <v>837</v>
      </c>
      <c r="G16" t="s">
        <v>266</v>
      </c>
      <c r="H16" t="s">
        <v>85</v>
      </c>
      <c r="I16" t="s">
        <v>1168</v>
      </c>
      <c r="J16" t="s">
        <v>781</v>
      </c>
      <c r="L16" t="s">
        <v>1166</v>
      </c>
      <c r="M16" t="s">
        <v>1169</v>
      </c>
      <c r="N16" s="5" t="s">
        <v>1170</v>
      </c>
    </row>
    <row r="17" spans="1:14" ht="14" customHeight="1">
      <c r="A17" t="s">
        <v>270</v>
      </c>
      <c r="B17" s="4" t="s">
        <v>78</v>
      </c>
      <c r="C17" t="s">
        <v>271</v>
      </c>
      <c r="D17"/>
      <c r="E17" t="s">
        <v>250</v>
      </c>
      <c r="F17" t="s">
        <v>272</v>
      </c>
      <c r="G17" t="s">
        <v>273</v>
      </c>
      <c r="H17" t="s">
        <v>85</v>
      </c>
      <c r="I17" t="s">
        <v>1168</v>
      </c>
      <c r="J17" t="s">
        <v>781</v>
      </c>
      <c r="L17" t="s">
        <v>1166</v>
      </c>
      <c r="M17"/>
      <c r="N17" s="5" t="s">
        <v>1170</v>
      </c>
    </row>
    <row r="18" spans="1:14" ht="14" customHeight="1">
      <c r="A18" t="s">
        <v>841</v>
      </c>
      <c r="B18" s="4" t="s">
        <v>78</v>
      </c>
      <c r="C18" t="s">
        <v>498</v>
      </c>
      <c r="D18" t="s">
        <v>1103</v>
      </c>
      <c r="E18" t="s">
        <v>499</v>
      </c>
      <c r="F18" t="s">
        <v>104</v>
      </c>
      <c r="G18" t="s">
        <v>1135</v>
      </c>
      <c r="H18" t="s">
        <v>85</v>
      </c>
      <c r="I18" t="s">
        <v>1136</v>
      </c>
      <c r="J18" t="s">
        <v>781</v>
      </c>
      <c r="K18"/>
      <c r="L18" t="s">
        <v>1171</v>
      </c>
      <c r="M18"/>
      <c r="N18" s="5" t="s">
        <v>1172</v>
      </c>
    </row>
    <row r="19" spans="1:14" ht="14" customHeight="1">
      <c r="A19" s="19" t="s">
        <v>1331</v>
      </c>
      <c r="B19" s="4" t="s">
        <v>281</v>
      </c>
      <c r="C19" t="s">
        <v>79</v>
      </c>
      <c r="D19" t="s">
        <v>1129</v>
      </c>
      <c r="E19" t="s">
        <v>282</v>
      </c>
      <c r="F19" t="s">
        <v>283</v>
      </c>
      <c r="G19" t="s">
        <v>1130</v>
      </c>
      <c r="H19" t="s">
        <v>85</v>
      </c>
      <c r="I19" s="19" t="s">
        <v>1429</v>
      </c>
      <c r="J19" t="s">
        <v>781</v>
      </c>
      <c r="K19"/>
      <c r="L19" t="s">
        <v>1132</v>
      </c>
      <c r="M19" t="s">
        <v>1173</v>
      </c>
      <c r="N19" s="5" t="s">
        <v>1174</v>
      </c>
    </row>
    <row r="20" spans="1:14" ht="14" customHeight="1">
      <c r="A20" t="s">
        <v>287</v>
      </c>
      <c r="B20" s="4" t="s">
        <v>281</v>
      </c>
      <c r="C20" t="s">
        <v>103</v>
      </c>
      <c r="D20" t="s">
        <v>1129</v>
      </c>
      <c r="E20" t="s">
        <v>282</v>
      </c>
      <c r="F20" t="s">
        <v>104</v>
      </c>
      <c r="G20" t="s">
        <v>1135</v>
      </c>
      <c r="H20" t="s">
        <v>85</v>
      </c>
      <c r="I20" s="19" t="s">
        <v>1430</v>
      </c>
      <c r="J20" t="s">
        <v>781</v>
      </c>
      <c r="K20"/>
      <c r="L20" t="s">
        <v>1132</v>
      </c>
      <c r="M20" t="s">
        <v>1173</v>
      </c>
      <c r="N20" s="5" t="s">
        <v>1174</v>
      </c>
    </row>
    <row r="21" spans="1:14" ht="14" customHeight="1">
      <c r="A21" t="s">
        <v>289</v>
      </c>
      <c r="B21" s="4" t="s">
        <v>281</v>
      </c>
      <c r="C21" t="s">
        <v>123</v>
      </c>
      <c r="D21" t="s">
        <v>1137</v>
      </c>
      <c r="E21" t="s">
        <v>282</v>
      </c>
      <c r="F21" t="s">
        <v>290</v>
      </c>
      <c r="G21" t="s">
        <v>1138</v>
      </c>
      <c r="H21" t="s">
        <v>85</v>
      </c>
      <c r="I21" t="s">
        <v>789</v>
      </c>
      <c r="J21" t="s">
        <v>781</v>
      </c>
      <c r="K21"/>
      <c r="L21" t="s">
        <v>1121</v>
      </c>
      <c r="M21" t="s">
        <v>1173</v>
      </c>
      <c r="N21" s="5" t="s">
        <v>1175</v>
      </c>
    </row>
    <row r="22" spans="1:14" ht="14" customHeight="1">
      <c r="A22" t="s">
        <v>293</v>
      </c>
      <c r="B22" s="4" t="s">
        <v>281</v>
      </c>
      <c r="C22" t="s">
        <v>294</v>
      </c>
      <c r="D22" t="s">
        <v>1176</v>
      </c>
      <c r="E22" t="s">
        <v>282</v>
      </c>
      <c r="F22" t="s">
        <v>130</v>
      </c>
      <c r="G22" t="s">
        <v>1141</v>
      </c>
      <c r="H22" t="s">
        <v>85</v>
      </c>
      <c r="I22" t="s">
        <v>795</v>
      </c>
      <c r="J22" t="s">
        <v>794</v>
      </c>
      <c r="K22"/>
      <c r="L22" t="s">
        <v>1145</v>
      </c>
      <c r="M22" t="s">
        <v>1173</v>
      </c>
      <c r="N22" s="5" t="s">
        <v>1177</v>
      </c>
    </row>
    <row r="23" spans="1:14" ht="14" customHeight="1">
      <c r="A23" t="s">
        <v>297</v>
      </c>
      <c r="B23" s="4" t="s">
        <v>281</v>
      </c>
      <c r="C23" t="s">
        <v>144</v>
      </c>
      <c r="D23" t="s">
        <v>1143</v>
      </c>
      <c r="E23" t="s">
        <v>282</v>
      </c>
      <c r="F23" t="s">
        <v>145</v>
      </c>
      <c r="G23" t="s">
        <v>1144</v>
      </c>
      <c r="H23" t="s">
        <v>85</v>
      </c>
      <c r="I23" t="s">
        <v>795</v>
      </c>
      <c r="J23" t="s">
        <v>794</v>
      </c>
      <c r="K23"/>
      <c r="L23" t="s">
        <v>1145</v>
      </c>
      <c r="M23" t="s">
        <v>1173</v>
      </c>
      <c r="N23" s="5" t="s">
        <v>1177</v>
      </c>
    </row>
    <row r="24" spans="1:14" ht="14" customHeight="1">
      <c r="A24" t="s">
        <v>298</v>
      </c>
      <c r="B24" s="4" t="s">
        <v>281</v>
      </c>
      <c r="C24" t="s">
        <v>299</v>
      </c>
      <c r="D24" t="s">
        <v>439</v>
      </c>
      <c r="E24" t="s">
        <v>300</v>
      </c>
      <c r="F24" t="s">
        <v>301</v>
      </c>
      <c r="G24" t="s">
        <v>1178</v>
      </c>
      <c r="H24" t="s">
        <v>85</v>
      </c>
      <c r="I24" t="s">
        <v>1179</v>
      </c>
      <c r="J24" t="s">
        <v>1180</v>
      </c>
      <c r="K24" t="s">
        <v>1181</v>
      </c>
      <c r="L24" t="s">
        <v>1121</v>
      </c>
      <c r="M24" t="s">
        <v>1173</v>
      </c>
      <c r="N24" s="5" t="s">
        <v>1175</v>
      </c>
    </row>
    <row r="25" spans="1:14" ht="14" customHeight="1">
      <c r="A25" t="s">
        <v>313</v>
      </c>
      <c r="B25" s="4" t="s">
        <v>281</v>
      </c>
      <c r="C25" t="s">
        <v>314</v>
      </c>
      <c r="D25" t="s">
        <v>439</v>
      </c>
      <c r="E25" t="s">
        <v>300</v>
      </c>
      <c r="F25" t="s">
        <v>315</v>
      </c>
      <c r="G25" t="s">
        <v>1182</v>
      </c>
      <c r="H25" t="s">
        <v>85</v>
      </c>
      <c r="I25" t="s">
        <v>1179</v>
      </c>
      <c r="J25" t="s">
        <v>1180</v>
      </c>
      <c r="K25" t="s">
        <v>1181</v>
      </c>
      <c r="L25" t="s">
        <v>1121</v>
      </c>
      <c r="M25" t="s">
        <v>1173</v>
      </c>
      <c r="N25" s="5" t="s">
        <v>1175</v>
      </c>
    </row>
    <row r="26" spans="1:14" ht="14" customHeight="1">
      <c r="A26" t="s">
        <v>317</v>
      </c>
      <c r="B26" s="4" t="s">
        <v>281</v>
      </c>
      <c r="C26" t="s">
        <v>318</v>
      </c>
      <c r="D26" t="s">
        <v>439</v>
      </c>
      <c r="E26" t="s">
        <v>300</v>
      </c>
      <c r="F26" t="s">
        <v>319</v>
      </c>
      <c r="G26" t="s">
        <v>1183</v>
      </c>
      <c r="H26" t="s">
        <v>85</v>
      </c>
      <c r="I26" t="s">
        <v>1179</v>
      </c>
      <c r="J26" t="s">
        <v>1180</v>
      </c>
      <c r="K26" t="s">
        <v>1181</v>
      </c>
      <c r="L26" t="s">
        <v>1121</v>
      </c>
      <c r="M26" t="s">
        <v>1173</v>
      </c>
      <c r="N26" s="5" t="s">
        <v>1175</v>
      </c>
    </row>
    <row r="27" spans="1:14" ht="14" customHeight="1">
      <c r="A27" t="s">
        <v>321</v>
      </c>
      <c r="B27" s="4" t="s">
        <v>281</v>
      </c>
      <c r="C27" t="s">
        <v>322</v>
      </c>
      <c r="D27" t="s">
        <v>439</v>
      </c>
      <c r="E27" t="s">
        <v>300</v>
      </c>
      <c r="F27" t="s">
        <v>323</v>
      </c>
      <c r="G27" t="s">
        <v>1184</v>
      </c>
      <c r="H27" t="s">
        <v>85</v>
      </c>
      <c r="I27" t="s">
        <v>1179</v>
      </c>
      <c r="J27" t="s">
        <v>1180</v>
      </c>
      <c r="K27" t="s">
        <v>1181</v>
      </c>
      <c r="L27" t="s">
        <v>1121</v>
      </c>
      <c r="M27" t="s">
        <v>1173</v>
      </c>
      <c r="N27" s="5" t="s">
        <v>1174</v>
      </c>
    </row>
    <row r="28" spans="1:14" ht="14" customHeight="1">
      <c r="A28" t="s">
        <v>325</v>
      </c>
      <c r="B28" s="4" t="s">
        <v>281</v>
      </c>
      <c r="C28" t="s">
        <v>326</v>
      </c>
      <c r="D28" t="s">
        <v>439</v>
      </c>
      <c r="E28" t="s">
        <v>300</v>
      </c>
      <c r="F28" t="s">
        <v>327</v>
      </c>
      <c r="G28" t="s">
        <v>1185</v>
      </c>
      <c r="H28" t="s">
        <v>85</v>
      </c>
      <c r="I28" t="s">
        <v>1179</v>
      </c>
      <c r="J28" t="s">
        <v>1180</v>
      </c>
      <c r="K28" t="s">
        <v>1181</v>
      </c>
      <c r="L28" t="s">
        <v>1121</v>
      </c>
      <c r="M28" t="s">
        <v>1173</v>
      </c>
      <c r="N28" s="5" t="s">
        <v>1175</v>
      </c>
    </row>
    <row r="29" spans="1:14" ht="14" customHeight="1">
      <c r="A29" t="s">
        <v>329</v>
      </c>
      <c r="B29" s="4" t="s">
        <v>281</v>
      </c>
      <c r="C29" t="s">
        <v>330</v>
      </c>
      <c r="D29" t="s">
        <v>439</v>
      </c>
      <c r="E29" t="s">
        <v>300</v>
      </c>
      <c r="F29" t="s">
        <v>331</v>
      </c>
      <c r="G29" t="s">
        <v>1186</v>
      </c>
      <c r="H29" t="s">
        <v>85</v>
      </c>
      <c r="I29" t="s">
        <v>1179</v>
      </c>
      <c r="J29" t="s">
        <v>1180</v>
      </c>
      <c r="K29" t="s">
        <v>1181</v>
      </c>
      <c r="L29" t="s">
        <v>1121</v>
      </c>
      <c r="M29" t="s">
        <v>1173</v>
      </c>
      <c r="N29" s="5" t="s">
        <v>1174</v>
      </c>
    </row>
    <row r="30" spans="1:14" ht="14" customHeight="1">
      <c r="A30" t="s">
        <v>335</v>
      </c>
      <c r="B30" s="4" t="s">
        <v>281</v>
      </c>
      <c r="C30" t="s">
        <v>336</v>
      </c>
      <c r="D30" t="s">
        <v>439</v>
      </c>
      <c r="E30" t="s">
        <v>337</v>
      </c>
      <c r="F30" t="s">
        <v>338</v>
      </c>
      <c r="G30" t="s">
        <v>1187</v>
      </c>
      <c r="H30" t="s">
        <v>85</v>
      </c>
      <c r="I30" t="s">
        <v>1179</v>
      </c>
      <c r="J30" t="s">
        <v>1180</v>
      </c>
      <c r="K30" t="s">
        <v>1181</v>
      </c>
      <c r="L30" t="s">
        <v>1121</v>
      </c>
      <c r="M30" t="s">
        <v>1173</v>
      </c>
      <c r="N30" s="5" t="s">
        <v>1175</v>
      </c>
    </row>
    <row r="31" spans="1:14" ht="14" customHeight="1">
      <c r="A31" t="s">
        <v>342</v>
      </c>
      <c r="B31" s="4" t="s">
        <v>281</v>
      </c>
      <c r="C31" t="s">
        <v>343</v>
      </c>
      <c r="D31" t="s">
        <v>439</v>
      </c>
      <c r="E31" t="s">
        <v>337</v>
      </c>
      <c r="F31" t="s">
        <v>344</v>
      </c>
      <c r="G31" t="s">
        <v>1188</v>
      </c>
      <c r="H31" t="s">
        <v>85</v>
      </c>
      <c r="I31" t="s">
        <v>1179</v>
      </c>
      <c r="J31" t="s">
        <v>1180</v>
      </c>
      <c r="K31" t="s">
        <v>1181</v>
      </c>
      <c r="L31" t="s">
        <v>1121</v>
      </c>
      <c r="M31" t="s">
        <v>1173</v>
      </c>
      <c r="N31" s="5" t="s">
        <v>1174</v>
      </c>
    </row>
    <row r="32" spans="1:14" ht="14" customHeight="1">
      <c r="A32" t="s">
        <v>346</v>
      </c>
      <c r="B32" s="4" t="s">
        <v>281</v>
      </c>
      <c r="C32" t="s">
        <v>347</v>
      </c>
      <c r="D32" t="s">
        <v>439</v>
      </c>
      <c r="E32" t="s">
        <v>337</v>
      </c>
      <c r="F32" t="s">
        <v>331</v>
      </c>
      <c r="G32" t="s">
        <v>1186</v>
      </c>
      <c r="H32" t="s">
        <v>85</v>
      </c>
      <c r="I32" t="s">
        <v>1179</v>
      </c>
      <c r="J32" t="s">
        <v>1180</v>
      </c>
      <c r="K32" t="s">
        <v>1181</v>
      </c>
      <c r="L32" t="s">
        <v>1121</v>
      </c>
      <c r="M32" t="s">
        <v>1173</v>
      </c>
      <c r="N32" s="5" t="s">
        <v>1174</v>
      </c>
    </row>
    <row r="33" spans="1:14" ht="14" customHeight="1">
      <c r="A33" t="s">
        <v>348</v>
      </c>
      <c r="B33" s="4" t="s">
        <v>281</v>
      </c>
      <c r="C33" t="s">
        <v>349</v>
      </c>
      <c r="D33" t="s">
        <v>439</v>
      </c>
      <c r="E33" t="s">
        <v>337</v>
      </c>
      <c r="F33" t="s">
        <v>350</v>
      </c>
      <c r="G33" t="s">
        <v>1189</v>
      </c>
      <c r="H33" t="s">
        <v>85</v>
      </c>
      <c r="I33" t="s">
        <v>1179</v>
      </c>
      <c r="J33" t="s">
        <v>1180</v>
      </c>
      <c r="K33" t="s">
        <v>1181</v>
      </c>
      <c r="L33" t="s">
        <v>1121</v>
      </c>
      <c r="M33" t="s">
        <v>1173</v>
      </c>
      <c r="N33" s="5" t="s">
        <v>1175</v>
      </c>
    </row>
    <row r="34" spans="1:14" ht="14" customHeight="1">
      <c r="A34" t="s">
        <v>357</v>
      </c>
      <c r="B34" s="4" t="s">
        <v>358</v>
      </c>
      <c r="C34" t="s">
        <v>359</v>
      </c>
      <c r="D34" t="s">
        <v>1190</v>
      </c>
      <c r="E34" t="s">
        <v>360</v>
      </c>
      <c r="F34" t="s">
        <v>361</v>
      </c>
      <c r="G34" t="s">
        <v>1191</v>
      </c>
      <c r="H34" t="s">
        <v>85</v>
      </c>
      <c r="I34" t="s">
        <v>874</v>
      </c>
      <c r="J34" t="s">
        <v>781</v>
      </c>
      <c r="K34"/>
      <c r="L34" t="s">
        <v>1149</v>
      </c>
      <c r="M34" t="s">
        <v>1192</v>
      </c>
      <c r="N34" s="5" t="s">
        <v>1193</v>
      </c>
    </row>
    <row r="35" spans="1:14" ht="14" customHeight="1">
      <c r="A35" t="s">
        <v>370</v>
      </c>
      <c r="B35" s="4" t="s">
        <v>358</v>
      </c>
      <c r="C35" t="s">
        <v>371</v>
      </c>
      <c r="D35" t="s">
        <v>1190</v>
      </c>
      <c r="E35" t="s">
        <v>360</v>
      </c>
      <c r="F35" t="s">
        <v>372</v>
      </c>
      <c r="G35" t="s">
        <v>373</v>
      </c>
      <c r="H35" t="s">
        <v>85</v>
      </c>
      <c r="I35" t="s">
        <v>1194</v>
      </c>
      <c r="J35" t="s">
        <v>781</v>
      </c>
      <c r="K35"/>
      <c r="L35" t="s">
        <v>1149</v>
      </c>
      <c r="M35" t="s">
        <v>1192</v>
      </c>
      <c r="N35" s="5" t="s">
        <v>1195</v>
      </c>
    </row>
    <row r="36" spans="1:14" ht="14" customHeight="1">
      <c r="A36" t="s">
        <v>375</v>
      </c>
      <c r="B36" s="4" t="s">
        <v>358</v>
      </c>
      <c r="C36" t="s">
        <v>376</v>
      </c>
      <c r="D36" t="s">
        <v>1190</v>
      </c>
      <c r="E36" t="s">
        <v>360</v>
      </c>
      <c r="F36" t="s">
        <v>377</v>
      </c>
      <c r="G36" s="8" t="s">
        <v>378</v>
      </c>
      <c r="H36" t="s">
        <v>85</v>
      </c>
      <c r="I36" t="s">
        <v>1194</v>
      </c>
      <c r="J36" t="s">
        <v>781</v>
      </c>
      <c r="K36"/>
      <c r="L36" t="s">
        <v>1149</v>
      </c>
      <c r="M36" t="s">
        <v>1192</v>
      </c>
      <c r="N36" s="5" t="s">
        <v>1193</v>
      </c>
    </row>
    <row r="37" spans="1:14" ht="14" customHeight="1">
      <c r="A37" t="s">
        <v>380</v>
      </c>
      <c r="B37" s="4" t="s">
        <v>358</v>
      </c>
      <c r="C37" t="s">
        <v>381</v>
      </c>
      <c r="D37" t="s">
        <v>1190</v>
      </c>
      <c r="E37" t="s">
        <v>360</v>
      </c>
      <c r="F37" t="s">
        <v>382</v>
      </c>
      <c r="G37" t="s">
        <v>165</v>
      </c>
      <c r="H37" t="s">
        <v>85</v>
      </c>
      <c r="I37" t="s">
        <v>1194</v>
      </c>
      <c r="J37" t="s">
        <v>781</v>
      </c>
      <c r="K37"/>
      <c r="L37" t="s">
        <v>1149</v>
      </c>
      <c r="M37" t="s">
        <v>1192</v>
      </c>
      <c r="N37" s="5" t="s">
        <v>1193</v>
      </c>
    </row>
    <row r="38" spans="1:14" ht="14" customHeight="1">
      <c r="A38" t="s">
        <v>384</v>
      </c>
      <c r="B38" s="4" t="s">
        <v>358</v>
      </c>
      <c r="C38" t="s">
        <v>385</v>
      </c>
      <c r="D38"/>
      <c r="E38" t="s">
        <v>394</v>
      </c>
      <c r="F38" t="s">
        <v>387</v>
      </c>
      <c r="G38" s="8" t="s">
        <v>1196</v>
      </c>
      <c r="H38" t="s">
        <v>154</v>
      </c>
      <c r="I38" t="s">
        <v>887</v>
      </c>
      <c r="J38" t="s">
        <v>781</v>
      </c>
      <c r="K38"/>
      <c r="L38" t="s">
        <v>1121</v>
      </c>
      <c r="M38" t="s">
        <v>1122</v>
      </c>
      <c r="N38" s="5" t="s">
        <v>1123</v>
      </c>
    </row>
    <row r="39" spans="1:14" ht="14" customHeight="1">
      <c r="A39" t="s">
        <v>395</v>
      </c>
      <c r="B39" s="4" t="s">
        <v>358</v>
      </c>
      <c r="C39" t="s">
        <v>396</v>
      </c>
      <c r="D39"/>
      <c r="E39" t="s">
        <v>394</v>
      </c>
      <c r="F39" t="s">
        <v>397</v>
      </c>
      <c r="G39" t="s">
        <v>1197</v>
      </c>
      <c r="H39" t="s">
        <v>154</v>
      </c>
      <c r="I39" t="s">
        <v>887</v>
      </c>
      <c r="J39" t="s">
        <v>781</v>
      </c>
      <c r="K39"/>
      <c r="L39" t="s">
        <v>1121</v>
      </c>
      <c r="M39" t="s">
        <v>1122</v>
      </c>
      <c r="N39" s="5" t="s">
        <v>1198</v>
      </c>
    </row>
    <row r="40" spans="1:14" ht="14" customHeight="1">
      <c r="A40" t="s">
        <v>399</v>
      </c>
      <c r="B40" s="4" t="s">
        <v>358</v>
      </c>
      <c r="C40" s="19" t="s">
        <v>1281</v>
      </c>
      <c r="D40" s="19" t="s">
        <v>1321</v>
      </c>
      <c r="E40" t="s">
        <v>386</v>
      </c>
      <c r="F40" t="s">
        <v>401</v>
      </c>
      <c r="G40" s="19" t="s">
        <v>1282</v>
      </c>
      <c r="H40" t="s">
        <v>154</v>
      </c>
      <c r="I40" t="s">
        <v>1120</v>
      </c>
      <c r="J40" t="s">
        <v>781</v>
      </c>
      <c r="K40"/>
      <c r="L40" t="s">
        <v>1121</v>
      </c>
      <c r="M40" t="s">
        <v>1122</v>
      </c>
      <c r="N40" s="5" t="s">
        <v>1123</v>
      </c>
    </row>
    <row r="41" spans="1:14" ht="14" customHeight="1">
      <c r="A41" t="s">
        <v>404</v>
      </c>
      <c r="B41" s="4" t="s">
        <v>358</v>
      </c>
      <c r="C41" t="s">
        <v>1199</v>
      </c>
      <c r="D41"/>
      <c r="E41" t="s">
        <v>394</v>
      </c>
      <c r="F41" t="s">
        <v>406</v>
      </c>
      <c r="G41" t="s">
        <v>895</v>
      </c>
      <c r="H41" t="s">
        <v>154</v>
      </c>
      <c r="I41" s="9" t="s">
        <v>1200</v>
      </c>
      <c r="J41" t="s">
        <v>781</v>
      </c>
      <c r="K41"/>
      <c r="L41" t="s">
        <v>1121</v>
      </c>
      <c r="M41" t="s">
        <v>1201</v>
      </c>
      <c r="N41" s="5" t="s">
        <v>1123</v>
      </c>
    </row>
    <row r="42" spans="1:14" ht="14" customHeight="1">
      <c r="A42" t="s">
        <v>410</v>
      </c>
      <c r="B42" s="4" t="s">
        <v>358</v>
      </c>
      <c r="C42" t="s">
        <v>411</v>
      </c>
      <c r="D42"/>
      <c r="E42" t="s">
        <v>412</v>
      </c>
      <c r="F42" t="s">
        <v>413</v>
      </c>
      <c r="G42" t="s">
        <v>1202</v>
      </c>
      <c r="H42" t="s">
        <v>154</v>
      </c>
      <c r="I42" t="s">
        <v>899</v>
      </c>
      <c r="J42" t="s">
        <v>781</v>
      </c>
      <c r="K42"/>
      <c r="L42" t="s">
        <v>1203</v>
      </c>
      <c r="M42" t="s">
        <v>1122</v>
      </c>
      <c r="N42" s="5" t="s">
        <v>1198</v>
      </c>
    </row>
    <row r="43" spans="1:14">
      <c r="A43" t="s">
        <v>418</v>
      </c>
      <c r="B43" s="4" t="s">
        <v>358</v>
      </c>
      <c r="C43" t="s">
        <v>1204</v>
      </c>
      <c r="D43"/>
      <c r="E43" t="s">
        <v>412</v>
      </c>
      <c r="F43" t="s">
        <v>1205</v>
      </c>
      <c r="G43" t="s">
        <v>1206</v>
      </c>
      <c r="H43" t="s">
        <v>154</v>
      </c>
      <c r="I43" t="s">
        <v>903</v>
      </c>
      <c r="J43" t="s">
        <v>781</v>
      </c>
      <c r="K43"/>
      <c r="L43" t="s">
        <v>1203</v>
      </c>
      <c r="M43" t="s">
        <v>1207</v>
      </c>
      <c r="N43" s="5" t="s">
        <v>1198</v>
      </c>
    </row>
    <row r="44" spans="1:14" ht="14" customHeight="1">
      <c r="A44" t="s">
        <v>424</v>
      </c>
      <c r="B44" s="4" t="s">
        <v>358</v>
      </c>
      <c r="C44" t="s">
        <v>425</v>
      </c>
      <c r="D44" t="s">
        <v>1208</v>
      </c>
      <c r="E44" t="s">
        <v>412</v>
      </c>
      <c r="F44" t="s">
        <v>426</v>
      </c>
      <c r="G44" s="10" t="s">
        <v>427</v>
      </c>
      <c r="H44" t="s">
        <v>154</v>
      </c>
      <c r="I44" t="s">
        <v>906</v>
      </c>
      <c r="J44" t="s">
        <v>781</v>
      </c>
      <c r="K44"/>
      <c r="L44" t="s">
        <v>1203</v>
      </c>
      <c r="M44" t="s">
        <v>1122</v>
      </c>
      <c r="N44" s="5" t="s">
        <v>1198</v>
      </c>
    </row>
    <row r="45" spans="1:14" ht="14" customHeight="1">
      <c r="A45" t="s">
        <v>432</v>
      </c>
      <c r="B45" s="4" t="s">
        <v>358</v>
      </c>
      <c r="C45" t="s">
        <v>433</v>
      </c>
      <c r="D45"/>
      <c r="E45" t="s">
        <v>412</v>
      </c>
      <c r="F45" t="s">
        <v>434</v>
      </c>
      <c r="G45" t="s">
        <v>435</v>
      </c>
      <c r="H45" t="s">
        <v>154</v>
      </c>
      <c r="I45" t="s">
        <v>909</v>
      </c>
      <c r="J45" t="s">
        <v>781</v>
      </c>
      <c r="K45"/>
      <c r="L45" t="s">
        <v>1203</v>
      </c>
      <c r="M45" t="s">
        <v>1122</v>
      </c>
      <c r="N45" s="5" t="s">
        <v>1198</v>
      </c>
    </row>
    <row r="46" spans="1:14" ht="14" customHeight="1">
      <c r="A46" t="s">
        <v>441</v>
      </c>
      <c r="B46" s="4" t="s">
        <v>358</v>
      </c>
      <c r="C46" t="s">
        <v>442</v>
      </c>
      <c r="D46" t="s">
        <v>439</v>
      </c>
      <c r="E46" t="s">
        <v>443</v>
      </c>
      <c r="F46" t="s">
        <v>444</v>
      </c>
      <c r="G46" t="s">
        <v>1209</v>
      </c>
      <c r="H46" t="s">
        <v>154</v>
      </c>
      <c r="I46" t="s">
        <v>909</v>
      </c>
      <c r="J46" t="s">
        <v>781</v>
      </c>
      <c r="K46"/>
      <c r="L46" t="s">
        <v>1203</v>
      </c>
      <c r="M46" t="s">
        <v>1122</v>
      </c>
      <c r="N46" s="5" t="s">
        <v>1198</v>
      </c>
    </row>
    <row r="47" spans="1:14" ht="14" customHeight="1">
      <c r="A47" t="s">
        <v>449</v>
      </c>
      <c r="B47" s="4" t="s">
        <v>358</v>
      </c>
      <c r="C47" t="s">
        <v>450</v>
      </c>
      <c r="D47" t="s">
        <v>439</v>
      </c>
      <c r="E47" t="s">
        <v>443</v>
      </c>
      <c r="F47" t="s">
        <v>451</v>
      </c>
      <c r="G47" t="s">
        <v>452</v>
      </c>
      <c r="H47" t="s">
        <v>154</v>
      </c>
      <c r="I47" t="s">
        <v>909</v>
      </c>
      <c r="J47" t="s">
        <v>781</v>
      </c>
      <c r="K47"/>
      <c r="L47" t="s">
        <v>1203</v>
      </c>
      <c r="M47" t="s">
        <v>1122</v>
      </c>
      <c r="N47" s="5" t="s">
        <v>1198</v>
      </c>
    </row>
    <row r="48" spans="1:14" ht="14" customHeight="1">
      <c r="A48" t="s">
        <v>453</v>
      </c>
      <c r="B48" s="4" t="s">
        <v>358</v>
      </c>
      <c r="C48" t="s">
        <v>454</v>
      </c>
      <c r="D48" t="s">
        <v>439</v>
      </c>
      <c r="E48" t="s">
        <v>443</v>
      </c>
      <c r="F48" t="s">
        <v>455</v>
      </c>
      <c r="G48" t="s">
        <v>456</v>
      </c>
      <c r="H48" t="s">
        <v>154</v>
      </c>
      <c r="I48" t="s">
        <v>909</v>
      </c>
      <c r="J48" t="s">
        <v>781</v>
      </c>
      <c r="K48"/>
      <c r="L48" t="s">
        <v>1203</v>
      </c>
      <c r="M48" t="s">
        <v>1122</v>
      </c>
      <c r="N48" s="5" t="s">
        <v>1198</v>
      </c>
    </row>
    <row r="49" spans="1:14" ht="14" customHeight="1">
      <c r="A49" t="s">
        <v>457</v>
      </c>
      <c r="B49" s="4" t="s">
        <v>358</v>
      </c>
      <c r="C49" t="s">
        <v>458</v>
      </c>
      <c r="D49" t="s">
        <v>1210</v>
      </c>
      <c r="E49" t="s">
        <v>443</v>
      </c>
      <c r="F49" t="s">
        <v>459</v>
      </c>
      <c r="G49" t="s">
        <v>460</v>
      </c>
      <c r="H49" t="s">
        <v>154</v>
      </c>
      <c r="I49" t="s">
        <v>909</v>
      </c>
      <c r="J49" t="s">
        <v>781</v>
      </c>
      <c r="K49"/>
      <c r="L49" t="s">
        <v>1203</v>
      </c>
      <c r="M49" t="s">
        <v>1122</v>
      </c>
      <c r="N49" s="5" t="s">
        <v>1198</v>
      </c>
    </row>
    <row r="50" spans="1:14" ht="14" customHeight="1">
      <c r="A50" t="s">
        <v>462</v>
      </c>
      <c r="B50" s="4" t="s">
        <v>463</v>
      </c>
      <c r="C50" t="s">
        <v>464</v>
      </c>
      <c r="D50" t="s">
        <v>1160</v>
      </c>
      <c r="E50" t="s">
        <v>465</v>
      </c>
      <c r="F50" t="s">
        <v>466</v>
      </c>
      <c r="G50" t="s">
        <v>467</v>
      </c>
      <c r="H50" t="s">
        <v>154</v>
      </c>
      <c r="I50" t="s">
        <v>920</v>
      </c>
      <c r="J50" t="s">
        <v>781</v>
      </c>
      <c r="K50"/>
      <c r="L50" t="s">
        <v>1149</v>
      </c>
      <c r="M50" t="s">
        <v>1211</v>
      </c>
      <c r="N50" s="5" t="s">
        <v>1212</v>
      </c>
    </row>
    <row r="51" spans="1:14" ht="14" customHeight="1">
      <c r="A51" t="s">
        <v>473</v>
      </c>
      <c r="B51" s="4" t="s">
        <v>463</v>
      </c>
      <c r="C51" t="s">
        <v>474</v>
      </c>
      <c r="D51" t="s">
        <v>1160</v>
      </c>
      <c r="E51" t="s">
        <v>465</v>
      </c>
      <c r="F51" t="s">
        <v>475</v>
      </c>
      <c r="G51" t="s">
        <v>1213</v>
      </c>
      <c r="H51" t="s">
        <v>154</v>
      </c>
      <c r="I51" t="s">
        <v>920</v>
      </c>
      <c r="J51" t="s">
        <v>781</v>
      </c>
      <c r="K51"/>
      <c r="L51" t="s">
        <v>1149</v>
      </c>
      <c r="M51" t="s">
        <v>1211</v>
      </c>
      <c r="N51" s="5" t="s">
        <v>1214</v>
      </c>
    </row>
    <row r="52" spans="1:14" ht="14" customHeight="1">
      <c r="A52" t="s">
        <v>478</v>
      </c>
      <c r="B52" s="4" t="s">
        <v>463</v>
      </c>
      <c r="C52" t="s">
        <v>479</v>
      </c>
      <c r="D52" t="s">
        <v>1160</v>
      </c>
      <c r="E52" t="s">
        <v>465</v>
      </c>
      <c r="F52" t="s">
        <v>480</v>
      </c>
      <c r="G52" t="s">
        <v>1213</v>
      </c>
      <c r="H52" t="s">
        <v>154</v>
      </c>
      <c r="I52" t="s">
        <v>920</v>
      </c>
      <c r="J52" t="s">
        <v>781</v>
      </c>
      <c r="K52"/>
      <c r="L52" t="s">
        <v>1149</v>
      </c>
      <c r="M52" t="s">
        <v>1211</v>
      </c>
      <c r="N52" s="5" t="s">
        <v>1214</v>
      </c>
    </row>
    <row r="53" spans="1:14" ht="14" customHeight="1">
      <c r="A53" t="s">
        <v>482</v>
      </c>
      <c r="B53" s="4" t="s">
        <v>463</v>
      </c>
      <c r="C53" t="s">
        <v>483</v>
      </c>
      <c r="D53" t="s">
        <v>1160</v>
      </c>
      <c r="E53" t="s">
        <v>465</v>
      </c>
      <c r="F53" t="s">
        <v>928</v>
      </c>
      <c r="G53" t="s">
        <v>153</v>
      </c>
      <c r="H53" t="s">
        <v>154</v>
      </c>
      <c r="I53" t="s">
        <v>920</v>
      </c>
      <c r="J53" t="s">
        <v>781</v>
      </c>
      <c r="K53"/>
      <c r="L53" t="s">
        <v>1149</v>
      </c>
      <c r="M53" t="s">
        <v>1211</v>
      </c>
      <c r="N53" s="5" t="s">
        <v>1215</v>
      </c>
    </row>
    <row r="54" spans="1:14" ht="14" customHeight="1">
      <c r="A54" t="s">
        <v>485</v>
      </c>
      <c r="B54" s="4" t="s">
        <v>463</v>
      </c>
      <c r="C54" t="s">
        <v>486</v>
      </c>
      <c r="D54" t="s">
        <v>1160</v>
      </c>
      <c r="E54" t="s">
        <v>487</v>
      </c>
      <c r="F54" t="s">
        <v>931</v>
      </c>
      <c r="G54" t="s">
        <v>153</v>
      </c>
      <c r="H54" t="s">
        <v>154</v>
      </c>
      <c r="I54" t="s">
        <v>920</v>
      </c>
      <c r="J54" t="s">
        <v>781</v>
      </c>
      <c r="K54"/>
      <c r="L54" t="s">
        <v>1149</v>
      </c>
      <c r="M54" t="s">
        <v>1211</v>
      </c>
      <c r="N54" s="5" t="s">
        <v>1216</v>
      </c>
    </row>
    <row r="55" spans="1:14" ht="14" customHeight="1">
      <c r="A55" t="s">
        <v>489</v>
      </c>
      <c r="B55" s="4" t="s">
        <v>463</v>
      </c>
      <c r="C55" t="s">
        <v>490</v>
      </c>
      <c r="D55" t="s">
        <v>1160</v>
      </c>
      <c r="E55" t="s">
        <v>487</v>
      </c>
      <c r="F55" t="s">
        <v>933</v>
      </c>
      <c r="G55" t="s">
        <v>492</v>
      </c>
      <c r="H55" t="s">
        <v>154</v>
      </c>
      <c r="I55" t="s">
        <v>920</v>
      </c>
      <c r="J55" t="s">
        <v>781</v>
      </c>
      <c r="K55"/>
      <c r="L55" t="s">
        <v>1149</v>
      </c>
      <c r="M55" t="s">
        <v>1211</v>
      </c>
      <c r="N55" s="5" t="s">
        <v>1212</v>
      </c>
    </row>
    <row r="56" spans="1:14" ht="14" customHeight="1">
      <c r="A56" t="s">
        <v>493</v>
      </c>
      <c r="B56" s="4" t="s">
        <v>463</v>
      </c>
      <c r="C56" t="s">
        <v>494</v>
      </c>
      <c r="D56" t="s">
        <v>1160</v>
      </c>
      <c r="E56" t="s">
        <v>487</v>
      </c>
      <c r="F56" t="s">
        <v>935</v>
      </c>
      <c r="G56" t="s">
        <v>496</v>
      </c>
      <c r="H56" t="s">
        <v>154</v>
      </c>
      <c r="I56" t="s">
        <v>920</v>
      </c>
      <c r="J56" t="s">
        <v>781</v>
      </c>
      <c r="K56"/>
      <c r="L56" t="s">
        <v>1149</v>
      </c>
      <c r="M56" t="s">
        <v>1211</v>
      </c>
      <c r="N56" s="5" t="s">
        <v>1212</v>
      </c>
    </row>
    <row r="57" spans="1:14" ht="14" customHeight="1">
      <c r="A57" t="s">
        <v>497</v>
      </c>
      <c r="B57" s="4" t="s">
        <v>463</v>
      </c>
      <c r="C57" t="s">
        <v>507</v>
      </c>
      <c r="D57" t="s">
        <v>1103</v>
      </c>
      <c r="E57" t="s">
        <v>508</v>
      </c>
      <c r="F57" t="s">
        <v>1217</v>
      </c>
      <c r="G57" t="s">
        <v>1218</v>
      </c>
      <c r="H57" t="s">
        <v>765</v>
      </c>
      <c r="I57" s="11" t="s">
        <v>1113</v>
      </c>
      <c r="J57" t="s">
        <v>1114</v>
      </c>
      <c r="K57"/>
      <c r="L57" t="s">
        <v>1107</v>
      </c>
      <c r="M57" t="s">
        <v>1115</v>
      </c>
      <c r="N57" s="5" t="s">
        <v>1116</v>
      </c>
    </row>
    <row r="58" spans="1:14" ht="14" customHeight="1">
      <c r="A58" t="s">
        <v>506</v>
      </c>
      <c r="B58" s="4" t="s">
        <v>463</v>
      </c>
      <c r="C58" t="s">
        <v>519</v>
      </c>
      <c r="D58" t="s">
        <v>1103</v>
      </c>
      <c r="E58" t="s">
        <v>520</v>
      </c>
      <c r="F58" t="s">
        <v>521</v>
      </c>
      <c r="G58" t="s">
        <v>1219</v>
      </c>
      <c r="H58" t="s">
        <v>1220</v>
      </c>
      <c r="I58" t="s">
        <v>1221</v>
      </c>
      <c r="J58" t="s">
        <v>1114</v>
      </c>
      <c r="K58"/>
      <c r="L58" t="s">
        <v>1107</v>
      </c>
      <c r="M58" t="s">
        <v>1115</v>
      </c>
      <c r="N58" s="5" t="s">
        <v>1116</v>
      </c>
    </row>
    <row r="59" spans="1:14" ht="14" customHeight="1">
      <c r="A59" t="s">
        <v>518</v>
      </c>
      <c r="B59" s="4" t="s">
        <v>463</v>
      </c>
      <c r="C59" t="s">
        <v>525</v>
      </c>
      <c r="D59" t="s">
        <v>1103</v>
      </c>
      <c r="E59" t="s">
        <v>526</v>
      </c>
      <c r="F59" t="s">
        <v>527</v>
      </c>
      <c r="G59" t="s">
        <v>528</v>
      </c>
      <c r="H59" t="s">
        <v>1220</v>
      </c>
      <c r="J59" t="s">
        <v>781</v>
      </c>
      <c r="K59"/>
      <c r="L59" t="s">
        <v>1107</v>
      </c>
      <c r="M59" t="s">
        <v>1115</v>
      </c>
      <c r="N59" s="5" t="s">
        <v>1116</v>
      </c>
    </row>
    <row r="60" spans="1:14" ht="14" customHeight="1">
      <c r="A60" t="s">
        <v>531</v>
      </c>
      <c r="B60" s="4" t="s">
        <v>532</v>
      </c>
      <c r="C60" t="s">
        <v>198</v>
      </c>
      <c r="D60" t="s">
        <v>1158</v>
      </c>
      <c r="E60" t="s">
        <v>533</v>
      </c>
      <c r="F60" t="s">
        <v>947</v>
      </c>
      <c r="G60" t="s">
        <v>201</v>
      </c>
      <c r="H60" t="s">
        <v>16</v>
      </c>
      <c r="I60" t="s">
        <v>535</v>
      </c>
      <c r="J60" t="s">
        <v>781</v>
      </c>
      <c r="K60"/>
      <c r="L60" t="s">
        <v>1159</v>
      </c>
      <c r="M60" t="s">
        <v>1222</v>
      </c>
      <c r="N60" s="5" t="s">
        <v>1223</v>
      </c>
    </row>
    <row r="61" spans="1:14" ht="14" customHeight="1">
      <c r="A61" t="s">
        <v>542</v>
      </c>
      <c r="B61" s="4" t="s">
        <v>532</v>
      </c>
      <c r="C61" t="s">
        <v>543</v>
      </c>
      <c r="D61" t="s">
        <v>1158</v>
      </c>
      <c r="E61" t="s">
        <v>533</v>
      </c>
      <c r="F61" t="s">
        <v>951</v>
      </c>
      <c r="G61" t="s">
        <v>545</v>
      </c>
      <c r="H61" t="s">
        <v>16</v>
      </c>
      <c r="I61" t="s">
        <v>546</v>
      </c>
      <c r="J61" t="s">
        <v>781</v>
      </c>
      <c r="K61"/>
      <c r="L61" t="s">
        <v>1159</v>
      </c>
      <c r="M61" t="s">
        <v>1222</v>
      </c>
      <c r="N61" s="5" t="s">
        <v>1223</v>
      </c>
    </row>
    <row r="62" spans="1:14" ht="14" customHeight="1">
      <c r="A62" t="s">
        <v>549</v>
      </c>
      <c r="B62" s="4" t="s">
        <v>532</v>
      </c>
      <c r="C62" t="s">
        <v>236</v>
      </c>
      <c r="D62" t="s">
        <v>1158</v>
      </c>
      <c r="E62" t="s">
        <v>533</v>
      </c>
      <c r="F62" t="s">
        <v>954</v>
      </c>
      <c r="G62" t="s">
        <v>551</v>
      </c>
      <c r="H62" t="s">
        <v>16</v>
      </c>
      <c r="I62" t="s">
        <v>546</v>
      </c>
      <c r="J62" t="s">
        <v>781</v>
      </c>
      <c r="K62"/>
      <c r="L62" t="s">
        <v>1159</v>
      </c>
      <c r="M62" t="s">
        <v>1222</v>
      </c>
      <c r="N62" s="5" t="s">
        <v>1223</v>
      </c>
    </row>
    <row r="63" spans="1:14" ht="14" customHeight="1">
      <c r="A63" t="s">
        <v>552</v>
      </c>
      <c r="B63" s="4" t="s">
        <v>532</v>
      </c>
      <c r="C63" t="s">
        <v>553</v>
      </c>
      <c r="D63" t="s">
        <v>1158</v>
      </c>
      <c r="E63" t="s">
        <v>533</v>
      </c>
      <c r="F63" t="s">
        <v>956</v>
      </c>
      <c r="G63" t="s">
        <v>1224</v>
      </c>
      <c r="H63" t="s">
        <v>16</v>
      </c>
      <c r="I63" t="s">
        <v>957</v>
      </c>
      <c r="J63" t="s">
        <v>781</v>
      </c>
      <c r="K63"/>
      <c r="L63" t="s">
        <v>1159</v>
      </c>
      <c r="M63" t="s">
        <v>1222</v>
      </c>
      <c r="N63" s="5" t="s">
        <v>1223</v>
      </c>
    </row>
    <row r="64" spans="1:14" ht="14" customHeight="1">
      <c r="A64" t="s">
        <v>558</v>
      </c>
      <c r="B64" s="7" t="s">
        <v>532</v>
      </c>
      <c r="C64" t="s">
        <v>559</v>
      </c>
      <c r="D64" t="s">
        <v>1225</v>
      </c>
      <c r="E64" t="s">
        <v>560</v>
      </c>
      <c r="F64" t="s">
        <v>960</v>
      </c>
      <c r="G64" t="s">
        <v>562</v>
      </c>
      <c r="H64" t="s">
        <v>214</v>
      </c>
      <c r="I64" s="12" t="s">
        <v>1226</v>
      </c>
      <c r="J64" t="s">
        <v>1161</v>
      </c>
      <c r="K64"/>
      <c r="L64" t="s">
        <v>1159</v>
      </c>
      <c r="M64" t="s">
        <v>1222</v>
      </c>
      <c r="N64" s="5" t="s">
        <v>1223</v>
      </c>
    </row>
    <row r="65" spans="1:14" ht="14" customHeight="1">
      <c r="A65" t="s">
        <v>564</v>
      </c>
      <c r="B65" s="7" t="s">
        <v>532</v>
      </c>
      <c r="C65" t="s">
        <v>565</v>
      </c>
      <c r="D65" t="s">
        <v>1225</v>
      </c>
      <c r="E65" t="s">
        <v>560</v>
      </c>
      <c r="F65" t="s">
        <v>963</v>
      </c>
      <c r="G65" t="s">
        <v>567</v>
      </c>
      <c r="H65" t="s">
        <v>214</v>
      </c>
      <c r="I65" s="12" t="s">
        <v>1226</v>
      </c>
      <c r="J65" t="s">
        <v>1161</v>
      </c>
      <c r="K65"/>
      <c r="L65" t="s">
        <v>1159</v>
      </c>
      <c r="M65" t="s">
        <v>1222</v>
      </c>
      <c r="N65" s="5" t="s">
        <v>1223</v>
      </c>
    </row>
    <row r="66" spans="1:14" ht="14" customHeight="1">
      <c r="A66" t="s">
        <v>568</v>
      </c>
      <c r="B66" s="7" t="s">
        <v>532</v>
      </c>
      <c r="C66" t="s">
        <v>236</v>
      </c>
      <c r="D66" t="s">
        <v>1225</v>
      </c>
      <c r="E66" t="s">
        <v>560</v>
      </c>
      <c r="F66" t="s">
        <v>966</v>
      </c>
      <c r="G66" t="s">
        <v>551</v>
      </c>
      <c r="H66" t="s">
        <v>214</v>
      </c>
      <c r="I66" s="12" t="s">
        <v>1227</v>
      </c>
      <c r="J66" t="s">
        <v>1161</v>
      </c>
      <c r="K66"/>
      <c r="L66" t="s">
        <v>1159</v>
      </c>
      <c r="M66" t="s">
        <v>1222</v>
      </c>
      <c r="N66" s="5" t="s">
        <v>1223</v>
      </c>
    </row>
    <row r="67" spans="1:14" ht="14" customHeight="1">
      <c r="A67" t="s">
        <v>572</v>
      </c>
      <c r="B67" s="7" t="s">
        <v>532</v>
      </c>
      <c r="C67" t="s">
        <v>573</v>
      </c>
      <c r="D67" t="s">
        <v>1225</v>
      </c>
      <c r="E67" t="s">
        <v>574</v>
      </c>
      <c r="F67" t="s">
        <v>968</v>
      </c>
      <c r="G67" t="s">
        <v>467</v>
      </c>
      <c r="H67" t="s">
        <v>214</v>
      </c>
      <c r="I67" s="12" t="s">
        <v>1227</v>
      </c>
      <c r="J67" t="s">
        <v>1161</v>
      </c>
      <c r="K67"/>
      <c r="L67" t="s">
        <v>1159</v>
      </c>
      <c r="M67" t="s">
        <v>1222</v>
      </c>
      <c r="N67" s="5" t="s">
        <v>1228</v>
      </c>
    </row>
    <row r="68" spans="1:14" ht="14" customHeight="1">
      <c r="A68" t="s">
        <v>582</v>
      </c>
      <c r="B68" s="7" t="s">
        <v>532</v>
      </c>
      <c r="C68" t="s">
        <v>583</v>
      </c>
      <c r="D68" t="s">
        <v>1225</v>
      </c>
      <c r="E68" t="s">
        <v>574</v>
      </c>
      <c r="F68" t="s">
        <v>977</v>
      </c>
      <c r="G68" t="s">
        <v>585</v>
      </c>
      <c r="H68" t="s">
        <v>214</v>
      </c>
      <c r="I68" s="12" t="s">
        <v>1227</v>
      </c>
      <c r="J68" t="s">
        <v>1161</v>
      </c>
      <c r="K68"/>
      <c r="L68" t="s">
        <v>1159</v>
      </c>
      <c r="M68" t="s">
        <v>1222</v>
      </c>
      <c r="N68" s="5" t="s">
        <v>1228</v>
      </c>
    </row>
    <row r="69" spans="1:14" ht="14" customHeight="1">
      <c r="A69" t="s">
        <v>589</v>
      </c>
      <c r="B69" s="7" t="s">
        <v>532</v>
      </c>
      <c r="C69" t="s">
        <v>198</v>
      </c>
      <c r="D69" t="s">
        <v>1225</v>
      </c>
      <c r="E69" t="s">
        <v>574</v>
      </c>
      <c r="F69" t="s">
        <v>982</v>
      </c>
      <c r="G69" t="s">
        <v>591</v>
      </c>
      <c r="H69" t="s">
        <v>214</v>
      </c>
      <c r="I69" s="12" t="s">
        <v>1227</v>
      </c>
      <c r="J69" t="s">
        <v>1161</v>
      </c>
      <c r="K69"/>
      <c r="L69" t="s">
        <v>1159</v>
      </c>
      <c r="M69" t="s">
        <v>1222</v>
      </c>
      <c r="N69" s="5" t="s">
        <v>1223</v>
      </c>
    </row>
    <row r="70" spans="1:14" ht="14" customHeight="1">
      <c r="A70" t="s">
        <v>592</v>
      </c>
      <c r="B70" s="7" t="s">
        <v>532</v>
      </c>
      <c r="C70" t="s">
        <v>593</v>
      </c>
      <c r="D70" t="s">
        <v>1190</v>
      </c>
      <c r="E70" t="s">
        <v>594</v>
      </c>
      <c r="F70" t="s">
        <v>985</v>
      </c>
      <c r="G70" t="s">
        <v>596</v>
      </c>
      <c r="H70" t="s">
        <v>214</v>
      </c>
      <c r="I70" s="12" t="s">
        <v>1227</v>
      </c>
      <c r="J70" t="s">
        <v>1161</v>
      </c>
      <c r="K70"/>
      <c r="L70" t="s">
        <v>1159</v>
      </c>
      <c r="M70" t="s">
        <v>1222</v>
      </c>
      <c r="N70" s="5" t="s">
        <v>1229</v>
      </c>
    </row>
    <row r="71" spans="1:14" ht="14" customHeight="1">
      <c r="A71" t="s">
        <v>599</v>
      </c>
      <c r="B71" s="7" t="s">
        <v>532</v>
      </c>
      <c r="C71" t="s">
        <v>600</v>
      </c>
      <c r="D71" t="s">
        <v>1190</v>
      </c>
      <c r="E71" t="s">
        <v>594</v>
      </c>
      <c r="F71" t="s">
        <v>992</v>
      </c>
      <c r="G71" t="s">
        <v>602</v>
      </c>
      <c r="H71" t="s">
        <v>214</v>
      </c>
      <c r="I71" s="12" t="s">
        <v>1227</v>
      </c>
      <c r="J71" t="s">
        <v>1161</v>
      </c>
      <c r="K71"/>
      <c r="L71" t="s">
        <v>1159</v>
      </c>
      <c r="M71" t="s">
        <v>1222</v>
      </c>
      <c r="N71" s="5" t="s">
        <v>1223</v>
      </c>
    </row>
    <row r="72" spans="1:14" ht="14" customHeight="1">
      <c r="A72" t="s">
        <v>612</v>
      </c>
      <c r="B72" s="7" t="s">
        <v>532</v>
      </c>
      <c r="C72" t="s">
        <v>613</v>
      </c>
      <c r="D72" t="s">
        <v>1230</v>
      </c>
      <c r="E72" t="s">
        <v>594</v>
      </c>
      <c r="F72" t="s">
        <v>997</v>
      </c>
      <c r="G72" t="s">
        <v>615</v>
      </c>
      <c r="H72" t="s">
        <v>214</v>
      </c>
      <c r="I72" s="12" t="s">
        <v>1227</v>
      </c>
      <c r="J72" t="s">
        <v>1161</v>
      </c>
      <c r="K72"/>
      <c r="L72" t="s">
        <v>1159</v>
      </c>
      <c r="M72" t="s">
        <v>1222</v>
      </c>
      <c r="N72" s="5" t="s">
        <v>1223</v>
      </c>
    </row>
    <row r="73" spans="1:14" ht="14" customHeight="1">
      <c r="A73" t="s">
        <v>617</v>
      </c>
      <c r="B73" s="7" t="s">
        <v>532</v>
      </c>
      <c r="C73" t="s">
        <v>211</v>
      </c>
      <c r="D73" t="s">
        <v>1190</v>
      </c>
      <c r="E73" t="s">
        <v>594</v>
      </c>
      <c r="F73" t="s">
        <v>1003</v>
      </c>
      <c r="G73" t="s">
        <v>619</v>
      </c>
      <c r="H73" t="s">
        <v>214</v>
      </c>
      <c r="I73" s="12" t="s">
        <v>1227</v>
      </c>
      <c r="J73" t="s">
        <v>1161</v>
      </c>
      <c r="K73"/>
      <c r="L73" t="s">
        <v>1159</v>
      </c>
      <c r="M73" t="s">
        <v>1222</v>
      </c>
      <c r="N73" s="5" t="s">
        <v>1229</v>
      </c>
    </row>
    <row r="74" spans="1:14" ht="14" customHeight="1">
      <c r="A74" t="s">
        <v>621</v>
      </c>
      <c r="B74" s="4" t="s">
        <v>532</v>
      </c>
      <c r="C74" t="s">
        <v>622</v>
      </c>
      <c r="D74" t="s">
        <v>1190</v>
      </c>
      <c r="E74" t="s">
        <v>623</v>
      </c>
      <c r="F74" t="s">
        <v>1005</v>
      </c>
      <c r="G74" t="s">
        <v>625</v>
      </c>
      <c r="H74" t="s">
        <v>226</v>
      </c>
      <c r="I74" t="s">
        <v>1231</v>
      </c>
      <c r="J74" t="s">
        <v>781</v>
      </c>
      <c r="K74"/>
      <c r="L74" t="s">
        <v>1159</v>
      </c>
      <c r="M74" t="s">
        <v>1232</v>
      </c>
      <c r="N74" s="5" t="s">
        <v>1233</v>
      </c>
    </row>
    <row r="75" spans="1:14" ht="14" customHeight="1">
      <c r="A75" t="s">
        <v>627</v>
      </c>
      <c r="B75" s="4" t="s">
        <v>532</v>
      </c>
      <c r="C75" t="s">
        <v>628</v>
      </c>
      <c r="D75" t="s">
        <v>1190</v>
      </c>
      <c r="E75" t="s">
        <v>623</v>
      </c>
      <c r="F75" t="s">
        <v>1012</v>
      </c>
      <c r="G75" t="s">
        <v>630</v>
      </c>
      <c r="H75" t="s">
        <v>226</v>
      </c>
      <c r="I75" t="s">
        <v>826</v>
      </c>
      <c r="J75" t="s">
        <v>781</v>
      </c>
      <c r="K75"/>
      <c r="L75" t="s">
        <v>1159</v>
      </c>
      <c r="M75" t="s">
        <v>1232</v>
      </c>
      <c r="N75" s="5" t="s">
        <v>1233</v>
      </c>
    </row>
    <row r="76" spans="1:14" ht="14" customHeight="1">
      <c r="A76" t="s">
        <v>631</v>
      </c>
      <c r="B76" s="4" t="s">
        <v>532</v>
      </c>
      <c r="C76" t="s">
        <v>632</v>
      </c>
      <c r="D76" t="s">
        <v>1190</v>
      </c>
      <c r="E76" t="s">
        <v>623</v>
      </c>
      <c r="F76" t="s">
        <v>1014</v>
      </c>
      <c r="G76" t="s">
        <v>634</v>
      </c>
      <c r="H76" t="s">
        <v>226</v>
      </c>
      <c r="I76" t="s">
        <v>1234</v>
      </c>
      <c r="J76" t="s">
        <v>781</v>
      </c>
      <c r="K76"/>
      <c r="L76" t="s">
        <v>1159</v>
      </c>
      <c r="M76" t="s">
        <v>1232</v>
      </c>
      <c r="N76" s="5" t="s">
        <v>1233</v>
      </c>
    </row>
    <row r="77" spans="1:14" ht="14" customHeight="1">
      <c r="A77" t="s">
        <v>636</v>
      </c>
      <c r="B77" s="4" t="s">
        <v>532</v>
      </c>
      <c r="C77" t="s">
        <v>637</v>
      </c>
      <c r="D77" t="s">
        <v>1190</v>
      </c>
      <c r="E77" t="s">
        <v>623</v>
      </c>
      <c r="F77" t="s">
        <v>1018</v>
      </c>
      <c r="G77" t="s">
        <v>639</v>
      </c>
      <c r="H77" t="s">
        <v>226</v>
      </c>
      <c r="I77" t="s">
        <v>1006</v>
      </c>
      <c r="J77" t="s">
        <v>781</v>
      </c>
      <c r="K77"/>
      <c r="L77" t="s">
        <v>1159</v>
      </c>
      <c r="M77" t="s">
        <v>1232</v>
      </c>
      <c r="N77" s="5" t="s">
        <v>1233</v>
      </c>
    </row>
    <row r="78" spans="1:14" ht="14" customHeight="1">
      <c r="A78" t="s">
        <v>640</v>
      </c>
      <c r="B78" s="4" t="s">
        <v>532</v>
      </c>
      <c r="C78" t="s">
        <v>641</v>
      </c>
      <c r="D78" t="s">
        <v>1190</v>
      </c>
      <c r="E78" t="s">
        <v>623</v>
      </c>
      <c r="F78" t="s">
        <v>1021</v>
      </c>
      <c r="G78" t="s">
        <v>643</v>
      </c>
      <c r="H78" t="s">
        <v>226</v>
      </c>
      <c r="I78" t="s">
        <v>826</v>
      </c>
      <c r="J78" t="s">
        <v>781</v>
      </c>
      <c r="K78"/>
      <c r="L78" t="s">
        <v>1159</v>
      </c>
      <c r="M78" t="s">
        <v>1232</v>
      </c>
      <c r="N78" s="5" t="s">
        <v>1233</v>
      </c>
    </row>
    <row r="79" spans="1:14" ht="14" customHeight="1">
      <c r="A79" t="s">
        <v>644</v>
      </c>
      <c r="B79" s="4" t="s">
        <v>532</v>
      </c>
      <c r="C79" t="s">
        <v>222</v>
      </c>
      <c r="D79" t="s">
        <v>1190</v>
      </c>
      <c r="E79" t="s">
        <v>645</v>
      </c>
      <c r="F79" t="s">
        <v>1024</v>
      </c>
      <c r="G79" t="s">
        <v>1025</v>
      </c>
      <c r="H79" t="s">
        <v>226</v>
      </c>
      <c r="I79" t="s">
        <v>826</v>
      </c>
      <c r="J79" t="s">
        <v>781</v>
      </c>
      <c r="K79"/>
      <c r="L79" t="s">
        <v>1159</v>
      </c>
      <c r="M79" t="s">
        <v>1232</v>
      </c>
      <c r="N79" s="5" t="s">
        <v>1235</v>
      </c>
    </row>
    <row r="80" spans="1:14" ht="14" customHeight="1">
      <c r="A80" t="s">
        <v>653</v>
      </c>
      <c r="B80" s="4" t="s">
        <v>532</v>
      </c>
      <c r="C80" t="s">
        <v>654</v>
      </c>
      <c r="D80" t="s">
        <v>1190</v>
      </c>
      <c r="E80" t="s">
        <v>645</v>
      </c>
      <c r="F80" t="s">
        <v>1028</v>
      </c>
      <c r="G80" t="s">
        <v>656</v>
      </c>
      <c r="H80" t="s">
        <v>226</v>
      </c>
      <c r="I80" t="s">
        <v>1006</v>
      </c>
      <c r="J80" t="s">
        <v>781</v>
      </c>
      <c r="K80"/>
      <c r="L80" t="s">
        <v>1159</v>
      </c>
      <c r="M80" t="s">
        <v>1232</v>
      </c>
      <c r="N80" s="5" t="s">
        <v>1235</v>
      </c>
    </row>
    <row r="81" spans="1:14" ht="14" customHeight="1">
      <c r="A81" t="s">
        <v>662</v>
      </c>
      <c r="B81" s="4" t="s">
        <v>532</v>
      </c>
      <c r="C81" t="s">
        <v>641</v>
      </c>
      <c r="D81" t="s">
        <v>1190</v>
      </c>
      <c r="E81" t="s">
        <v>645</v>
      </c>
      <c r="F81" t="s">
        <v>1032</v>
      </c>
      <c r="G81" t="s">
        <v>643</v>
      </c>
      <c r="H81" t="s">
        <v>226</v>
      </c>
      <c r="I81" t="s">
        <v>1006</v>
      </c>
      <c r="J81" t="s">
        <v>781</v>
      </c>
      <c r="K81"/>
      <c r="L81" t="s">
        <v>1159</v>
      </c>
      <c r="M81" t="s">
        <v>1232</v>
      </c>
      <c r="N81" s="5" t="s">
        <v>1233</v>
      </c>
    </row>
    <row r="82" spans="1:14" ht="14" customHeight="1">
      <c r="A82" t="s">
        <v>672</v>
      </c>
      <c r="B82" s="4" t="s">
        <v>532</v>
      </c>
      <c r="C82" t="s">
        <v>673</v>
      </c>
      <c r="D82" t="s">
        <v>1190</v>
      </c>
      <c r="E82" t="s">
        <v>645</v>
      </c>
      <c r="F82" t="s">
        <v>1033</v>
      </c>
      <c r="G82" t="s">
        <v>675</v>
      </c>
      <c r="H82" t="s">
        <v>226</v>
      </c>
      <c r="I82" t="s">
        <v>1006</v>
      </c>
      <c r="J82" t="s">
        <v>781</v>
      </c>
      <c r="K82"/>
      <c r="L82" t="s">
        <v>1159</v>
      </c>
      <c r="M82" t="s">
        <v>1232</v>
      </c>
      <c r="N82" s="5" t="s">
        <v>1235</v>
      </c>
    </row>
    <row r="83" spans="1:14" ht="14" customHeight="1">
      <c r="A83" t="s">
        <v>681</v>
      </c>
      <c r="B83" s="4" t="s">
        <v>532</v>
      </c>
      <c r="C83" t="s">
        <v>682</v>
      </c>
      <c r="D83" t="s">
        <v>1190</v>
      </c>
      <c r="E83" t="s">
        <v>683</v>
      </c>
      <c r="F83" t="s">
        <v>1036</v>
      </c>
      <c r="G83" t="s">
        <v>682</v>
      </c>
      <c r="H83" t="s">
        <v>226</v>
      </c>
      <c r="I83" t="s">
        <v>1006</v>
      </c>
      <c r="J83" t="s">
        <v>781</v>
      </c>
      <c r="K83"/>
      <c r="L83" t="s">
        <v>1159</v>
      </c>
      <c r="M83" t="s">
        <v>1232</v>
      </c>
      <c r="N83" s="5" t="s">
        <v>1235</v>
      </c>
    </row>
    <row r="84" spans="1:14" ht="14" customHeight="1">
      <c r="A84" t="s">
        <v>686</v>
      </c>
      <c r="B84" s="4" t="s">
        <v>532</v>
      </c>
      <c r="C84" t="s">
        <v>687</v>
      </c>
      <c r="D84" t="s">
        <v>1190</v>
      </c>
      <c r="E84" t="s">
        <v>683</v>
      </c>
      <c r="F84" t="s">
        <v>1040</v>
      </c>
      <c r="G84" t="s">
        <v>687</v>
      </c>
      <c r="H84" t="s">
        <v>226</v>
      </c>
      <c r="I84" t="s">
        <v>1006</v>
      </c>
      <c r="J84" t="s">
        <v>781</v>
      </c>
      <c r="K84"/>
      <c r="L84" t="s">
        <v>1159</v>
      </c>
      <c r="M84" t="s">
        <v>1222</v>
      </c>
      <c r="N84" s="5" t="s">
        <v>1223</v>
      </c>
    </row>
    <row r="85" spans="1:14" ht="14" customHeight="1">
      <c r="A85" t="s">
        <v>689</v>
      </c>
      <c r="B85" s="4" t="s">
        <v>532</v>
      </c>
      <c r="C85" t="s">
        <v>690</v>
      </c>
      <c r="D85" t="s">
        <v>1190</v>
      </c>
      <c r="E85" t="s">
        <v>683</v>
      </c>
      <c r="F85" t="s">
        <v>1043</v>
      </c>
      <c r="G85" t="s">
        <v>690</v>
      </c>
      <c r="H85" t="s">
        <v>226</v>
      </c>
      <c r="I85" t="s">
        <v>1006</v>
      </c>
      <c r="J85" t="s">
        <v>781</v>
      </c>
      <c r="K85"/>
      <c r="L85" t="s">
        <v>1159</v>
      </c>
      <c r="M85" t="s">
        <v>1222</v>
      </c>
      <c r="N85" s="5" t="s">
        <v>1228</v>
      </c>
    </row>
    <row r="86" spans="1:14" ht="14" customHeight="1">
      <c r="A86" t="s">
        <v>696</v>
      </c>
      <c r="B86" s="4" t="s">
        <v>532</v>
      </c>
      <c r="C86" t="s">
        <v>697</v>
      </c>
      <c r="D86" t="s">
        <v>1190</v>
      </c>
      <c r="E86" t="s">
        <v>683</v>
      </c>
      <c r="F86" t="s">
        <v>1046</v>
      </c>
      <c r="G86" t="s">
        <v>690</v>
      </c>
      <c r="H86" t="s">
        <v>226</v>
      </c>
      <c r="I86" t="s">
        <v>1006</v>
      </c>
      <c r="J86" t="s">
        <v>781</v>
      </c>
      <c r="K86"/>
      <c r="L86" t="s">
        <v>1159</v>
      </c>
      <c r="M86" t="s">
        <v>1222</v>
      </c>
      <c r="N86" s="5" t="s">
        <v>1228</v>
      </c>
    </row>
    <row r="87" spans="1:14" ht="14" customHeight="1">
      <c r="A87" t="s">
        <v>701</v>
      </c>
      <c r="B87" s="4" t="s">
        <v>702</v>
      </c>
      <c r="C87" t="s">
        <v>703</v>
      </c>
      <c r="D87" t="s">
        <v>1160</v>
      </c>
      <c r="E87" t="s">
        <v>704</v>
      </c>
      <c r="F87" t="s">
        <v>1049</v>
      </c>
      <c r="G87" t="s">
        <v>362</v>
      </c>
      <c r="H87" t="s">
        <v>85</v>
      </c>
      <c r="I87" t="s">
        <v>1050</v>
      </c>
      <c r="J87" t="s">
        <v>781</v>
      </c>
      <c r="K87"/>
      <c r="L87" t="s">
        <v>1166</v>
      </c>
      <c r="M87" t="s">
        <v>1236</v>
      </c>
      <c r="N87" s="5" t="s">
        <v>1237</v>
      </c>
    </row>
    <row r="88" spans="1:14" ht="14" customHeight="1">
      <c r="A88" t="s">
        <v>708</v>
      </c>
      <c r="B88" s="4" t="s">
        <v>702</v>
      </c>
      <c r="C88" t="s">
        <v>709</v>
      </c>
      <c r="D88" t="s">
        <v>1160</v>
      </c>
      <c r="E88" t="s">
        <v>704</v>
      </c>
      <c r="F88" t="s">
        <v>1055</v>
      </c>
      <c r="G88" t="s">
        <v>711</v>
      </c>
      <c r="H88" t="s">
        <v>85</v>
      </c>
      <c r="I88" t="s">
        <v>1050</v>
      </c>
      <c r="J88" t="s">
        <v>781</v>
      </c>
      <c r="K88"/>
      <c r="L88" t="s">
        <v>1166</v>
      </c>
      <c r="M88" t="s">
        <v>1236</v>
      </c>
      <c r="N88" s="5" t="s">
        <v>1237</v>
      </c>
    </row>
    <row r="89" spans="1:14" ht="14" customHeight="1">
      <c r="A89" t="s">
        <v>713</v>
      </c>
      <c r="B89" s="4" t="s">
        <v>702</v>
      </c>
      <c r="C89" t="s">
        <v>714</v>
      </c>
      <c r="D89" t="s">
        <v>1160</v>
      </c>
      <c r="E89" t="s">
        <v>704</v>
      </c>
      <c r="F89" t="s">
        <v>1058</v>
      </c>
      <c r="G89" t="s">
        <v>716</v>
      </c>
      <c r="H89" t="s">
        <v>85</v>
      </c>
      <c r="I89" t="s">
        <v>1050</v>
      </c>
      <c r="J89" t="s">
        <v>781</v>
      </c>
      <c r="K89"/>
      <c r="L89" t="s">
        <v>1166</v>
      </c>
      <c r="M89" t="s">
        <v>1236</v>
      </c>
      <c r="N89" s="5" t="s">
        <v>1238</v>
      </c>
    </row>
    <row r="90" spans="1:14" ht="14" customHeight="1">
      <c r="A90" t="s">
        <v>717</v>
      </c>
      <c r="B90" s="4" t="s">
        <v>702</v>
      </c>
      <c r="C90" t="s">
        <v>718</v>
      </c>
      <c r="D90" t="s">
        <v>1160</v>
      </c>
      <c r="E90" t="s">
        <v>719</v>
      </c>
      <c r="F90" t="s">
        <v>720</v>
      </c>
      <c r="G90" t="s">
        <v>1239</v>
      </c>
      <c r="H90" t="s">
        <v>85</v>
      </c>
      <c r="I90" t="s">
        <v>1240</v>
      </c>
      <c r="J90" t="s">
        <v>781</v>
      </c>
      <c r="K90"/>
      <c r="L90" t="s">
        <v>1166</v>
      </c>
      <c r="M90" t="s">
        <v>1236</v>
      </c>
      <c r="N90" s="5" t="s">
        <v>1241</v>
      </c>
    </row>
    <row r="91" spans="1:14" ht="14" customHeight="1">
      <c r="A91" t="s">
        <v>724</v>
      </c>
      <c r="B91" s="4" t="s">
        <v>702</v>
      </c>
      <c r="C91" t="s">
        <v>725</v>
      </c>
      <c r="D91"/>
      <c r="E91" t="s">
        <v>719</v>
      </c>
      <c r="F91" t="s">
        <v>726</v>
      </c>
      <c r="G91" t="s">
        <v>727</v>
      </c>
      <c r="H91" t="s">
        <v>85</v>
      </c>
      <c r="I91" t="s">
        <v>1168</v>
      </c>
      <c r="J91" t="s">
        <v>781</v>
      </c>
      <c r="K91" t="s">
        <v>1242</v>
      </c>
      <c r="L91" t="s">
        <v>1166</v>
      </c>
      <c r="M91" t="s">
        <v>1236</v>
      </c>
      <c r="N91" s="5" t="s">
        <v>1241</v>
      </c>
    </row>
    <row r="92" spans="1:14" ht="14" customHeight="1">
      <c r="A92" t="s">
        <v>734</v>
      </c>
      <c r="B92" s="4" t="s">
        <v>702</v>
      </c>
      <c r="C92" t="s">
        <v>735</v>
      </c>
      <c r="D92"/>
      <c r="E92" t="s">
        <v>719</v>
      </c>
      <c r="F92" t="s">
        <v>736</v>
      </c>
      <c r="G92" t="s">
        <v>1243</v>
      </c>
      <c r="H92" t="s">
        <v>85</v>
      </c>
      <c r="I92" t="s">
        <v>1168</v>
      </c>
      <c r="J92" t="s">
        <v>781</v>
      </c>
      <c r="K92" t="s">
        <v>1244</v>
      </c>
      <c r="L92" t="s">
        <v>1166</v>
      </c>
      <c r="M92" t="s">
        <v>1245</v>
      </c>
      <c r="N92" s="5" t="s">
        <v>1241</v>
      </c>
    </row>
    <row r="93" spans="1:14" ht="14" customHeight="1">
      <c r="A93" t="s">
        <v>738</v>
      </c>
      <c r="B93" s="4" t="s">
        <v>702</v>
      </c>
      <c r="C93" t="s">
        <v>739</v>
      </c>
      <c r="D93"/>
      <c r="E93" t="s">
        <v>719</v>
      </c>
      <c r="F93" t="s">
        <v>1066</v>
      </c>
      <c r="G93" t="s">
        <v>741</v>
      </c>
      <c r="H93" t="s">
        <v>85</v>
      </c>
      <c r="I93" t="s">
        <v>1168</v>
      </c>
      <c r="J93" t="s">
        <v>781</v>
      </c>
      <c r="K93" t="s">
        <v>1246</v>
      </c>
      <c r="L93" t="s">
        <v>1166</v>
      </c>
      <c r="M93" t="s">
        <v>1245</v>
      </c>
      <c r="N93" s="5" t="s">
        <v>1241</v>
      </c>
    </row>
    <row r="94" spans="1:14" ht="14" customHeight="1">
      <c r="A94" t="s">
        <v>742</v>
      </c>
      <c r="B94" s="4" t="s">
        <v>743</v>
      </c>
      <c r="C94" t="s">
        <v>744</v>
      </c>
      <c r="D94"/>
      <c r="F94" t="s">
        <v>745</v>
      </c>
      <c r="G94" t="s">
        <v>746</v>
      </c>
      <c r="H94" t="s">
        <v>85</v>
      </c>
      <c r="I94" t="s">
        <v>747</v>
      </c>
      <c r="J94" t="s">
        <v>1247</v>
      </c>
      <c r="K94"/>
      <c r="L94" t="s">
        <v>1132</v>
      </c>
      <c r="M94" t="s">
        <v>1248</v>
      </c>
      <c r="N94" s="5" t="s">
        <v>1249</v>
      </c>
    </row>
    <row r="95" spans="1:14" ht="14" customHeight="1">
      <c r="A95" t="s">
        <v>749</v>
      </c>
      <c r="B95" s="4" t="s">
        <v>743</v>
      </c>
      <c r="C95" t="s">
        <v>750</v>
      </c>
      <c r="D95"/>
      <c r="F95" t="s">
        <v>751</v>
      </c>
      <c r="G95" t="s">
        <v>746</v>
      </c>
      <c r="H95" t="s">
        <v>85</v>
      </c>
      <c r="I95" t="s">
        <v>752</v>
      </c>
      <c r="J95" t="s">
        <v>1247</v>
      </c>
      <c r="K95"/>
      <c r="L95" t="s">
        <v>1166</v>
      </c>
      <c r="M95" t="s">
        <v>1248</v>
      </c>
      <c r="N95" s="5" t="s">
        <v>1250</v>
      </c>
    </row>
    <row r="96" spans="1:14" ht="14" customHeight="1">
      <c r="A96" t="s">
        <v>753</v>
      </c>
      <c r="B96" s="4" t="s">
        <v>743</v>
      </c>
      <c r="C96" t="s">
        <v>754</v>
      </c>
      <c r="D96"/>
      <c r="F96" t="s">
        <v>755</v>
      </c>
      <c r="G96" t="s">
        <v>756</v>
      </c>
      <c r="H96" t="s">
        <v>85</v>
      </c>
      <c r="I96" t="s">
        <v>757</v>
      </c>
      <c r="J96" t="s">
        <v>1247</v>
      </c>
      <c r="K96"/>
      <c r="L96" t="s">
        <v>1251</v>
      </c>
      <c r="M96" t="s">
        <v>1248</v>
      </c>
      <c r="N96" s="5" t="s">
        <v>1252</v>
      </c>
    </row>
    <row r="97" spans="1:14" ht="14" customHeight="1">
      <c r="A97" t="s">
        <v>760</v>
      </c>
      <c r="B97" s="4" t="s">
        <v>743</v>
      </c>
      <c r="C97" t="s">
        <v>761</v>
      </c>
      <c r="D97"/>
      <c r="F97" t="s">
        <v>763</v>
      </c>
      <c r="G97" t="s">
        <v>764</v>
      </c>
      <c r="H97" t="s">
        <v>765</v>
      </c>
      <c r="I97" t="s">
        <v>766</v>
      </c>
      <c r="J97" t="s">
        <v>1247</v>
      </c>
      <c r="K97"/>
      <c r="L97" t="s">
        <v>1107</v>
      </c>
      <c r="M97" t="s">
        <v>1248</v>
      </c>
      <c r="N97" s="5" t="s">
        <v>1253</v>
      </c>
    </row>
    <row r="98" spans="1:14" ht="14" customHeight="1">
      <c r="A98" t="s">
        <v>770</v>
      </c>
      <c r="B98" s="4" t="s">
        <v>743</v>
      </c>
      <c r="C98" t="s">
        <v>771</v>
      </c>
      <c r="D98"/>
      <c r="F98" t="s">
        <v>773</v>
      </c>
      <c r="G98" t="s">
        <v>774</v>
      </c>
      <c r="H98" t="s">
        <v>765</v>
      </c>
      <c r="I98" t="s">
        <v>766</v>
      </c>
      <c r="J98" t="s">
        <v>1247</v>
      </c>
      <c r="K98"/>
      <c r="L98" t="s">
        <v>1107</v>
      </c>
      <c r="M98" t="s">
        <v>1248</v>
      </c>
      <c r="N98" s="5" t="s">
        <v>1254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2976-FAB1-48C1-9FC8-80522AAFBC3E}">
  <dimension ref="A1:N165"/>
  <sheetViews>
    <sheetView tabSelected="1" topLeftCell="A49" workbookViewId="0">
      <selection activeCell="D63" sqref="D63"/>
    </sheetView>
  </sheetViews>
  <sheetFormatPr defaultRowHeight="14" customHeight="1"/>
  <cols>
    <col min="1" max="1" width="9.5" bestFit="1" customWidth="1"/>
    <col min="2" max="2" width="18.25" bestFit="1" customWidth="1"/>
    <col min="3" max="3" width="24.1640625" bestFit="1" customWidth="1"/>
    <col min="4" max="4" width="39.9140625" bestFit="1" customWidth="1"/>
    <col min="5" max="5" width="20.25" bestFit="1" customWidth="1"/>
    <col min="6" max="6" width="66.6640625" customWidth="1"/>
    <col min="7" max="7" width="229.08203125" bestFit="1" customWidth="1"/>
    <col min="8" max="8" width="14.08203125" bestFit="1" customWidth="1"/>
    <col min="9" max="9" width="74.83203125" customWidth="1"/>
    <col min="10" max="10" width="23.33203125" customWidth="1"/>
    <col min="11" max="11" width="10.4140625" customWidth="1"/>
    <col min="12" max="12" width="18.25" bestFit="1" customWidth="1"/>
    <col min="13" max="13" width="32.33203125" customWidth="1"/>
    <col min="14" max="14" width="35.25" bestFit="1" customWidth="1"/>
  </cols>
  <sheetData>
    <row r="1" spans="1:14" ht="14" customHeight="1">
      <c r="A1" s="3" t="s">
        <v>52</v>
      </c>
      <c r="B1" s="3" t="s">
        <v>53</v>
      </c>
      <c r="C1" s="3" t="s">
        <v>54</v>
      </c>
      <c r="D1" s="3" t="s">
        <v>1125</v>
      </c>
      <c r="E1" s="3" t="s">
        <v>55</v>
      </c>
      <c r="F1" s="3" t="s">
        <v>57</v>
      </c>
      <c r="G1" s="3" t="s">
        <v>58</v>
      </c>
      <c r="H1" s="3" t="s">
        <v>60</v>
      </c>
      <c r="I1" s="3" t="s">
        <v>61</v>
      </c>
      <c r="J1" s="3" t="s">
        <v>1126</v>
      </c>
      <c r="K1" s="3" t="s">
        <v>76</v>
      </c>
      <c r="L1" s="3" t="s">
        <v>1127</v>
      </c>
      <c r="M1" s="3" t="s">
        <v>1128</v>
      </c>
      <c r="N1" s="3" t="s">
        <v>1128</v>
      </c>
    </row>
    <row r="2" spans="1:14" ht="14" customHeight="1">
      <c r="A2" t="s">
        <v>77</v>
      </c>
      <c r="B2" s="4" t="s">
        <v>78</v>
      </c>
      <c r="C2" s="19" t="s">
        <v>1432</v>
      </c>
      <c r="D2" t="s">
        <v>1129</v>
      </c>
      <c r="E2" t="s">
        <v>80</v>
      </c>
      <c r="F2" t="s">
        <v>82</v>
      </c>
      <c r="G2" t="s">
        <v>1130</v>
      </c>
      <c r="H2" t="s">
        <v>85</v>
      </c>
      <c r="I2" t="s">
        <v>1131</v>
      </c>
      <c r="J2" t="s">
        <v>781</v>
      </c>
      <c r="L2" t="s">
        <v>1132</v>
      </c>
      <c r="M2" t="s">
        <v>1133</v>
      </c>
      <c r="N2" s="5" t="s">
        <v>1134</v>
      </c>
    </row>
    <row r="3" spans="1:14" ht="14" customHeight="1">
      <c r="A3" t="s">
        <v>102</v>
      </c>
      <c r="B3" s="4" t="s">
        <v>78</v>
      </c>
      <c r="C3" t="s">
        <v>103</v>
      </c>
      <c r="D3" t="s">
        <v>1129</v>
      </c>
      <c r="E3" t="s">
        <v>80</v>
      </c>
      <c r="F3" t="s">
        <v>104</v>
      </c>
      <c r="G3" t="s">
        <v>1135</v>
      </c>
      <c r="H3" t="s">
        <v>85</v>
      </c>
      <c r="I3" t="s">
        <v>1136</v>
      </c>
      <c r="J3" t="s">
        <v>781</v>
      </c>
      <c r="L3" t="s">
        <v>1132</v>
      </c>
      <c r="N3" s="5" t="s">
        <v>1134</v>
      </c>
    </row>
    <row r="4" spans="1:14" ht="14" customHeight="1">
      <c r="A4" t="s">
        <v>115</v>
      </c>
      <c r="B4" s="4" t="s">
        <v>78</v>
      </c>
      <c r="C4" t="s">
        <v>116</v>
      </c>
      <c r="D4" t="s">
        <v>1137</v>
      </c>
      <c r="E4" t="s">
        <v>80</v>
      </c>
      <c r="F4" t="s">
        <v>117</v>
      </c>
      <c r="G4" t="s">
        <v>1138</v>
      </c>
      <c r="H4" t="s">
        <v>85</v>
      </c>
      <c r="I4" t="s">
        <v>789</v>
      </c>
      <c r="J4" t="s">
        <v>781</v>
      </c>
      <c r="L4" t="s">
        <v>1132</v>
      </c>
      <c r="N4" s="5" t="s">
        <v>1139</v>
      </c>
    </row>
    <row r="5" spans="1:14" ht="14" customHeight="1">
      <c r="A5" t="s">
        <v>128</v>
      </c>
      <c r="B5" s="4" t="s">
        <v>78</v>
      </c>
      <c r="C5" s="19" t="s">
        <v>1346</v>
      </c>
      <c r="D5" t="s">
        <v>1129</v>
      </c>
      <c r="E5" t="s">
        <v>80</v>
      </c>
      <c r="N5" s="5"/>
    </row>
    <row r="6" spans="1:14" ht="14" customHeight="1">
      <c r="A6" t="s">
        <v>143</v>
      </c>
      <c r="B6" s="4" t="s">
        <v>78</v>
      </c>
      <c r="C6" s="19" t="s">
        <v>1324</v>
      </c>
      <c r="D6" t="s">
        <v>1129</v>
      </c>
      <c r="E6" t="s">
        <v>80</v>
      </c>
      <c r="N6" s="5"/>
    </row>
    <row r="7" spans="1:14" ht="14" customHeight="1">
      <c r="A7" t="s">
        <v>149</v>
      </c>
      <c r="B7" s="4" t="s">
        <v>1332</v>
      </c>
      <c r="C7" s="19" t="s">
        <v>1339</v>
      </c>
      <c r="D7" s="19" t="s">
        <v>1338</v>
      </c>
      <c r="E7" t="s">
        <v>80</v>
      </c>
      <c r="F7" t="s">
        <v>130</v>
      </c>
      <c r="G7" t="s">
        <v>1141</v>
      </c>
      <c r="H7" t="s">
        <v>85</v>
      </c>
      <c r="I7" t="s">
        <v>795</v>
      </c>
      <c r="J7" t="s">
        <v>794</v>
      </c>
      <c r="L7" t="s">
        <v>1132</v>
      </c>
      <c r="N7" s="5" t="s">
        <v>1142</v>
      </c>
    </row>
    <row r="8" spans="1:14" ht="14" customHeight="1">
      <c r="A8" t="s">
        <v>162</v>
      </c>
      <c r="B8" s="4" t="s">
        <v>78</v>
      </c>
      <c r="C8" t="s">
        <v>144</v>
      </c>
      <c r="D8" t="s">
        <v>1143</v>
      </c>
      <c r="E8" t="s">
        <v>80</v>
      </c>
      <c r="F8" t="s">
        <v>145</v>
      </c>
      <c r="G8" t="s">
        <v>1144</v>
      </c>
      <c r="H8" t="s">
        <v>85</v>
      </c>
      <c r="I8" t="s">
        <v>795</v>
      </c>
      <c r="J8" t="s">
        <v>794</v>
      </c>
      <c r="L8" t="s">
        <v>1145</v>
      </c>
      <c r="N8" s="5" t="s">
        <v>1146</v>
      </c>
    </row>
    <row r="9" spans="1:14" ht="14" customHeight="1">
      <c r="A9" t="s">
        <v>170</v>
      </c>
      <c r="B9" s="4" t="s">
        <v>1332</v>
      </c>
      <c r="C9" s="19" t="s">
        <v>1345</v>
      </c>
      <c r="D9" s="19"/>
      <c r="E9" s="19" t="s">
        <v>1431</v>
      </c>
      <c r="N9" s="5"/>
    </row>
    <row r="10" spans="1:14" ht="14" customHeight="1">
      <c r="A10" t="s">
        <v>185</v>
      </c>
      <c r="B10" s="4" t="s">
        <v>78</v>
      </c>
      <c r="C10" t="s">
        <v>1347</v>
      </c>
      <c r="E10" s="19" t="s">
        <v>1350</v>
      </c>
      <c r="N10" s="5"/>
    </row>
    <row r="11" spans="1:14" ht="14" customHeight="1">
      <c r="A11" t="s">
        <v>197</v>
      </c>
      <c r="B11" s="4" t="s">
        <v>78</v>
      </c>
      <c r="C11" t="s">
        <v>1348</v>
      </c>
      <c r="E11" s="19" t="s">
        <v>1350</v>
      </c>
      <c r="N11" s="5"/>
    </row>
    <row r="12" spans="1:14" ht="14" customHeight="1">
      <c r="A12" t="s">
        <v>210</v>
      </c>
      <c r="B12" s="4" t="s">
        <v>78</v>
      </c>
      <c r="C12" t="s">
        <v>1349</v>
      </c>
      <c r="E12" s="19" t="s">
        <v>1350</v>
      </c>
      <c r="N12" s="5"/>
    </row>
    <row r="13" spans="1:14" ht="14" customHeight="1">
      <c r="A13" t="s">
        <v>221</v>
      </c>
      <c r="B13" s="4" t="s">
        <v>78</v>
      </c>
      <c r="C13" s="19" t="s">
        <v>1351</v>
      </c>
      <c r="E13" s="19" t="s">
        <v>1353</v>
      </c>
      <c r="N13" s="5"/>
    </row>
    <row r="14" spans="1:14" ht="14" customHeight="1">
      <c r="A14" t="s">
        <v>235</v>
      </c>
      <c r="B14" s="4" t="s">
        <v>78</v>
      </c>
      <c r="C14" s="19" t="s">
        <v>1352</v>
      </c>
      <c r="E14" s="19" t="s">
        <v>1353</v>
      </c>
      <c r="N14" s="5"/>
    </row>
    <row r="15" spans="1:14" ht="14" customHeight="1">
      <c r="A15" t="s">
        <v>248</v>
      </c>
      <c r="B15" s="4" t="s">
        <v>78</v>
      </c>
      <c r="C15" t="s">
        <v>150</v>
      </c>
      <c r="D15" t="s">
        <v>1147</v>
      </c>
      <c r="E15" t="s">
        <v>151</v>
      </c>
      <c r="F15" t="s">
        <v>152</v>
      </c>
      <c r="G15" t="s">
        <v>1148</v>
      </c>
      <c r="H15" t="s">
        <v>154</v>
      </c>
      <c r="I15" t="s">
        <v>799</v>
      </c>
      <c r="J15" t="s">
        <v>781</v>
      </c>
      <c r="L15" t="s">
        <v>1149</v>
      </c>
      <c r="N15" s="5" t="s">
        <v>1150</v>
      </c>
    </row>
    <row r="16" spans="1:14" ht="14" customHeight="1">
      <c r="A16" t="s">
        <v>263</v>
      </c>
      <c r="B16" s="4" t="s">
        <v>78</v>
      </c>
      <c r="C16" t="s">
        <v>163</v>
      </c>
      <c r="D16" t="s">
        <v>1147</v>
      </c>
      <c r="E16" t="s">
        <v>151</v>
      </c>
      <c r="F16" t="s">
        <v>164</v>
      </c>
      <c r="G16" t="s">
        <v>165</v>
      </c>
      <c r="H16" t="s">
        <v>85</v>
      </c>
      <c r="I16" t="s">
        <v>803</v>
      </c>
      <c r="J16" t="s">
        <v>781</v>
      </c>
      <c r="L16" t="s">
        <v>1149</v>
      </c>
      <c r="N16" s="5" t="s">
        <v>1102</v>
      </c>
    </row>
    <row r="17" spans="1:14" ht="14" customHeight="1">
      <c r="A17" t="s">
        <v>270</v>
      </c>
      <c r="B17" s="4" t="s">
        <v>78</v>
      </c>
      <c r="C17" s="19" t="s">
        <v>1373</v>
      </c>
      <c r="D17" s="19" t="s">
        <v>1321</v>
      </c>
      <c r="E17" t="s">
        <v>151</v>
      </c>
      <c r="F17" t="s">
        <v>172</v>
      </c>
      <c r="G17" t="s">
        <v>1151</v>
      </c>
      <c r="H17" t="s">
        <v>85</v>
      </c>
      <c r="I17" t="s">
        <v>1152</v>
      </c>
      <c r="J17" t="s">
        <v>781</v>
      </c>
      <c r="L17" t="s">
        <v>1121</v>
      </c>
      <c r="N17" s="5" t="s">
        <v>1153</v>
      </c>
    </row>
    <row r="18" spans="1:14" ht="14" customHeight="1">
      <c r="A18" t="s">
        <v>841</v>
      </c>
      <c r="B18" s="4" t="s">
        <v>78</v>
      </c>
      <c r="C18" s="19" t="s">
        <v>1333</v>
      </c>
      <c r="D18" s="19" t="s">
        <v>1321</v>
      </c>
      <c r="E18" t="s">
        <v>151</v>
      </c>
      <c r="F18" t="s">
        <v>172</v>
      </c>
      <c r="G18" t="s">
        <v>1151</v>
      </c>
      <c r="H18" t="s">
        <v>85</v>
      </c>
      <c r="I18" t="s">
        <v>1152</v>
      </c>
      <c r="J18" t="s">
        <v>781</v>
      </c>
      <c r="L18" t="s">
        <v>1121</v>
      </c>
      <c r="N18" s="5" t="s">
        <v>1153</v>
      </c>
    </row>
    <row r="19" spans="1:14" ht="14" customHeight="1">
      <c r="A19" t="s">
        <v>1326</v>
      </c>
      <c r="B19" s="4" t="s">
        <v>78</v>
      </c>
      <c r="C19" s="19" t="s">
        <v>1340</v>
      </c>
      <c r="D19" t="s">
        <v>1103</v>
      </c>
      <c r="E19" t="s">
        <v>151</v>
      </c>
      <c r="F19" s="19" t="s">
        <v>1343</v>
      </c>
      <c r="G19" t="s">
        <v>1155</v>
      </c>
      <c r="H19" t="s">
        <v>1156</v>
      </c>
      <c r="I19" t="s">
        <v>1106</v>
      </c>
      <c r="J19" t="s">
        <v>781</v>
      </c>
      <c r="L19" t="s">
        <v>1107</v>
      </c>
      <c r="N19" s="5" t="s">
        <v>1108</v>
      </c>
    </row>
    <row r="20" spans="1:14" ht="14" customHeight="1">
      <c r="A20" t="s">
        <v>1327</v>
      </c>
      <c r="B20" s="4" t="s">
        <v>78</v>
      </c>
      <c r="C20" s="19" t="s">
        <v>1341</v>
      </c>
      <c r="D20" t="s">
        <v>1103</v>
      </c>
      <c r="E20" t="s">
        <v>151</v>
      </c>
      <c r="F20" t="s">
        <v>1154</v>
      </c>
      <c r="G20" t="s">
        <v>1155</v>
      </c>
      <c r="H20" t="s">
        <v>1156</v>
      </c>
      <c r="I20" t="s">
        <v>1106</v>
      </c>
      <c r="J20" t="s">
        <v>781</v>
      </c>
      <c r="L20" t="s">
        <v>1107</v>
      </c>
      <c r="N20" s="5" t="s">
        <v>1108</v>
      </c>
    </row>
    <row r="21" spans="1:14" ht="14" customHeight="1">
      <c r="A21" t="s">
        <v>1328</v>
      </c>
      <c r="B21" s="4" t="s">
        <v>78</v>
      </c>
      <c r="C21" s="19" t="s">
        <v>1342</v>
      </c>
      <c r="D21" t="s">
        <v>1103</v>
      </c>
      <c r="E21" t="s">
        <v>151</v>
      </c>
      <c r="F21" s="19" t="s">
        <v>1344</v>
      </c>
      <c r="G21" t="s">
        <v>1155</v>
      </c>
      <c r="H21" t="s">
        <v>1156</v>
      </c>
      <c r="I21" t="s">
        <v>1106</v>
      </c>
      <c r="J21" t="s">
        <v>781</v>
      </c>
      <c r="L21" t="s">
        <v>1107</v>
      </c>
      <c r="N21" s="5" t="s">
        <v>1108</v>
      </c>
    </row>
    <row r="22" spans="1:14" ht="14" customHeight="1">
      <c r="A22" t="s">
        <v>1329</v>
      </c>
      <c r="B22" s="6" t="s">
        <v>78</v>
      </c>
      <c r="C22" s="19" t="s">
        <v>1334</v>
      </c>
      <c r="D22" t="s">
        <v>1158</v>
      </c>
      <c r="E22" t="s">
        <v>199</v>
      </c>
      <c r="F22" t="s">
        <v>200</v>
      </c>
      <c r="G22" t="s">
        <v>201</v>
      </c>
      <c r="H22" t="s">
        <v>16</v>
      </c>
      <c r="I22" t="s">
        <v>202</v>
      </c>
      <c r="J22" t="s">
        <v>781</v>
      </c>
      <c r="L22" t="s">
        <v>1159</v>
      </c>
      <c r="N22" s="5" t="s">
        <v>1100</v>
      </c>
    </row>
    <row r="23" spans="1:14" ht="14" customHeight="1">
      <c r="A23" t="s">
        <v>1330</v>
      </c>
      <c r="B23" s="6" t="s">
        <v>78</v>
      </c>
      <c r="C23" s="19" t="s">
        <v>1335</v>
      </c>
      <c r="D23" t="s">
        <v>1158</v>
      </c>
      <c r="E23" t="s">
        <v>199</v>
      </c>
      <c r="F23" t="s">
        <v>200</v>
      </c>
      <c r="G23" t="s">
        <v>201</v>
      </c>
      <c r="H23" t="s">
        <v>16</v>
      </c>
      <c r="I23" t="s">
        <v>202</v>
      </c>
      <c r="J23" t="s">
        <v>781</v>
      </c>
      <c r="L23" t="s">
        <v>1159</v>
      </c>
      <c r="N23" s="5" t="s">
        <v>1100</v>
      </c>
    </row>
    <row r="24" spans="1:14" ht="14" customHeight="1">
      <c r="A24" t="s">
        <v>1385</v>
      </c>
      <c r="B24" s="7" t="s">
        <v>78</v>
      </c>
      <c r="C24" t="s">
        <v>211</v>
      </c>
      <c r="D24" t="s">
        <v>1160</v>
      </c>
      <c r="E24" t="s">
        <v>199</v>
      </c>
      <c r="F24" t="s">
        <v>212</v>
      </c>
      <c r="G24" t="s">
        <v>213</v>
      </c>
      <c r="H24" t="s">
        <v>214</v>
      </c>
      <c r="I24" t="s">
        <v>821</v>
      </c>
      <c r="J24" t="s">
        <v>1161</v>
      </c>
      <c r="L24" t="s">
        <v>1159</v>
      </c>
      <c r="N24" s="5" t="s">
        <v>1162</v>
      </c>
    </row>
    <row r="25" spans="1:14" ht="14" customHeight="1">
      <c r="A25" t="s">
        <v>1386</v>
      </c>
      <c r="B25" s="4" t="s">
        <v>78</v>
      </c>
      <c r="C25" t="s">
        <v>1163</v>
      </c>
      <c r="D25" t="s">
        <v>1160</v>
      </c>
      <c r="E25" t="s">
        <v>199</v>
      </c>
      <c r="F25" t="s">
        <v>824</v>
      </c>
      <c r="G25" t="s">
        <v>825</v>
      </c>
      <c r="H25" t="s">
        <v>226</v>
      </c>
      <c r="I25" t="s">
        <v>826</v>
      </c>
      <c r="J25" t="s">
        <v>781</v>
      </c>
      <c r="L25" t="s">
        <v>1159</v>
      </c>
      <c r="N25" s="5" t="s">
        <v>1146</v>
      </c>
    </row>
    <row r="26" spans="1:14" ht="14" customHeight="1">
      <c r="A26" t="s">
        <v>1387</v>
      </c>
      <c r="B26" s="6" t="s">
        <v>78</v>
      </c>
      <c r="C26" s="19" t="s">
        <v>1336</v>
      </c>
      <c r="D26" t="s">
        <v>1158</v>
      </c>
      <c r="E26" t="s">
        <v>199</v>
      </c>
      <c r="F26" t="s">
        <v>237</v>
      </c>
      <c r="G26" t="s">
        <v>238</v>
      </c>
      <c r="H26" t="s">
        <v>16</v>
      </c>
      <c r="I26" t="s">
        <v>202</v>
      </c>
      <c r="J26" t="s">
        <v>781</v>
      </c>
      <c r="K26" s="2"/>
      <c r="L26" t="s">
        <v>1159</v>
      </c>
      <c r="N26" s="5" t="s">
        <v>1102</v>
      </c>
    </row>
    <row r="27" spans="1:14" ht="14" customHeight="1">
      <c r="A27" t="s">
        <v>1388</v>
      </c>
      <c r="B27" s="6" t="s">
        <v>78</v>
      </c>
      <c r="C27" s="19" t="s">
        <v>1337</v>
      </c>
      <c r="D27" t="s">
        <v>1158</v>
      </c>
      <c r="E27" t="s">
        <v>199</v>
      </c>
      <c r="F27" t="s">
        <v>237</v>
      </c>
      <c r="G27" t="s">
        <v>238</v>
      </c>
      <c r="H27" t="s">
        <v>16</v>
      </c>
      <c r="I27" t="s">
        <v>202</v>
      </c>
      <c r="J27" t="s">
        <v>781</v>
      </c>
      <c r="K27" s="2"/>
      <c r="L27" t="s">
        <v>1159</v>
      </c>
      <c r="N27" s="5" t="s">
        <v>1102</v>
      </c>
    </row>
    <row r="28" spans="1:14" ht="14" customHeight="1">
      <c r="A28" t="s">
        <v>1389</v>
      </c>
      <c r="B28" s="4" t="s">
        <v>78</v>
      </c>
      <c r="C28" t="s">
        <v>249</v>
      </c>
      <c r="D28" t="s">
        <v>1165</v>
      </c>
      <c r="E28" t="s">
        <v>250</v>
      </c>
      <c r="F28" t="s">
        <v>251</v>
      </c>
      <c r="G28" t="s">
        <v>252</v>
      </c>
      <c r="H28" t="s">
        <v>85</v>
      </c>
      <c r="I28" t="s">
        <v>833</v>
      </c>
      <c r="J28" t="s">
        <v>781</v>
      </c>
      <c r="K28" s="2"/>
      <c r="L28" t="s">
        <v>1166</v>
      </c>
      <c r="N28" s="5" t="s">
        <v>1167</v>
      </c>
    </row>
    <row r="29" spans="1:14" ht="14" customHeight="1">
      <c r="A29" t="s">
        <v>1390</v>
      </c>
      <c r="B29" s="4" t="s">
        <v>78</v>
      </c>
      <c r="C29" t="s">
        <v>264</v>
      </c>
      <c r="D29" s="19" t="s">
        <v>1322</v>
      </c>
      <c r="E29" t="s">
        <v>250</v>
      </c>
      <c r="F29" t="s">
        <v>837</v>
      </c>
      <c r="G29" t="s">
        <v>266</v>
      </c>
      <c r="H29" t="s">
        <v>85</v>
      </c>
      <c r="I29" t="s">
        <v>1168</v>
      </c>
      <c r="J29" t="s">
        <v>781</v>
      </c>
      <c r="K29" s="2"/>
      <c r="L29" t="s">
        <v>1166</v>
      </c>
      <c r="M29" t="s">
        <v>1169</v>
      </c>
      <c r="N29" s="5" t="s">
        <v>1170</v>
      </c>
    </row>
    <row r="30" spans="1:14" ht="14" customHeight="1">
      <c r="A30" t="s">
        <v>1391</v>
      </c>
      <c r="B30" s="4" t="s">
        <v>78</v>
      </c>
      <c r="C30" t="s">
        <v>271</v>
      </c>
      <c r="E30" t="s">
        <v>250</v>
      </c>
      <c r="F30" t="s">
        <v>272</v>
      </c>
      <c r="G30" t="s">
        <v>273</v>
      </c>
      <c r="H30" t="s">
        <v>85</v>
      </c>
      <c r="I30" t="s">
        <v>1168</v>
      </c>
      <c r="J30" t="s">
        <v>781</v>
      </c>
      <c r="K30" s="2"/>
      <c r="L30" t="s">
        <v>1166</v>
      </c>
      <c r="N30" s="5" t="s">
        <v>1170</v>
      </c>
    </row>
    <row r="31" spans="1:14" ht="14" customHeight="1">
      <c r="A31" t="s">
        <v>1392</v>
      </c>
      <c r="B31" s="4" t="s">
        <v>78</v>
      </c>
      <c r="C31" t="s">
        <v>498</v>
      </c>
      <c r="D31" t="s">
        <v>1103</v>
      </c>
      <c r="E31" t="s">
        <v>499</v>
      </c>
      <c r="F31" t="s">
        <v>104</v>
      </c>
      <c r="G31" t="s">
        <v>1135</v>
      </c>
      <c r="H31" t="s">
        <v>85</v>
      </c>
      <c r="I31" t="s">
        <v>1136</v>
      </c>
      <c r="J31" t="s">
        <v>781</v>
      </c>
      <c r="L31" t="s">
        <v>1171</v>
      </c>
      <c r="N31" s="5" t="s">
        <v>1172</v>
      </c>
    </row>
    <row r="32" spans="1:14" ht="14" customHeight="1">
      <c r="A32" t="s">
        <v>1393</v>
      </c>
      <c r="B32" s="4" t="s">
        <v>78</v>
      </c>
      <c r="C32" s="19" t="s">
        <v>1375</v>
      </c>
      <c r="D32" t="s">
        <v>1103</v>
      </c>
      <c r="E32" t="s">
        <v>499</v>
      </c>
      <c r="N32" s="5"/>
    </row>
    <row r="33" spans="1:14" ht="14" customHeight="1">
      <c r="A33" t="s">
        <v>1394</v>
      </c>
      <c r="B33" s="4" t="s">
        <v>78</v>
      </c>
      <c r="C33" s="19" t="s">
        <v>1379</v>
      </c>
      <c r="E33" t="s">
        <v>499</v>
      </c>
      <c r="N33" s="5"/>
    </row>
    <row r="34" spans="1:14" ht="14" customHeight="1">
      <c r="A34" t="s">
        <v>1395</v>
      </c>
      <c r="B34" s="4" t="s">
        <v>78</v>
      </c>
      <c r="C34" s="19" t="s">
        <v>1354</v>
      </c>
      <c r="D34" t="s">
        <v>1369</v>
      </c>
      <c r="E34" t="s">
        <v>1372</v>
      </c>
      <c r="N34" s="5"/>
    </row>
    <row r="35" spans="1:14" ht="14" customHeight="1">
      <c r="A35" t="s">
        <v>1396</v>
      </c>
      <c r="B35" s="4" t="s">
        <v>78</v>
      </c>
      <c r="C35" s="19" t="s">
        <v>1355</v>
      </c>
      <c r="D35" t="s">
        <v>1369</v>
      </c>
      <c r="E35" t="s">
        <v>1372</v>
      </c>
      <c r="N35" s="5"/>
    </row>
    <row r="36" spans="1:14" ht="14" customHeight="1">
      <c r="A36" t="s">
        <v>1397</v>
      </c>
      <c r="B36" s="4" t="s">
        <v>78</v>
      </c>
      <c r="C36" s="19" t="s">
        <v>1356</v>
      </c>
      <c r="D36" t="s">
        <v>1369</v>
      </c>
      <c r="E36" s="19" t="s">
        <v>1434</v>
      </c>
      <c r="N36" s="5"/>
    </row>
    <row r="37" spans="1:14" ht="14" customHeight="1">
      <c r="A37" t="s">
        <v>1398</v>
      </c>
      <c r="B37" s="4" t="s">
        <v>78</v>
      </c>
      <c r="C37" s="19" t="s">
        <v>1357</v>
      </c>
      <c r="D37" t="s">
        <v>1369</v>
      </c>
      <c r="E37" t="s">
        <v>1372</v>
      </c>
      <c r="N37" s="5"/>
    </row>
    <row r="38" spans="1:14" ht="14" customHeight="1">
      <c r="A38" t="s">
        <v>1399</v>
      </c>
      <c r="B38" s="4" t="s">
        <v>78</v>
      </c>
      <c r="C38" s="19" t="s">
        <v>1358</v>
      </c>
      <c r="D38" t="s">
        <v>1369</v>
      </c>
      <c r="E38" t="s">
        <v>1372</v>
      </c>
      <c r="N38" s="5"/>
    </row>
    <row r="39" spans="1:14" ht="14" customHeight="1">
      <c r="A39" t="s">
        <v>1400</v>
      </c>
      <c r="B39" s="4" t="s">
        <v>78</v>
      </c>
      <c r="C39" s="19" t="s">
        <v>1359</v>
      </c>
      <c r="D39" s="19" t="s">
        <v>1433</v>
      </c>
      <c r="E39" t="s">
        <v>1372</v>
      </c>
      <c r="N39" s="5"/>
    </row>
    <row r="40" spans="1:14" ht="14" customHeight="1">
      <c r="A40" t="s">
        <v>1401</v>
      </c>
      <c r="B40" s="4" t="s">
        <v>78</v>
      </c>
      <c r="C40" s="19" t="s">
        <v>1360</v>
      </c>
      <c r="D40" t="s">
        <v>1369</v>
      </c>
      <c r="E40" s="19" t="s">
        <v>1434</v>
      </c>
      <c r="N40" s="5"/>
    </row>
    <row r="41" spans="1:14" ht="14" customHeight="1">
      <c r="A41" t="s">
        <v>1402</v>
      </c>
      <c r="B41" s="4" t="s">
        <v>78</v>
      </c>
      <c r="C41" s="19" t="s">
        <v>1361</v>
      </c>
      <c r="D41" t="s">
        <v>1369</v>
      </c>
      <c r="E41" t="s">
        <v>1372</v>
      </c>
      <c r="N41" s="5"/>
    </row>
    <row r="42" spans="1:14" ht="14" customHeight="1">
      <c r="A42" t="s">
        <v>1403</v>
      </c>
      <c r="B42" s="4" t="s">
        <v>78</v>
      </c>
      <c r="C42" s="19" t="s">
        <v>1362</v>
      </c>
      <c r="D42" t="s">
        <v>1369</v>
      </c>
      <c r="E42" t="s">
        <v>1372</v>
      </c>
      <c r="N42" s="5"/>
    </row>
    <row r="43" spans="1:14" ht="14" customHeight="1">
      <c r="A43" t="s">
        <v>1404</v>
      </c>
      <c r="B43" s="4" t="s">
        <v>78</v>
      </c>
      <c r="C43" s="19" t="s">
        <v>1363</v>
      </c>
      <c r="D43" t="s">
        <v>1370</v>
      </c>
      <c r="E43" t="s">
        <v>1372</v>
      </c>
      <c r="N43" s="5"/>
    </row>
    <row r="44" spans="1:14" ht="14" customHeight="1">
      <c r="A44" t="s">
        <v>1405</v>
      </c>
      <c r="B44" s="4" t="s">
        <v>78</v>
      </c>
      <c r="C44" s="19" t="s">
        <v>1364</v>
      </c>
      <c r="D44" t="s">
        <v>1370</v>
      </c>
      <c r="E44" t="s">
        <v>1372</v>
      </c>
      <c r="N44" s="5"/>
    </row>
    <row r="45" spans="1:14" ht="14" customHeight="1">
      <c r="A45" t="s">
        <v>1406</v>
      </c>
      <c r="B45" s="4" t="s">
        <v>78</v>
      </c>
      <c r="C45" s="19" t="s">
        <v>1365</v>
      </c>
      <c r="D45" t="s">
        <v>1370</v>
      </c>
      <c r="E45" t="s">
        <v>1372</v>
      </c>
      <c r="N45" s="5"/>
    </row>
    <row r="46" spans="1:14" ht="14" customHeight="1">
      <c r="A46" t="s">
        <v>1407</v>
      </c>
      <c r="B46" s="4" t="s">
        <v>78</v>
      </c>
      <c r="C46" s="19" t="s">
        <v>1366</v>
      </c>
      <c r="D46" t="s">
        <v>1371</v>
      </c>
      <c r="E46" t="s">
        <v>1372</v>
      </c>
      <c r="N46" s="5"/>
    </row>
    <row r="47" spans="1:14" ht="14" customHeight="1">
      <c r="A47" t="s">
        <v>1408</v>
      </c>
      <c r="B47" s="4" t="s">
        <v>78</v>
      </c>
      <c r="C47" s="19" t="s">
        <v>1367</v>
      </c>
      <c r="D47" t="s">
        <v>1371</v>
      </c>
      <c r="E47" t="s">
        <v>1372</v>
      </c>
      <c r="N47" s="5"/>
    </row>
    <row r="48" spans="1:14" ht="14" customHeight="1">
      <c r="A48" t="s">
        <v>1409</v>
      </c>
      <c r="B48" s="4" t="s">
        <v>78</v>
      </c>
      <c r="C48" s="19" t="s">
        <v>1368</v>
      </c>
      <c r="D48" t="s">
        <v>1371</v>
      </c>
      <c r="E48" t="s">
        <v>1372</v>
      </c>
      <c r="N48" s="5"/>
    </row>
    <row r="49" spans="1:14">
      <c r="A49" t="s">
        <v>1486</v>
      </c>
      <c r="B49" t="s">
        <v>78</v>
      </c>
      <c r="C49" s="19" t="s">
        <v>1479</v>
      </c>
      <c r="D49" t="s">
        <v>1371</v>
      </c>
      <c r="E49" t="s">
        <v>1372</v>
      </c>
      <c r="F49" s="2"/>
      <c r="G49" s="2"/>
      <c r="H49" s="2"/>
    </row>
    <row r="50" spans="1:14">
      <c r="A50" t="s">
        <v>1487</v>
      </c>
      <c r="B50" t="s">
        <v>78</v>
      </c>
      <c r="C50" s="19" t="s">
        <v>1476</v>
      </c>
      <c r="D50" s="19" t="s">
        <v>1477</v>
      </c>
      <c r="E50" s="19" t="s">
        <v>1478</v>
      </c>
      <c r="F50" s="2"/>
      <c r="G50" s="2"/>
      <c r="H50" s="2"/>
    </row>
    <row r="51" spans="1:14">
      <c r="A51" t="s">
        <v>1488</v>
      </c>
      <c r="B51" t="s">
        <v>78</v>
      </c>
      <c r="C51" s="19" t="s">
        <v>1437</v>
      </c>
      <c r="D51" s="2"/>
      <c r="E51" s="18" t="s">
        <v>1436</v>
      </c>
      <c r="F51" s="2"/>
      <c r="G51" s="2"/>
      <c r="H51" s="2"/>
    </row>
    <row r="52" spans="1:14">
      <c r="A52" t="s">
        <v>1489</v>
      </c>
      <c r="B52" t="s">
        <v>78</v>
      </c>
      <c r="C52" s="19" t="s">
        <v>1438</v>
      </c>
      <c r="D52" s="2"/>
      <c r="E52" s="18" t="s">
        <v>1436</v>
      </c>
      <c r="F52" s="2"/>
      <c r="G52" s="2"/>
      <c r="H52" s="2"/>
    </row>
    <row r="53" spans="1:14">
      <c r="A53" t="s">
        <v>1490</v>
      </c>
      <c r="B53" t="s">
        <v>78</v>
      </c>
      <c r="C53" s="19" t="s">
        <v>1439</v>
      </c>
      <c r="D53" s="2"/>
      <c r="E53" s="18" t="s">
        <v>1436</v>
      </c>
      <c r="F53" s="2"/>
      <c r="G53" s="2"/>
      <c r="H53" s="2"/>
    </row>
    <row r="54" spans="1:14">
      <c r="A54" t="s">
        <v>1491</v>
      </c>
      <c r="B54" t="s">
        <v>78</v>
      </c>
      <c r="C54" s="19" t="s">
        <v>1440</v>
      </c>
      <c r="D54" s="2"/>
      <c r="E54" s="18" t="s">
        <v>1436</v>
      </c>
      <c r="F54" s="2"/>
      <c r="G54" s="2"/>
      <c r="H54" s="2"/>
    </row>
    <row r="55" spans="1:14" ht="14" customHeight="1">
      <c r="A55" t="s">
        <v>1492</v>
      </c>
      <c r="B55" t="s">
        <v>78</v>
      </c>
      <c r="C55" s="19" t="s">
        <v>1463</v>
      </c>
      <c r="D55" t="s">
        <v>1103</v>
      </c>
      <c r="E55" t="s">
        <v>151</v>
      </c>
      <c r="F55" s="19" t="s">
        <v>1467</v>
      </c>
      <c r="G55" s="19" t="s">
        <v>1468</v>
      </c>
      <c r="H55" t="s">
        <v>85</v>
      </c>
      <c r="I55" s="12" t="s">
        <v>1106</v>
      </c>
      <c r="J55" t="s">
        <v>781</v>
      </c>
      <c r="L55" t="s">
        <v>1107</v>
      </c>
      <c r="N55" s="5" t="s">
        <v>1108</v>
      </c>
    </row>
    <row r="56" spans="1:14" ht="14" customHeight="1">
      <c r="A56" t="s">
        <v>1493</v>
      </c>
      <c r="B56" t="s">
        <v>78</v>
      </c>
      <c r="C56" s="19" t="s">
        <v>1464</v>
      </c>
      <c r="D56" t="s">
        <v>1103</v>
      </c>
      <c r="E56" t="s">
        <v>151</v>
      </c>
      <c r="F56" s="19" t="s">
        <v>1469</v>
      </c>
      <c r="G56" s="19" t="s">
        <v>1470</v>
      </c>
      <c r="H56" t="s">
        <v>85</v>
      </c>
      <c r="I56" s="12" t="s">
        <v>1106</v>
      </c>
      <c r="J56" t="s">
        <v>781</v>
      </c>
      <c r="L56" t="s">
        <v>1107</v>
      </c>
      <c r="N56" s="5" t="s">
        <v>1108</v>
      </c>
    </row>
    <row r="57" spans="1:14">
      <c r="A57" t="s">
        <v>1494</v>
      </c>
      <c r="B57" t="s">
        <v>78</v>
      </c>
      <c r="C57" s="19" t="s">
        <v>1465</v>
      </c>
      <c r="D57" t="s">
        <v>1103</v>
      </c>
      <c r="E57" t="s">
        <v>151</v>
      </c>
      <c r="F57" s="19" t="s">
        <v>1471</v>
      </c>
      <c r="G57" s="19" t="s">
        <v>1473</v>
      </c>
      <c r="H57" s="2"/>
    </row>
    <row r="58" spans="1:14">
      <c r="A58" t="s">
        <v>1495</v>
      </c>
      <c r="B58" t="s">
        <v>78</v>
      </c>
      <c r="C58" s="19" t="s">
        <v>1466</v>
      </c>
      <c r="D58" t="s">
        <v>1103</v>
      </c>
      <c r="E58" t="s">
        <v>151</v>
      </c>
      <c r="F58" s="19" t="s">
        <v>1472</v>
      </c>
      <c r="G58" s="19" t="s">
        <v>1474</v>
      </c>
      <c r="H58" s="2"/>
    </row>
    <row r="59" spans="1:14">
      <c r="A59" t="s">
        <v>1496</v>
      </c>
      <c r="B59" t="s">
        <v>78</v>
      </c>
      <c r="C59" s="19" t="s">
        <v>1480</v>
      </c>
      <c r="D59" s="19" t="s">
        <v>1475</v>
      </c>
      <c r="E59" t="s">
        <v>151</v>
      </c>
      <c r="F59" s="19" t="s">
        <v>1484</v>
      </c>
      <c r="G59" s="19" t="s">
        <v>1485</v>
      </c>
      <c r="H59" s="2"/>
    </row>
    <row r="60" spans="1:14">
      <c r="A60" t="s">
        <v>1497</v>
      </c>
      <c r="B60" t="s">
        <v>78</v>
      </c>
      <c r="C60" s="19" t="s">
        <v>1481</v>
      </c>
      <c r="D60" s="19" t="s">
        <v>1475</v>
      </c>
      <c r="E60" t="s">
        <v>151</v>
      </c>
      <c r="F60" s="19" t="s">
        <v>1482</v>
      </c>
      <c r="G60" s="2" t="s">
        <v>1483</v>
      </c>
      <c r="H60" s="2"/>
    </row>
    <row r="61" spans="1:14" ht="14" customHeight="1">
      <c r="A61" s="19" t="s">
        <v>1331</v>
      </c>
      <c r="B61" s="4" t="s">
        <v>281</v>
      </c>
      <c r="C61" t="s">
        <v>79</v>
      </c>
      <c r="D61" t="s">
        <v>1129</v>
      </c>
      <c r="E61" t="s">
        <v>282</v>
      </c>
      <c r="F61" t="s">
        <v>283</v>
      </c>
      <c r="G61" t="s">
        <v>1130</v>
      </c>
      <c r="H61" t="s">
        <v>85</v>
      </c>
      <c r="I61" t="s">
        <v>1131</v>
      </c>
      <c r="J61" t="s">
        <v>781</v>
      </c>
      <c r="L61" t="s">
        <v>1132</v>
      </c>
      <c r="M61" t="s">
        <v>1173</v>
      </c>
      <c r="N61" s="5" t="s">
        <v>1174</v>
      </c>
    </row>
    <row r="62" spans="1:14" ht="14" customHeight="1">
      <c r="A62" s="19" t="s">
        <v>287</v>
      </c>
      <c r="B62" s="4" t="s">
        <v>281</v>
      </c>
      <c r="C62" t="s">
        <v>103</v>
      </c>
      <c r="D62" t="s">
        <v>1129</v>
      </c>
      <c r="E62" t="s">
        <v>282</v>
      </c>
      <c r="F62" t="s">
        <v>104</v>
      </c>
      <c r="G62" t="s">
        <v>1135</v>
      </c>
      <c r="H62" t="s">
        <v>85</v>
      </c>
      <c r="I62" t="s">
        <v>1136</v>
      </c>
      <c r="J62" t="s">
        <v>781</v>
      </c>
      <c r="L62" t="s">
        <v>1132</v>
      </c>
      <c r="M62" t="s">
        <v>1173</v>
      </c>
      <c r="N62" s="5" t="s">
        <v>1174</v>
      </c>
    </row>
    <row r="63" spans="1:14" ht="14" customHeight="1">
      <c r="A63" s="19" t="s">
        <v>289</v>
      </c>
      <c r="B63" s="4" t="s">
        <v>281</v>
      </c>
      <c r="C63" t="s">
        <v>123</v>
      </c>
      <c r="D63" t="s">
        <v>1137</v>
      </c>
      <c r="E63" t="s">
        <v>282</v>
      </c>
      <c r="F63" t="s">
        <v>290</v>
      </c>
      <c r="G63" t="s">
        <v>1138</v>
      </c>
      <c r="H63" t="s">
        <v>85</v>
      </c>
      <c r="I63" t="s">
        <v>789</v>
      </c>
      <c r="J63" t="s">
        <v>781</v>
      </c>
      <c r="L63" t="s">
        <v>1121</v>
      </c>
      <c r="M63" t="s">
        <v>1173</v>
      </c>
      <c r="N63" s="5" t="s">
        <v>1175</v>
      </c>
    </row>
    <row r="64" spans="1:14" ht="14" customHeight="1">
      <c r="A64" s="19" t="s">
        <v>293</v>
      </c>
      <c r="B64" s="4" t="s">
        <v>281</v>
      </c>
      <c r="C64" t="s">
        <v>294</v>
      </c>
      <c r="D64" t="s">
        <v>1176</v>
      </c>
      <c r="E64" t="s">
        <v>282</v>
      </c>
      <c r="F64" t="s">
        <v>130</v>
      </c>
      <c r="G64" t="s">
        <v>1141</v>
      </c>
      <c r="H64" t="s">
        <v>85</v>
      </c>
      <c r="I64" t="s">
        <v>795</v>
      </c>
      <c r="J64" t="s">
        <v>794</v>
      </c>
      <c r="L64" t="s">
        <v>1145</v>
      </c>
      <c r="M64" t="s">
        <v>1173</v>
      </c>
      <c r="N64" s="5" t="s">
        <v>1177</v>
      </c>
    </row>
    <row r="65" spans="1:14" ht="14" customHeight="1">
      <c r="A65" s="19" t="s">
        <v>297</v>
      </c>
      <c r="B65" s="4" t="s">
        <v>281</v>
      </c>
      <c r="C65" t="s">
        <v>144</v>
      </c>
      <c r="D65" t="s">
        <v>1143</v>
      </c>
      <c r="E65" t="s">
        <v>282</v>
      </c>
      <c r="F65" t="s">
        <v>145</v>
      </c>
      <c r="G65" t="s">
        <v>1144</v>
      </c>
      <c r="H65" t="s">
        <v>85</v>
      </c>
      <c r="I65" t="s">
        <v>795</v>
      </c>
      <c r="J65" t="s">
        <v>794</v>
      </c>
      <c r="L65" t="s">
        <v>1145</v>
      </c>
      <c r="M65" t="s">
        <v>1173</v>
      </c>
      <c r="N65" s="5" t="s">
        <v>1177</v>
      </c>
    </row>
    <row r="66" spans="1:14" ht="14" customHeight="1">
      <c r="A66" s="19" t="s">
        <v>298</v>
      </c>
      <c r="B66" s="4" t="s">
        <v>281</v>
      </c>
      <c r="C66" s="19" t="s">
        <v>1346</v>
      </c>
      <c r="D66" t="s">
        <v>1129</v>
      </c>
      <c r="E66" t="s">
        <v>282</v>
      </c>
      <c r="N66" s="5"/>
    </row>
    <row r="67" spans="1:14" ht="14" customHeight="1">
      <c r="A67" s="19" t="s">
        <v>313</v>
      </c>
      <c r="B67" s="4" t="s">
        <v>281</v>
      </c>
      <c r="C67" s="19" t="s">
        <v>1324</v>
      </c>
      <c r="D67" t="s">
        <v>1129</v>
      </c>
      <c r="E67" t="s">
        <v>282</v>
      </c>
      <c r="N67" s="5"/>
    </row>
    <row r="68" spans="1:14" ht="14" customHeight="1">
      <c r="A68" s="19" t="s">
        <v>317</v>
      </c>
      <c r="B68" s="4" t="s">
        <v>281</v>
      </c>
      <c r="C68" s="19" t="s">
        <v>1345</v>
      </c>
      <c r="D68" s="19"/>
      <c r="E68" t="s">
        <v>282</v>
      </c>
      <c r="N68" s="5"/>
    </row>
    <row r="69" spans="1:14" ht="14" customHeight="1">
      <c r="A69" s="19" t="s">
        <v>321</v>
      </c>
      <c r="B69" s="4" t="s">
        <v>281</v>
      </c>
      <c r="C69" t="s">
        <v>299</v>
      </c>
      <c r="D69" t="s">
        <v>439</v>
      </c>
      <c r="E69" t="s">
        <v>300</v>
      </c>
      <c r="F69" t="s">
        <v>301</v>
      </c>
      <c r="G69" t="s">
        <v>1178</v>
      </c>
      <c r="H69" t="s">
        <v>85</v>
      </c>
      <c r="I69" t="s">
        <v>1179</v>
      </c>
      <c r="J69" t="s">
        <v>1180</v>
      </c>
      <c r="K69" t="s">
        <v>1181</v>
      </c>
      <c r="L69" t="s">
        <v>1121</v>
      </c>
      <c r="M69" t="s">
        <v>1173</v>
      </c>
      <c r="N69" s="5" t="s">
        <v>1175</v>
      </c>
    </row>
    <row r="70" spans="1:14" ht="14" customHeight="1">
      <c r="A70" s="19" t="s">
        <v>325</v>
      </c>
      <c r="B70" s="4" t="s">
        <v>281</v>
      </c>
      <c r="C70" t="s">
        <v>314</v>
      </c>
      <c r="D70" t="s">
        <v>439</v>
      </c>
      <c r="E70" t="s">
        <v>300</v>
      </c>
      <c r="F70" t="s">
        <v>315</v>
      </c>
      <c r="G70" t="s">
        <v>1182</v>
      </c>
      <c r="H70" t="s">
        <v>85</v>
      </c>
      <c r="I70" t="s">
        <v>1179</v>
      </c>
      <c r="J70" t="s">
        <v>1180</v>
      </c>
      <c r="K70" t="s">
        <v>1181</v>
      </c>
      <c r="L70" t="s">
        <v>1121</v>
      </c>
      <c r="M70" t="s">
        <v>1173</v>
      </c>
      <c r="N70" s="5" t="s">
        <v>1175</v>
      </c>
    </row>
    <row r="71" spans="1:14" ht="14" customHeight="1">
      <c r="A71" s="19" t="s">
        <v>329</v>
      </c>
      <c r="B71" s="4" t="s">
        <v>281</v>
      </c>
      <c r="C71" t="s">
        <v>318</v>
      </c>
      <c r="D71" t="s">
        <v>439</v>
      </c>
      <c r="E71" t="s">
        <v>300</v>
      </c>
      <c r="F71" t="s">
        <v>319</v>
      </c>
      <c r="G71" t="s">
        <v>1183</v>
      </c>
      <c r="H71" t="s">
        <v>85</v>
      </c>
      <c r="I71" t="s">
        <v>1179</v>
      </c>
      <c r="J71" t="s">
        <v>1180</v>
      </c>
      <c r="K71" t="s">
        <v>1181</v>
      </c>
      <c r="L71" t="s">
        <v>1121</v>
      </c>
      <c r="M71" t="s">
        <v>1173</v>
      </c>
      <c r="N71" s="5" t="s">
        <v>1175</v>
      </c>
    </row>
    <row r="72" spans="1:14" ht="14" customHeight="1">
      <c r="A72" s="19" t="s">
        <v>335</v>
      </c>
      <c r="B72" s="4" t="s">
        <v>281</v>
      </c>
      <c r="C72" t="s">
        <v>322</v>
      </c>
      <c r="D72" t="s">
        <v>439</v>
      </c>
      <c r="E72" t="s">
        <v>300</v>
      </c>
      <c r="F72" t="s">
        <v>323</v>
      </c>
      <c r="G72" t="s">
        <v>1184</v>
      </c>
      <c r="H72" t="s">
        <v>85</v>
      </c>
      <c r="I72" t="s">
        <v>1179</v>
      </c>
      <c r="J72" t="s">
        <v>1180</v>
      </c>
      <c r="K72" t="s">
        <v>1181</v>
      </c>
      <c r="L72" t="s">
        <v>1121</v>
      </c>
      <c r="M72" t="s">
        <v>1173</v>
      </c>
      <c r="N72" s="5" t="s">
        <v>1174</v>
      </c>
    </row>
    <row r="73" spans="1:14" ht="14" customHeight="1">
      <c r="A73" s="19" t="s">
        <v>342</v>
      </c>
      <c r="B73" s="4" t="s">
        <v>281</v>
      </c>
      <c r="C73" t="s">
        <v>326</v>
      </c>
      <c r="D73" t="s">
        <v>439</v>
      </c>
      <c r="E73" t="s">
        <v>300</v>
      </c>
      <c r="F73" t="s">
        <v>327</v>
      </c>
      <c r="G73" t="s">
        <v>1185</v>
      </c>
      <c r="H73" t="s">
        <v>85</v>
      </c>
      <c r="I73" t="s">
        <v>1179</v>
      </c>
      <c r="J73" t="s">
        <v>1180</v>
      </c>
      <c r="K73" t="s">
        <v>1181</v>
      </c>
      <c r="L73" t="s">
        <v>1121</v>
      </c>
      <c r="M73" t="s">
        <v>1173</v>
      </c>
      <c r="N73" s="5" t="s">
        <v>1175</v>
      </c>
    </row>
    <row r="74" spans="1:14" ht="14" customHeight="1">
      <c r="A74" s="19" t="s">
        <v>346</v>
      </c>
      <c r="B74" s="4" t="s">
        <v>281</v>
      </c>
      <c r="C74" t="s">
        <v>330</v>
      </c>
      <c r="D74" t="s">
        <v>439</v>
      </c>
      <c r="E74" t="s">
        <v>300</v>
      </c>
      <c r="F74" t="s">
        <v>331</v>
      </c>
      <c r="G74" t="s">
        <v>1186</v>
      </c>
      <c r="H74" t="s">
        <v>85</v>
      </c>
      <c r="I74" t="s">
        <v>1179</v>
      </c>
      <c r="J74" t="s">
        <v>1180</v>
      </c>
      <c r="K74" t="s">
        <v>1181</v>
      </c>
      <c r="L74" t="s">
        <v>1121</v>
      </c>
      <c r="M74" t="s">
        <v>1173</v>
      </c>
      <c r="N74" s="5" t="s">
        <v>1174</v>
      </c>
    </row>
    <row r="75" spans="1:14" ht="14" customHeight="1">
      <c r="A75" s="19" t="s">
        <v>348</v>
      </c>
      <c r="B75" s="4" t="s">
        <v>281</v>
      </c>
      <c r="C75" t="s">
        <v>336</v>
      </c>
      <c r="D75" t="s">
        <v>439</v>
      </c>
      <c r="E75" t="s">
        <v>337</v>
      </c>
      <c r="F75" t="s">
        <v>338</v>
      </c>
      <c r="G75" t="s">
        <v>1187</v>
      </c>
      <c r="H75" t="s">
        <v>85</v>
      </c>
      <c r="I75" t="s">
        <v>1179</v>
      </c>
      <c r="J75" t="s">
        <v>1180</v>
      </c>
      <c r="K75" t="s">
        <v>1181</v>
      </c>
      <c r="L75" t="s">
        <v>1121</v>
      </c>
      <c r="M75" t="s">
        <v>1173</v>
      </c>
      <c r="N75" s="5" t="s">
        <v>1175</v>
      </c>
    </row>
    <row r="76" spans="1:14" ht="14" customHeight="1">
      <c r="A76" s="19" t="s">
        <v>1410</v>
      </c>
      <c r="B76" s="4" t="s">
        <v>281</v>
      </c>
      <c r="C76" t="s">
        <v>343</v>
      </c>
      <c r="D76" t="s">
        <v>439</v>
      </c>
      <c r="E76" t="s">
        <v>337</v>
      </c>
      <c r="F76" t="s">
        <v>344</v>
      </c>
      <c r="G76" t="s">
        <v>1188</v>
      </c>
      <c r="H76" t="s">
        <v>85</v>
      </c>
      <c r="I76" t="s">
        <v>1179</v>
      </c>
      <c r="J76" t="s">
        <v>1180</v>
      </c>
      <c r="K76" t="s">
        <v>1181</v>
      </c>
      <c r="L76" t="s">
        <v>1121</v>
      </c>
      <c r="M76" t="s">
        <v>1173</v>
      </c>
      <c r="N76" s="5" t="s">
        <v>1174</v>
      </c>
    </row>
    <row r="77" spans="1:14" ht="14" customHeight="1">
      <c r="A77" s="19" t="s">
        <v>1411</v>
      </c>
      <c r="B77" s="4" t="s">
        <v>281</v>
      </c>
      <c r="C77" t="s">
        <v>347</v>
      </c>
      <c r="D77" t="s">
        <v>439</v>
      </c>
      <c r="E77" t="s">
        <v>337</v>
      </c>
      <c r="F77" t="s">
        <v>331</v>
      </c>
      <c r="G77" t="s">
        <v>1186</v>
      </c>
      <c r="H77" t="s">
        <v>85</v>
      </c>
      <c r="I77" t="s">
        <v>1179</v>
      </c>
      <c r="J77" t="s">
        <v>1180</v>
      </c>
      <c r="K77" t="s">
        <v>1181</v>
      </c>
      <c r="L77" t="s">
        <v>1121</v>
      </c>
      <c r="M77" t="s">
        <v>1173</v>
      </c>
      <c r="N77" s="5" t="s">
        <v>1174</v>
      </c>
    </row>
    <row r="78" spans="1:14" ht="14" customHeight="1">
      <c r="A78" s="19" t="s">
        <v>1412</v>
      </c>
      <c r="B78" s="4" t="s">
        <v>281</v>
      </c>
      <c r="C78" t="s">
        <v>349</v>
      </c>
      <c r="D78" t="s">
        <v>439</v>
      </c>
      <c r="E78" t="s">
        <v>337</v>
      </c>
      <c r="F78" t="s">
        <v>350</v>
      </c>
      <c r="G78" t="s">
        <v>1189</v>
      </c>
      <c r="H78" t="s">
        <v>85</v>
      </c>
      <c r="I78" t="s">
        <v>1179</v>
      </c>
      <c r="J78" t="s">
        <v>1180</v>
      </c>
      <c r="K78" t="s">
        <v>1181</v>
      </c>
      <c r="L78" t="s">
        <v>1121</v>
      </c>
      <c r="M78" t="s">
        <v>1173</v>
      </c>
      <c r="N78" s="5" t="s">
        <v>1175</v>
      </c>
    </row>
    <row r="79" spans="1:14" ht="14" customHeight="1">
      <c r="A79" t="s">
        <v>357</v>
      </c>
      <c r="B79" s="4" t="s">
        <v>358</v>
      </c>
      <c r="C79" t="s">
        <v>359</v>
      </c>
      <c r="D79" t="s">
        <v>1190</v>
      </c>
      <c r="E79" t="s">
        <v>360</v>
      </c>
      <c r="F79" t="s">
        <v>361</v>
      </c>
      <c r="G79" t="s">
        <v>1191</v>
      </c>
      <c r="H79" t="s">
        <v>85</v>
      </c>
      <c r="I79" t="s">
        <v>874</v>
      </c>
      <c r="J79" t="s">
        <v>781</v>
      </c>
      <c r="L79" t="s">
        <v>1149</v>
      </c>
      <c r="M79" t="s">
        <v>1192</v>
      </c>
      <c r="N79" s="5" t="s">
        <v>1193</v>
      </c>
    </row>
    <row r="80" spans="1:14" ht="14" customHeight="1">
      <c r="A80" t="s">
        <v>370</v>
      </c>
      <c r="B80" s="4" t="s">
        <v>358</v>
      </c>
      <c r="C80" t="s">
        <v>371</v>
      </c>
      <c r="D80" t="s">
        <v>1190</v>
      </c>
      <c r="E80" t="s">
        <v>360</v>
      </c>
      <c r="F80" t="s">
        <v>372</v>
      </c>
      <c r="G80" t="s">
        <v>373</v>
      </c>
      <c r="H80" t="s">
        <v>85</v>
      </c>
      <c r="I80" t="s">
        <v>1194</v>
      </c>
      <c r="J80" t="s">
        <v>781</v>
      </c>
      <c r="L80" t="s">
        <v>1149</v>
      </c>
      <c r="M80" t="s">
        <v>1192</v>
      </c>
      <c r="N80" s="5" t="s">
        <v>1195</v>
      </c>
    </row>
    <row r="81" spans="1:14" ht="14" customHeight="1">
      <c r="A81" t="s">
        <v>375</v>
      </c>
      <c r="B81" s="4" t="s">
        <v>358</v>
      </c>
      <c r="C81" t="s">
        <v>376</v>
      </c>
      <c r="D81" t="s">
        <v>1190</v>
      </c>
      <c r="E81" t="s">
        <v>360</v>
      </c>
      <c r="F81" t="s">
        <v>377</v>
      </c>
      <c r="G81" s="8" t="s">
        <v>378</v>
      </c>
      <c r="H81" t="s">
        <v>85</v>
      </c>
      <c r="I81" t="s">
        <v>1194</v>
      </c>
      <c r="J81" t="s">
        <v>781</v>
      </c>
      <c r="L81" t="s">
        <v>1149</v>
      </c>
      <c r="M81" t="s">
        <v>1192</v>
      </c>
      <c r="N81" s="5" t="s">
        <v>1193</v>
      </c>
    </row>
    <row r="82" spans="1:14" ht="14" customHeight="1">
      <c r="A82" t="s">
        <v>380</v>
      </c>
      <c r="B82" s="4" t="s">
        <v>358</v>
      </c>
      <c r="C82" s="19" t="s">
        <v>1435</v>
      </c>
      <c r="D82" t="s">
        <v>1190</v>
      </c>
      <c r="E82" t="s">
        <v>360</v>
      </c>
      <c r="F82" t="s">
        <v>382</v>
      </c>
      <c r="G82" t="s">
        <v>165</v>
      </c>
      <c r="H82" t="s">
        <v>85</v>
      </c>
      <c r="I82" t="s">
        <v>1194</v>
      </c>
      <c r="J82" t="s">
        <v>781</v>
      </c>
      <c r="L82" t="s">
        <v>1149</v>
      </c>
      <c r="M82" t="s">
        <v>1192</v>
      </c>
      <c r="N82" s="5" t="s">
        <v>1193</v>
      </c>
    </row>
    <row r="83" spans="1:14" ht="14" customHeight="1">
      <c r="A83" t="s">
        <v>384</v>
      </c>
      <c r="B83" s="4" t="s">
        <v>358</v>
      </c>
      <c r="C83" t="s">
        <v>385</v>
      </c>
      <c r="E83" t="s">
        <v>394</v>
      </c>
      <c r="F83" t="s">
        <v>387</v>
      </c>
      <c r="G83" s="8" t="s">
        <v>1196</v>
      </c>
      <c r="H83" t="s">
        <v>154</v>
      </c>
      <c r="I83" t="s">
        <v>887</v>
      </c>
      <c r="J83" t="s">
        <v>781</v>
      </c>
      <c r="L83" t="s">
        <v>1121</v>
      </c>
      <c r="M83" t="s">
        <v>1122</v>
      </c>
      <c r="N83" s="5" t="s">
        <v>1123</v>
      </c>
    </row>
    <row r="84" spans="1:14" ht="14" customHeight="1">
      <c r="A84" t="s">
        <v>395</v>
      </c>
      <c r="B84" s="4" t="s">
        <v>358</v>
      </c>
      <c r="C84" t="s">
        <v>396</v>
      </c>
      <c r="E84" t="s">
        <v>394</v>
      </c>
      <c r="F84" t="s">
        <v>397</v>
      </c>
      <c r="G84" t="s">
        <v>1197</v>
      </c>
      <c r="H84" t="s">
        <v>154</v>
      </c>
      <c r="I84" t="s">
        <v>887</v>
      </c>
      <c r="J84" t="s">
        <v>781</v>
      </c>
      <c r="L84" t="s">
        <v>1121</v>
      </c>
      <c r="M84" t="s">
        <v>1122</v>
      </c>
      <c r="N84" s="5" t="s">
        <v>1198</v>
      </c>
    </row>
    <row r="85" spans="1:14" ht="14" customHeight="1">
      <c r="A85" t="s">
        <v>399</v>
      </c>
      <c r="B85" s="4" t="s">
        <v>358</v>
      </c>
      <c r="C85" s="19" t="s">
        <v>1374</v>
      </c>
      <c r="D85" s="19" t="s">
        <v>1321</v>
      </c>
      <c r="E85" t="s">
        <v>386</v>
      </c>
      <c r="F85" t="s">
        <v>401</v>
      </c>
      <c r="G85" s="19" t="s">
        <v>1282</v>
      </c>
      <c r="H85" t="s">
        <v>154</v>
      </c>
      <c r="I85" t="s">
        <v>1120</v>
      </c>
      <c r="J85" t="s">
        <v>781</v>
      </c>
      <c r="L85" t="s">
        <v>1121</v>
      </c>
      <c r="M85" t="s">
        <v>1122</v>
      </c>
      <c r="N85" s="5" t="s">
        <v>1123</v>
      </c>
    </row>
    <row r="86" spans="1:14" ht="14" customHeight="1">
      <c r="A86" t="s">
        <v>404</v>
      </c>
      <c r="B86" s="4" t="s">
        <v>358</v>
      </c>
      <c r="C86" s="19" t="s">
        <v>1281</v>
      </c>
      <c r="D86" s="19" t="s">
        <v>1321</v>
      </c>
      <c r="E86" t="s">
        <v>386</v>
      </c>
      <c r="F86" t="s">
        <v>401</v>
      </c>
      <c r="G86" s="19" t="s">
        <v>1282</v>
      </c>
      <c r="H86" t="s">
        <v>154</v>
      </c>
      <c r="I86" t="s">
        <v>1120</v>
      </c>
      <c r="J86" t="s">
        <v>781</v>
      </c>
      <c r="L86" t="s">
        <v>1121</v>
      </c>
      <c r="M86" t="s">
        <v>1122</v>
      </c>
      <c r="N86" s="5" t="s">
        <v>1123</v>
      </c>
    </row>
    <row r="87" spans="1:14" ht="14" customHeight="1">
      <c r="A87" t="s">
        <v>410</v>
      </c>
      <c r="B87" s="4" t="s">
        <v>358</v>
      </c>
      <c r="C87" t="s">
        <v>1199</v>
      </c>
      <c r="E87" t="s">
        <v>394</v>
      </c>
      <c r="F87" t="s">
        <v>406</v>
      </c>
      <c r="G87" t="s">
        <v>895</v>
      </c>
      <c r="H87" t="s">
        <v>154</v>
      </c>
      <c r="I87" s="9" t="s">
        <v>1200</v>
      </c>
      <c r="J87" t="s">
        <v>781</v>
      </c>
      <c r="L87" t="s">
        <v>1121</v>
      </c>
      <c r="M87" t="s">
        <v>1201</v>
      </c>
      <c r="N87" s="5" t="s">
        <v>1123</v>
      </c>
    </row>
    <row r="88" spans="1:14" ht="14" customHeight="1">
      <c r="A88" t="s">
        <v>418</v>
      </c>
      <c r="B88" s="4" t="s">
        <v>358</v>
      </c>
      <c r="C88" t="s">
        <v>411</v>
      </c>
      <c r="E88" t="s">
        <v>412</v>
      </c>
      <c r="F88" t="s">
        <v>413</v>
      </c>
      <c r="G88" t="s">
        <v>1202</v>
      </c>
      <c r="H88" t="s">
        <v>154</v>
      </c>
      <c r="I88" t="s">
        <v>899</v>
      </c>
      <c r="J88" t="s">
        <v>781</v>
      </c>
      <c r="L88" t="s">
        <v>1203</v>
      </c>
      <c r="M88" t="s">
        <v>1122</v>
      </c>
      <c r="N88" s="5" t="s">
        <v>1198</v>
      </c>
    </row>
    <row r="89" spans="1:14" ht="14" customHeight="1">
      <c r="A89" t="s">
        <v>424</v>
      </c>
      <c r="B89" s="4" t="s">
        <v>358</v>
      </c>
      <c r="C89" t="s">
        <v>1204</v>
      </c>
      <c r="E89" t="s">
        <v>412</v>
      </c>
      <c r="F89" t="s">
        <v>1205</v>
      </c>
      <c r="G89" t="s">
        <v>1206</v>
      </c>
      <c r="H89" t="s">
        <v>154</v>
      </c>
      <c r="I89" t="s">
        <v>903</v>
      </c>
      <c r="J89" t="s">
        <v>781</v>
      </c>
      <c r="L89" t="s">
        <v>1203</v>
      </c>
      <c r="M89" t="s">
        <v>1207</v>
      </c>
      <c r="N89" s="5" t="s">
        <v>1198</v>
      </c>
    </row>
    <row r="90" spans="1:14" ht="14" customHeight="1">
      <c r="A90" t="s">
        <v>432</v>
      </c>
      <c r="B90" s="4" t="s">
        <v>358</v>
      </c>
      <c r="C90" t="s">
        <v>425</v>
      </c>
      <c r="D90" t="s">
        <v>1208</v>
      </c>
      <c r="E90" t="s">
        <v>412</v>
      </c>
      <c r="F90" t="s">
        <v>426</v>
      </c>
      <c r="G90" s="10" t="s">
        <v>427</v>
      </c>
      <c r="H90" t="s">
        <v>154</v>
      </c>
      <c r="I90" t="s">
        <v>906</v>
      </c>
      <c r="J90" t="s">
        <v>781</v>
      </c>
      <c r="L90" t="s">
        <v>1203</v>
      </c>
      <c r="M90" t="s">
        <v>1122</v>
      </c>
      <c r="N90" s="5" t="s">
        <v>1198</v>
      </c>
    </row>
    <row r="91" spans="1:14" ht="14" customHeight="1">
      <c r="A91" t="s">
        <v>441</v>
      </c>
      <c r="B91" s="4" t="s">
        <v>358</v>
      </c>
      <c r="C91" t="s">
        <v>433</v>
      </c>
      <c r="E91" t="s">
        <v>412</v>
      </c>
      <c r="F91" t="s">
        <v>434</v>
      </c>
      <c r="G91" t="s">
        <v>435</v>
      </c>
      <c r="H91" t="s">
        <v>154</v>
      </c>
      <c r="I91" t="s">
        <v>909</v>
      </c>
      <c r="J91" t="s">
        <v>781</v>
      </c>
      <c r="L91" t="s">
        <v>1203</v>
      </c>
      <c r="M91" t="s">
        <v>1122</v>
      </c>
      <c r="N91" s="5" t="s">
        <v>1198</v>
      </c>
    </row>
    <row r="92" spans="1:14" ht="14" customHeight="1">
      <c r="A92" t="s">
        <v>449</v>
      </c>
      <c r="B92" s="4" t="s">
        <v>358</v>
      </c>
      <c r="C92" t="s">
        <v>442</v>
      </c>
      <c r="D92" t="s">
        <v>439</v>
      </c>
      <c r="E92" t="s">
        <v>443</v>
      </c>
      <c r="F92" t="s">
        <v>444</v>
      </c>
      <c r="G92" t="s">
        <v>1209</v>
      </c>
      <c r="H92" t="s">
        <v>154</v>
      </c>
      <c r="I92" t="s">
        <v>909</v>
      </c>
      <c r="J92" t="s">
        <v>781</v>
      </c>
      <c r="L92" t="s">
        <v>1203</v>
      </c>
      <c r="M92" t="s">
        <v>1122</v>
      </c>
      <c r="N92" s="5" t="s">
        <v>1198</v>
      </c>
    </row>
    <row r="93" spans="1:14" ht="14" customHeight="1">
      <c r="A93" t="s">
        <v>453</v>
      </c>
      <c r="B93" s="4" t="s">
        <v>358</v>
      </c>
      <c r="C93" t="s">
        <v>450</v>
      </c>
      <c r="D93" t="s">
        <v>439</v>
      </c>
      <c r="E93" t="s">
        <v>443</v>
      </c>
      <c r="F93" t="s">
        <v>451</v>
      </c>
      <c r="G93" t="s">
        <v>452</v>
      </c>
      <c r="H93" t="s">
        <v>154</v>
      </c>
      <c r="I93" t="s">
        <v>909</v>
      </c>
      <c r="J93" t="s">
        <v>781</v>
      </c>
      <c r="L93" t="s">
        <v>1203</v>
      </c>
      <c r="M93" t="s">
        <v>1122</v>
      </c>
      <c r="N93" s="5" t="s">
        <v>1198</v>
      </c>
    </row>
    <row r="94" spans="1:14" ht="14" customHeight="1">
      <c r="A94" t="s">
        <v>457</v>
      </c>
      <c r="B94" s="4" t="s">
        <v>358</v>
      </c>
      <c r="C94" t="s">
        <v>454</v>
      </c>
      <c r="D94" t="s">
        <v>439</v>
      </c>
      <c r="E94" t="s">
        <v>443</v>
      </c>
      <c r="F94" t="s">
        <v>455</v>
      </c>
      <c r="G94" t="s">
        <v>456</v>
      </c>
      <c r="H94" t="s">
        <v>154</v>
      </c>
      <c r="I94" t="s">
        <v>909</v>
      </c>
      <c r="J94" t="s">
        <v>781</v>
      </c>
      <c r="L94" t="s">
        <v>1203</v>
      </c>
      <c r="M94" t="s">
        <v>1122</v>
      </c>
      <c r="N94" s="5" t="s">
        <v>1198</v>
      </c>
    </row>
    <row r="95" spans="1:14" ht="14" customHeight="1">
      <c r="A95" t="s">
        <v>1413</v>
      </c>
      <c r="B95" s="4" t="s">
        <v>358</v>
      </c>
      <c r="C95" t="s">
        <v>458</v>
      </c>
      <c r="D95" t="s">
        <v>1210</v>
      </c>
      <c r="E95" t="s">
        <v>443</v>
      </c>
      <c r="F95" t="s">
        <v>459</v>
      </c>
      <c r="G95" t="s">
        <v>460</v>
      </c>
      <c r="H95" t="s">
        <v>154</v>
      </c>
      <c r="I95" t="s">
        <v>909</v>
      </c>
      <c r="J95" t="s">
        <v>781</v>
      </c>
      <c r="L95" t="s">
        <v>1203</v>
      </c>
      <c r="M95" t="s">
        <v>1122</v>
      </c>
      <c r="N95" s="5" t="s">
        <v>1198</v>
      </c>
    </row>
    <row r="96" spans="1:14" ht="14" customHeight="1">
      <c r="A96" t="s">
        <v>462</v>
      </c>
      <c r="B96" s="4" t="s">
        <v>463</v>
      </c>
      <c r="C96" t="s">
        <v>464</v>
      </c>
      <c r="D96" t="s">
        <v>1160</v>
      </c>
      <c r="E96" t="s">
        <v>465</v>
      </c>
      <c r="F96" t="s">
        <v>466</v>
      </c>
      <c r="G96" t="s">
        <v>467</v>
      </c>
      <c r="H96" t="s">
        <v>154</v>
      </c>
      <c r="I96" t="s">
        <v>920</v>
      </c>
      <c r="J96" t="s">
        <v>781</v>
      </c>
      <c r="L96" t="s">
        <v>1149</v>
      </c>
      <c r="M96" t="s">
        <v>1211</v>
      </c>
      <c r="N96" s="5" t="s">
        <v>1212</v>
      </c>
    </row>
    <row r="97" spans="1:14" ht="14" customHeight="1">
      <c r="A97" t="s">
        <v>473</v>
      </c>
      <c r="B97" s="4" t="s">
        <v>463</v>
      </c>
      <c r="C97" t="s">
        <v>474</v>
      </c>
      <c r="D97" t="s">
        <v>1160</v>
      </c>
      <c r="E97" t="s">
        <v>465</v>
      </c>
      <c r="F97" t="s">
        <v>475</v>
      </c>
      <c r="G97" t="s">
        <v>1213</v>
      </c>
      <c r="H97" t="s">
        <v>154</v>
      </c>
      <c r="I97" t="s">
        <v>920</v>
      </c>
      <c r="J97" t="s">
        <v>781</v>
      </c>
      <c r="L97" t="s">
        <v>1149</v>
      </c>
      <c r="M97" t="s">
        <v>1211</v>
      </c>
      <c r="N97" s="5" t="s">
        <v>1214</v>
      </c>
    </row>
    <row r="98" spans="1:14" ht="14" customHeight="1">
      <c r="A98" t="s">
        <v>478</v>
      </c>
      <c r="B98" s="4" t="s">
        <v>463</v>
      </c>
      <c r="C98" t="s">
        <v>479</v>
      </c>
      <c r="D98" t="s">
        <v>1160</v>
      </c>
      <c r="E98" t="s">
        <v>465</v>
      </c>
      <c r="F98" t="s">
        <v>480</v>
      </c>
      <c r="G98" t="s">
        <v>1213</v>
      </c>
      <c r="H98" t="s">
        <v>154</v>
      </c>
      <c r="I98" t="s">
        <v>920</v>
      </c>
      <c r="J98" t="s">
        <v>781</v>
      </c>
      <c r="L98" t="s">
        <v>1149</v>
      </c>
      <c r="M98" t="s">
        <v>1211</v>
      </c>
      <c r="N98" s="5" t="s">
        <v>1214</v>
      </c>
    </row>
    <row r="99" spans="1:14" ht="14" customHeight="1">
      <c r="A99" t="s">
        <v>482</v>
      </c>
      <c r="B99" s="4" t="s">
        <v>463</v>
      </c>
      <c r="C99" t="s">
        <v>483</v>
      </c>
      <c r="D99" t="s">
        <v>1160</v>
      </c>
      <c r="E99" t="s">
        <v>465</v>
      </c>
      <c r="F99" t="s">
        <v>928</v>
      </c>
      <c r="G99" t="s">
        <v>153</v>
      </c>
      <c r="H99" t="s">
        <v>154</v>
      </c>
      <c r="I99" t="s">
        <v>920</v>
      </c>
      <c r="J99" t="s">
        <v>781</v>
      </c>
      <c r="L99" t="s">
        <v>1149</v>
      </c>
      <c r="M99" t="s">
        <v>1211</v>
      </c>
      <c r="N99" s="5" t="s">
        <v>1215</v>
      </c>
    </row>
    <row r="100" spans="1:14" ht="14" customHeight="1">
      <c r="A100" t="s">
        <v>485</v>
      </c>
      <c r="B100" s="4" t="s">
        <v>463</v>
      </c>
      <c r="C100" t="s">
        <v>486</v>
      </c>
      <c r="D100" t="s">
        <v>1160</v>
      </c>
      <c r="E100" t="s">
        <v>487</v>
      </c>
      <c r="F100" t="s">
        <v>931</v>
      </c>
      <c r="G100" t="s">
        <v>153</v>
      </c>
      <c r="H100" t="s">
        <v>154</v>
      </c>
      <c r="I100" t="s">
        <v>920</v>
      </c>
      <c r="J100" t="s">
        <v>781</v>
      </c>
      <c r="L100" t="s">
        <v>1149</v>
      </c>
      <c r="M100" t="s">
        <v>1211</v>
      </c>
      <c r="N100" s="5" t="s">
        <v>1216</v>
      </c>
    </row>
    <row r="101" spans="1:14" ht="14" customHeight="1">
      <c r="A101" t="s">
        <v>489</v>
      </c>
      <c r="B101" s="4" t="s">
        <v>463</v>
      </c>
      <c r="C101" t="s">
        <v>490</v>
      </c>
      <c r="D101" t="s">
        <v>1160</v>
      </c>
      <c r="E101" t="s">
        <v>487</v>
      </c>
      <c r="F101" t="s">
        <v>933</v>
      </c>
      <c r="G101" t="s">
        <v>492</v>
      </c>
      <c r="H101" t="s">
        <v>154</v>
      </c>
      <c r="I101" t="s">
        <v>920</v>
      </c>
      <c r="J101" t="s">
        <v>781</v>
      </c>
      <c r="L101" t="s">
        <v>1149</v>
      </c>
      <c r="M101" t="s">
        <v>1211</v>
      </c>
      <c r="N101" s="5" t="s">
        <v>1212</v>
      </c>
    </row>
    <row r="102" spans="1:14" ht="14" customHeight="1">
      <c r="A102" t="s">
        <v>493</v>
      </c>
      <c r="B102" s="4" t="s">
        <v>463</v>
      </c>
      <c r="C102" t="s">
        <v>494</v>
      </c>
      <c r="D102" t="s">
        <v>1160</v>
      </c>
      <c r="E102" t="s">
        <v>487</v>
      </c>
      <c r="F102" t="s">
        <v>935</v>
      </c>
      <c r="G102" t="s">
        <v>496</v>
      </c>
      <c r="H102" t="s">
        <v>154</v>
      </c>
      <c r="I102" t="s">
        <v>920</v>
      </c>
      <c r="J102" t="s">
        <v>781</v>
      </c>
      <c r="L102" t="s">
        <v>1149</v>
      </c>
      <c r="M102" t="s">
        <v>1211</v>
      </c>
      <c r="N102" s="5" t="s">
        <v>1212</v>
      </c>
    </row>
    <row r="103" spans="1:14" ht="14" customHeight="1">
      <c r="A103" t="s">
        <v>497</v>
      </c>
      <c r="B103" s="4" t="s">
        <v>463</v>
      </c>
      <c r="C103" s="19" t="s">
        <v>1376</v>
      </c>
      <c r="D103" t="s">
        <v>1103</v>
      </c>
      <c r="E103" t="s">
        <v>508</v>
      </c>
      <c r="F103" s="19" t="s">
        <v>1423</v>
      </c>
      <c r="G103" t="s">
        <v>1218</v>
      </c>
      <c r="H103" t="s">
        <v>765</v>
      </c>
      <c r="I103" s="11" t="s">
        <v>1113</v>
      </c>
      <c r="J103" t="s">
        <v>1114</v>
      </c>
      <c r="L103" t="s">
        <v>1107</v>
      </c>
      <c r="M103" t="s">
        <v>1115</v>
      </c>
      <c r="N103" s="5" t="s">
        <v>1116</v>
      </c>
    </row>
    <row r="104" spans="1:14" ht="14" customHeight="1">
      <c r="A104" t="s">
        <v>506</v>
      </c>
      <c r="B104" s="4" t="s">
        <v>463</v>
      </c>
      <c r="C104" s="19" t="s">
        <v>1377</v>
      </c>
      <c r="D104" t="s">
        <v>1103</v>
      </c>
      <c r="E104" t="s">
        <v>508</v>
      </c>
      <c r="F104" s="19" t="s">
        <v>1424</v>
      </c>
      <c r="I104" s="11"/>
      <c r="N104" s="5"/>
    </row>
    <row r="105" spans="1:14" ht="14" customHeight="1">
      <c r="A105" t="s">
        <v>518</v>
      </c>
      <c r="B105" s="4" t="s">
        <v>463</v>
      </c>
      <c r="C105" s="19" t="s">
        <v>1378</v>
      </c>
      <c r="D105" t="s">
        <v>1103</v>
      </c>
      <c r="E105" t="s">
        <v>508</v>
      </c>
      <c r="F105" s="19" t="s">
        <v>1425</v>
      </c>
      <c r="I105" s="11"/>
      <c r="N105" s="5"/>
    </row>
    <row r="106" spans="1:14" ht="14" customHeight="1">
      <c r="A106" t="s">
        <v>524</v>
      </c>
      <c r="B106" s="4" t="s">
        <v>463</v>
      </c>
      <c r="C106" s="19" t="s">
        <v>1340</v>
      </c>
      <c r="D106" t="s">
        <v>1103</v>
      </c>
      <c r="E106" t="s">
        <v>508</v>
      </c>
      <c r="F106" s="19" t="s">
        <v>1426</v>
      </c>
      <c r="I106" s="11"/>
      <c r="N106" s="5"/>
    </row>
    <row r="107" spans="1:14" ht="14" customHeight="1">
      <c r="A107" t="s">
        <v>1414</v>
      </c>
      <c r="B107" s="4" t="s">
        <v>463</v>
      </c>
      <c r="C107" s="19" t="s">
        <v>1341</v>
      </c>
      <c r="D107" t="s">
        <v>1103</v>
      </c>
      <c r="E107" t="s">
        <v>508</v>
      </c>
      <c r="F107" s="19" t="s">
        <v>1427</v>
      </c>
      <c r="I107" s="11"/>
      <c r="N107" s="5"/>
    </row>
    <row r="108" spans="1:14" ht="14" customHeight="1">
      <c r="A108" t="s">
        <v>1415</v>
      </c>
      <c r="B108" s="4" t="s">
        <v>463</v>
      </c>
      <c r="C108" s="19" t="s">
        <v>1342</v>
      </c>
      <c r="D108" t="s">
        <v>1103</v>
      </c>
      <c r="E108" t="s">
        <v>508</v>
      </c>
      <c r="F108" s="19" t="s">
        <v>1428</v>
      </c>
      <c r="G108" t="s">
        <v>1219</v>
      </c>
      <c r="H108" t="s">
        <v>1220</v>
      </c>
      <c r="I108" t="s">
        <v>1221</v>
      </c>
      <c r="J108" t="s">
        <v>1114</v>
      </c>
      <c r="L108" t="s">
        <v>1107</v>
      </c>
      <c r="M108" t="s">
        <v>1115</v>
      </c>
      <c r="N108" s="5" t="s">
        <v>1116</v>
      </c>
    </row>
    <row r="109" spans="1:14" ht="14" customHeight="1">
      <c r="A109" t="s">
        <v>1416</v>
      </c>
      <c r="B109" s="4" t="s">
        <v>463</v>
      </c>
      <c r="C109" t="s">
        <v>525</v>
      </c>
      <c r="D109" t="s">
        <v>1103</v>
      </c>
      <c r="E109" t="s">
        <v>508</v>
      </c>
      <c r="F109" s="19" t="s">
        <v>1380</v>
      </c>
      <c r="G109" t="s">
        <v>528</v>
      </c>
      <c r="H109" t="s">
        <v>1220</v>
      </c>
      <c r="I109" s="2"/>
      <c r="J109" t="s">
        <v>781</v>
      </c>
      <c r="L109" t="s">
        <v>1107</v>
      </c>
      <c r="M109" t="s">
        <v>1115</v>
      </c>
      <c r="N109" s="5" t="s">
        <v>1116</v>
      </c>
    </row>
    <row r="110" spans="1:14" ht="14" customHeight="1">
      <c r="A110" t="s">
        <v>531</v>
      </c>
      <c r="B110" s="4" t="s">
        <v>532</v>
      </c>
      <c r="C110" t="s">
        <v>198</v>
      </c>
      <c r="D110" s="19" t="s">
        <v>1381</v>
      </c>
      <c r="E110" t="s">
        <v>533</v>
      </c>
      <c r="F110" t="s">
        <v>947</v>
      </c>
      <c r="G110" t="s">
        <v>201</v>
      </c>
      <c r="H110" t="s">
        <v>16</v>
      </c>
      <c r="I110" t="s">
        <v>535</v>
      </c>
      <c r="J110" t="s">
        <v>781</v>
      </c>
      <c r="L110" t="s">
        <v>1159</v>
      </c>
      <c r="M110" t="s">
        <v>1222</v>
      </c>
      <c r="N110" s="5" t="s">
        <v>1223</v>
      </c>
    </row>
    <row r="111" spans="1:14" ht="14" customHeight="1">
      <c r="A111" t="s">
        <v>542</v>
      </c>
      <c r="B111" s="4" t="s">
        <v>532</v>
      </c>
      <c r="C111" t="s">
        <v>543</v>
      </c>
      <c r="D111" s="19" t="s">
        <v>1381</v>
      </c>
      <c r="E111" t="s">
        <v>533</v>
      </c>
      <c r="F111" t="s">
        <v>951</v>
      </c>
      <c r="G111" t="s">
        <v>545</v>
      </c>
      <c r="H111" t="s">
        <v>16</v>
      </c>
      <c r="I111" t="s">
        <v>546</v>
      </c>
      <c r="J111" t="s">
        <v>781</v>
      </c>
      <c r="L111" t="s">
        <v>1159</v>
      </c>
      <c r="M111" t="s">
        <v>1222</v>
      </c>
      <c r="N111" s="5" t="s">
        <v>1223</v>
      </c>
    </row>
    <row r="112" spans="1:14" ht="14" customHeight="1">
      <c r="A112" t="s">
        <v>549</v>
      </c>
      <c r="B112" s="4" t="s">
        <v>532</v>
      </c>
      <c r="C112" t="s">
        <v>236</v>
      </c>
      <c r="D112" s="19" t="s">
        <v>1381</v>
      </c>
      <c r="E112" t="s">
        <v>533</v>
      </c>
      <c r="F112" t="s">
        <v>954</v>
      </c>
      <c r="G112" t="s">
        <v>551</v>
      </c>
      <c r="H112" t="s">
        <v>16</v>
      </c>
      <c r="I112" t="s">
        <v>546</v>
      </c>
      <c r="J112" t="s">
        <v>781</v>
      </c>
      <c r="L112" t="s">
        <v>1159</v>
      </c>
      <c r="M112" t="s">
        <v>1222</v>
      </c>
      <c r="N112" s="5" t="s">
        <v>1223</v>
      </c>
    </row>
    <row r="113" spans="1:14" ht="14" customHeight="1">
      <c r="A113" t="s">
        <v>552</v>
      </c>
      <c r="B113" s="4" t="s">
        <v>532</v>
      </c>
      <c r="C113" t="s">
        <v>553</v>
      </c>
      <c r="D113" s="19" t="s">
        <v>1382</v>
      </c>
      <c r="E113" t="s">
        <v>533</v>
      </c>
      <c r="F113" t="s">
        <v>956</v>
      </c>
      <c r="G113" t="s">
        <v>1224</v>
      </c>
      <c r="H113" t="s">
        <v>16</v>
      </c>
      <c r="I113" t="s">
        <v>957</v>
      </c>
      <c r="J113" t="s">
        <v>781</v>
      </c>
      <c r="L113" t="s">
        <v>1159</v>
      </c>
      <c r="M113" t="s">
        <v>1222</v>
      </c>
      <c r="N113" s="5" t="s">
        <v>1223</v>
      </c>
    </row>
    <row r="114" spans="1:14" ht="14" customHeight="1">
      <c r="A114" t="s">
        <v>558</v>
      </c>
      <c r="B114" s="4" t="s">
        <v>532</v>
      </c>
      <c r="C114" t="s">
        <v>198</v>
      </c>
      <c r="D114" s="19" t="s">
        <v>1382</v>
      </c>
      <c r="E114" t="s">
        <v>533</v>
      </c>
      <c r="N114" s="5"/>
    </row>
    <row r="115" spans="1:14" ht="14" customHeight="1">
      <c r="A115" t="s">
        <v>564</v>
      </c>
      <c r="B115" s="4" t="s">
        <v>532</v>
      </c>
      <c r="C115" t="s">
        <v>543</v>
      </c>
      <c r="D115" s="19" t="s">
        <v>1382</v>
      </c>
      <c r="E115" t="s">
        <v>533</v>
      </c>
      <c r="N115" s="5"/>
    </row>
    <row r="116" spans="1:14" ht="14" customHeight="1">
      <c r="A116" t="s">
        <v>568</v>
      </c>
      <c r="B116" s="4" t="s">
        <v>532</v>
      </c>
      <c r="C116" t="s">
        <v>236</v>
      </c>
      <c r="D116" s="19" t="s">
        <v>1382</v>
      </c>
      <c r="E116" t="s">
        <v>533</v>
      </c>
      <c r="N116" s="5"/>
    </row>
    <row r="117" spans="1:14" ht="14" customHeight="1">
      <c r="A117" t="s">
        <v>572</v>
      </c>
      <c r="B117" s="7" t="s">
        <v>532</v>
      </c>
      <c r="C117" t="s">
        <v>559</v>
      </c>
      <c r="D117" s="19" t="s">
        <v>1383</v>
      </c>
      <c r="E117" t="s">
        <v>560</v>
      </c>
      <c r="F117" t="s">
        <v>960</v>
      </c>
      <c r="G117" t="s">
        <v>562</v>
      </c>
      <c r="H117" t="s">
        <v>214</v>
      </c>
      <c r="I117" s="12" t="s">
        <v>1226</v>
      </c>
      <c r="J117" t="s">
        <v>1161</v>
      </c>
      <c r="L117" t="s">
        <v>1159</v>
      </c>
      <c r="M117" t="s">
        <v>1222</v>
      </c>
      <c r="N117" s="5" t="s">
        <v>1223</v>
      </c>
    </row>
    <row r="118" spans="1:14" ht="14" customHeight="1">
      <c r="A118" t="s">
        <v>582</v>
      </c>
      <c r="B118" s="7" t="s">
        <v>532</v>
      </c>
      <c r="C118" t="s">
        <v>565</v>
      </c>
      <c r="D118" s="19" t="s">
        <v>1383</v>
      </c>
      <c r="E118" t="s">
        <v>560</v>
      </c>
      <c r="F118" t="s">
        <v>963</v>
      </c>
      <c r="G118" t="s">
        <v>567</v>
      </c>
      <c r="H118" t="s">
        <v>214</v>
      </c>
      <c r="I118" s="12" t="s">
        <v>1226</v>
      </c>
      <c r="J118" t="s">
        <v>1161</v>
      </c>
      <c r="L118" t="s">
        <v>1159</v>
      </c>
      <c r="M118" t="s">
        <v>1222</v>
      </c>
      <c r="N118" s="5" t="s">
        <v>1223</v>
      </c>
    </row>
    <row r="119" spans="1:14" ht="14" customHeight="1">
      <c r="A119" t="s">
        <v>589</v>
      </c>
      <c r="B119" s="7" t="s">
        <v>532</v>
      </c>
      <c r="C119" t="s">
        <v>236</v>
      </c>
      <c r="D119" s="19" t="s">
        <v>1383</v>
      </c>
      <c r="E119" t="s">
        <v>560</v>
      </c>
      <c r="F119" t="s">
        <v>966</v>
      </c>
      <c r="G119" t="s">
        <v>551</v>
      </c>
      <c r="H119" t="s">
        <v>214</v>
      </c>
      <c r="I119" s="12" t="s">
        <v>1227</v>
      </c>
      <c r="J119" t="s">
        <v>1161</v>
      </c>
      <c r="L119" t="s">
        <v>1159</v>
      </c>
      <c r="M119" t="s">
        <v>1222</v>
      </c>
      <c r="N119" s="5" t="s">
        <v>1223</v>
      </c>
    </row>
    <row r="120" spans="1:14" ht="14" customHeight="1">
      <c r="A120" t="s">
        <v>592</v>
      </c>
      <c r="B120" s="7" t="s">
        <v>532</v>
      </c>
      <c r="C120" t="s">
        <v>1089</v>
      </c>
      <c r="D120" s="19" t="s">
        <v>1384</v>
      </c>
      <c r="E120" t="s">
        <v>560</v>
      </c>
      <c r="I120" s="12"/>
      <c r="N120" s="5"/>
    </row>
    <row r="121" spans="1:14" ht="14" customHeight="1">
      <c r="A121" t="s">
        <v>599</v>
      </c>
      <c r="B121" s="7" t="s">
        <v>532</v>
      </c>
      <c r="C121" t="s">
        <v>1092</v>
      </c>
      <c r="D121" s="19" t="s">
        <v>1384</v>
      </c>
      <c r="E121" t="s">
        <v>560</v>
      </c>
      <c r="I121" s="12"/>
      <c r="N121" s="5"/>
    </row>
    <row r="122" spans="1:14" ht="14" customHeight="1">
      <c r="A122" t="s">
        <v>612</v>
      </c>
      <c r="B122" s="7" t="s">
        <v>532</v>
      </c>
      <c r="C122" t="s">
        <v>236</v>
      </c>
      <c r="D122" s="19" t="s">
        <v>1384</v>
      </c>
      <c r="E122" t="s">
        <v>560</v>
      </c>
      <c r="I122" s="12"/>
      <c r="N122" s="5"/>
    </row>
    <row r="123" spans="1:14" ht="14" customHeight="1">
      <c r="A123" t="s">
        <v>617</v>
      </c>
      <c r="B123" s="7" t="s">
        <v>532</v>
      </c>
      <c r="C123" t="s">
        <v>573</v>
      </c>
      <c r="D123" t="s">
        <v>1225</v>
      </c>
      <c r="E123" t="s">
        <v>574</v>
      </c>
      <c r="F123" t="s">
        <v>968</v>
      </c>
      <c r="G123" t="s">
        <v>467</v>
      </c>
      <c r="H123" t="s">
        <v>214</v>
      </c>
      <c r="I123" s="12" t="s">
        <v>1227</v>
      </c>
      <c r="J123" t="s">
        <v>1161</v>
      </c>
      <c r="L123" t="s">
        <v>1159</v>
      </c>
      <c r="M123" t="s">
        <v>1222</v>
      </c>
      <c r="N123" s="5" t="s">
        <v>1228</v>
      </c>
    </row>
    <row r="124" spans="1:14" ht="14" customHeight="1">
      <c r="A124" t="s">
        <v>621</v>
      </c>
      <c r="B124" s="7" t="s">
        <v>532</v>
      </c>
      <c r="C124" t="s">
        <v>583</v>
      </c>
      <c r="D124" t="s">
        <v>1225</v>
      </c>
      <c r="E124" t="s">
        <v>574</v>
      </c>
      <c r="F124" t="s">
        <v>977</v>
      </c>
      <c r="G124" t="s">
        <v>585</v>
      </c>
      <c r="H124" t="s">
        <v>214</v>
      </c>
      <c r="I124" s="12" t="s">
        <v>1227</v>
      </c>
      <c r="J124" t="s">
        <v>1161</v>
      </c>
      <c r="L124" t="s">
        <v>1159</v>
      </c>
      <c r="M124" t="s">
        <v>1222</v>
      </c>
      <c r="N124" s="5" t="s">
        <v>1228</v>
      </c>
    </row>
    <row r="125" spans="1:14" ht="14" customHeight="1">
      <c r="A125" t="s">
        <v>627</v>
      </c>
      <c r="B125" s="7" t="s">
        <v>532</v>
      </c>
      <c r="C125" t="s">
        <v>198</v>
      </c>
      <c r="D125" t="s">
        <v>1225</v>
      </c>
      <c r="E125" t="s">
        <v>574</v>
      </c>
      <c r="F125" t="s">
        <v>982</v>
      </c>
      <c r="G125" t="s">
        <v>591</v>
      </c>
      <c r="H125" t="s">
        <v>214</v>
      </c>
      <c r="I125" s="12" t="s">
        <v>1227</v>
      </c>
      <c r="J125" t="s">
        <v>1161</v>
      </c>
      <c r="L125" t="s">
        <v>1159</v>
      </c>
      <c r="M125" t="s">
        <v>1222</v>
      </c>
      <c r="N125" s="5" t="s">
        <v>1223</v>
      </c>
    </row>
    <row r="126" spans="1:14" ht="14" customHeight="1">
      <c r="A126" t="s">
        <v>631</v>
      </c>
      <c r="B126" s="7" t="s">
        <v>532</v>
      </c>
      <c r="C126" t="s">
        <v>593</v>
      </c>
      <c r="D126" t="s">
        <v>1190</v>
      </c>
      <c r="E126" t="s">
        <v>594</v>
      </c>
      <c r="F126" t="s">
        <v>985</v>
      </c>
      <c r="G126" t="s">
        <v>596</v>
      </c>
      <c r="H126" t="s">
        <v>214</v>
      </c>
      <c r="I126" s="12" t="s">
        <v>1227</v>
      </c>
      <c r="J126" t="s">
        <v>1161</v>
      </c>
      <c r="L126" t="s">
        <v>1159</v>
      </c>
      <c r="M126" t="s">
        <v>1222</v>
      </c>
      <c r="N126" s="5" t="s">
        <v>1229</v>
      </c>
    </row>
    <row r="127" spans="1:14" ht="14" customHeight="1">
      <c r="A127" t="s">
        <v>636</v>
      </c>
      <c r="B127" s="7" t="s">
        <v>532</v>
      </c>
      <c r="C127" t="s">
        <v>600</v>
      </c>
      <c r="D127" t="s">
        <v>1190</v>
      </c>
      <c r="E127" t="s">
        <v>594</v>
      </c>
      <c r="F127" t="s">
        <v>992</v>
      </c>
      <c r="G127" t="s">
        <v>602</v>
      </c>
      <c r="H127" t="s">
        <v>214</v>
      </c>
      <c r="I127" s="12" t="s">
        <v>1227</v>
      </c>
      <c r="J127" t="s">
        <v>1161</v>
      </c>
      <c r="L127" t="s">
        <v>1159</v>
      </c>
      <c r="M127" t="s">
        <v>1222</v>
      </c>
      <c r="N127" s="5" t="s">
        <v>1223</v>
      </c>
    </row>
    <row r="128" spans="1:14" ht="14" customHeight="1">
      <c r="A128" t="s">
        <v>640</v>
      </c>
      <c r="B128" s="7" t="s">
        <v>532</v>
      </c>
      <c r="C128" t="s">
        <v>613</v>
      </c>
      <c r="D128" t="s">
        <v>1230</v>
      </c>
      <c r="E128" t="s">
        <v>594</v>
      </c>
      <c r="F128" t="s">
        <v>997</v>
      </c>
      <c r="G128" t="s">
        <v>615</v>
      </c>
      <c r="H128" t="s">
        <v>214</v>
      </c>
      <c r="I128" s="12" t="s">
        <v>1227</v>
      </c>
      <c r="J128" t="s">
        <v>1161</v>
      </c>
      <c r="L128" t="s">
        <v>1159</v>
      </c>
      <c r="M128" t="s">
        <v>1222</v>
      </c>
      <c r="N128" s="5" t="s">
        <v>1223</v>
      </c>
    </row>
    <row r="129" spans="1:14" ht="14" customHeight="1">
      <c r="A129" t="s">
        <v>644</v>
      </c>
      <c r="B129" s="7" t="s">
        <v>532</v>
      </c>
      <c r="C129" t="s">
        <v>211</v>
      </c>
      <c r="D129" t="s">
        <v>1190</v>
      </c>
      <c r="E129" t="s">
        <v>594</v>
      </c>
      <c r="F129" t="s">
        <v>1003</v>
      </c>
      <c r="G129" t="s">
        <v>619</v>
      </c>
      <c r="H129" t="s">
        <v>214</v>
      </c>
      <c r="I129" s="12" t="s">
        <v>1227</v>
      </c>
      <c r="J129" t="s">
        <v>1161</v>
      </c>
      <c r="L129" t="s">
        <v>1159</v>
      </c>
      <c r="M129" t="s">
        <v>1222</v>
      </c>
      <c r="N129" s="5" t="s">
        <v>1229</v>
      </c>
    </row>
    <row r="130" spans="1:14" ht="14" customHeight="1">
      <c r="A130" t="s">
        <v>653</v>
      </c>
      <c r="B130" s="4" t="s">
        <v>532</v>
      </c>
      <c r="C130" t="s">
        <v>622</v>
      </c>
      <c r="D130" t="s">
        <v>1190</v>
      </c>
      <c r="E130" t="s">
        <v>623</v>
      </c>
      <c r="F130" t="s">
        <v>1005</v>
      </c>
      <c r="G130" t="s">
        <v>625</v>
      </c>
      <c r="H130" t="s">
        <v>226</v>
      </c>
      <c r="I130" t="s">
        <v>1231</v>
      </c>
      <c r="J130" t="s">
        <v>781</v>
      </c>
      <c r="L130" t="s">
        <v>1159</v>
      </c>
      <c r="M130" t="s">
        <v>1232</v>
      </c>
      <c r="N130" s="5" t="s">
        <v>1233</v>
      </c>
    </row>
    <row r="131" spans="1:14" ht="14" customHeight="1">
      <c r="A131" t="s">
        <v>662</v>
      </c>
      <c r="B131" s="4" t="s">
        <v>532</v>
      </c>
      <c r="C131" t="s">
        <v>628</v>
      </c>
      <c r="D131" t="s">
        <v>1190</v>
      </c>
      <c r="E131" t="s">
        <v>623</v>
      </c>
      <c r="F131" t="s">
        <v>1012</v>
      </c>
      <c r="G131" t="s">
        <v>630</v>
      </c>
      <c r="H131" t="s">
        <v>226</v>
      </c>
      <c r="I131" t="s">
        <v>826</v>
      </c>
      <c r="J131" t="s">
        <v>781</v>
      </c>
      <c r="L131" t="s">
        <v>1159</v>
      </c>
      <c r="M131" t="s">
        <v>1232</v>
      </c>
      <c r="N131" s="5" t="s">
        <v>1233</v>
      </c>
    </row>
    <row r="132" spans="1:14" ht="14" customHeight="1">
      <c r="A132" t="s">
        <v>672</v>
      </c>
      <c r="B132" s="4" t="s">
        <v>532</v>
      </c>
      <c r="C132" t="s">
        <v>632</v>
      </c>
      <c r="D132" t="s">
        <v>1190</v>
      </c>
      <c r="E132" t="s">
        <v>623</v>
      </c>
      <c r="F132" t="s">
        <v>1014</v>
      </c>
      <c r="G132" t="s">
        <v>634</v>
      </c>
      <c r="H132" t="s">
        <v>226</v>
      </c>
      <c r="I132" t="s">
        <v>1234</v>
      </c>
      <c r="J132" t="s">
        <v>781</v>
      </c>
      <c r="L132" t="s">
        <v>1159</v>
      </c>
      <c r="M132" t="s">
        <v>1232</v>
      </c>
      <c r="N132" s="5" t="s">
        <v>1233</v>
      </c>
    </row>
    <row r="133" spans="1:14" ht="14" customHeight="1">
      <c r="A133" t="s">
        <v>681</v>
      </c>
      <c r="B133" s="4" t="s">
        <v>532</v>
      </c>
      <c r="C133" t="s">
        <v>637</v>
      </c>
      <c r="D133" t="s">
        <v>1190</v>
      </c>
      <c r="E133" t="s">
        <v>623</v>
      </c>
      <c r="F133" t="s">
        <v>1018</v>
      </c>
      <c r="G133" t="s">
        <v>639</v>
      </c>
      <c r="H133" t="s">
        <v>226</v>
      </c>
      <c r="I133" t="s">
        <v>1006</v>
      </c>
      <c r="J133" t="s">
        <v>781</v>
      </c>
      <c r="L133" t="s">
        <v>1159</v>
      </c>
      <c r="M133" t="s">
        <v>1232</v>
      </c>
      <c r="N133" s="5" t="s">
        <v>1233</v>
      </c>
    </row>
    <row r="134" spans="1:14" ht="14" customHeight="1">
      <c r="A134" t="s">
        <v>686</v>
      </c>
      <c r="B134" s="4" t="s">
        <v>532</v>
      </c>
      <c r="C134" t="s">
        <v>641</v>
      </c>
      <c r="D134" t="s">
        <v>1190</v>
      </c>
      <c r="E134" t="s">
        <v>623</v>
      </c>
      <c r="F134" t="s">
        <v>1021</v>
      </c>
      <c r="G134" t="s">
        <v>643</v>
      </c>
      <c r="H134" t="s">
        <v>226</v>
      </c>
      <c r="I134" t="s">
        <v>826</v>
      </c>
      <c r="J134" t="s">
        <v>781</v>
      </c>
      <c r="L134" t="s">
        <v>1159</v>
      </c>
      <c r="M134" t="s">
        <v>1232</v>
      </c>
      <c r="N134" s="5" t="s">
        <v>1233</v>
      </c>
    </row>
    <row r="135" spans="1:14" ht="14" customHeight="1">
      <c r="A135" t="s">
        <v>689</v>
      </c>
      <c r="B135" s="4" t="s">
        <v>532</v>
      </c>
      <c r="C135" t="s">
        <v>222</v>
      </c>
      <c r="D135" t="s">
        <v>1190</v>
      </c>
      <c r="E135" t="s">
        <v>645</v>
      </c>
      <c r="F135" t="s">
        <v>1024</v>
      </c>
      <c r="G135" t="s">
        <v>1025</v>
      </c>
      <c r="H135" t="s">
        <v>226</v>
      </c>
      <c r="I135" t="s">
        <v>826</v>
      </c>
      <c r="J135" t="s">
        <v>781</v>
      </c>
      <c r="L135" t="s">
        <v>1159</v>
      </c>
      <c r="M135" t="s">
        <v>1232</v>
      </c>
      <c r="N135" s="5" t="s">
        <v>1235</v>
      </c>
    </row>
    <row r="136" spans="1:14" ht="14" customHeight="1">
      <c r="A136" t="s">
        <v>696</v>
      </c>
      <c r="B136" s="4" t="s">
        <v>532</v>
      </c>
      <c r="C136" t="s">
        <v>654</v>
      </c>
      <c r="D136" t="s">
        <v>1190</v>
      </c>
      <c r="E136" t="s">
        <v>645</v>
      </c>
      <c r="F136" t="s">
        <v>1028</v>
      </c>
      <c r="G136" t="s">
        <v>656</v>
      </c>
      <c r="H136" t="s">
        <v>226</v>
      </c>
      <c r="I136" t="s">
        <v>1006</v>
      </c>
      <c r="J136" t="s">
        <v>781</v>
      </c>
      <c r="L136" t="s">
        <v>1159</v>
      </c>
      <c r="M136" t="s">
        <v>1232</v>
      </c>
      <c r="N136" s="5" t="s">
        <v>1235</v>
      </c>
    </row>
    <row r="137" spans="1:14" ht="14" customHeight="1">
      <c r="A137" t="s">
        <v>1417</v>
      </c>
      <c r="B137" s="4" t="s">
        <v>532</v>
      </c>
      <c r="C137" t="s">
        <v>641</v>
      </c>
      <c r="D137" t="s">
        <v>1190</v>
      </c>
      <c r="E137" t="s">
        <v>645</v>
      </c>
      <c r="F137" t="s">
        <v>1032</v>
      </c>
      <c r="G137" t="s">
        <v>643</v>
      </c>
      <c r="H137" t="s">
        <v>226</v>
      </c>
      <c r="I137" t="s">
        <v>1006</v>
      </c>
      <c r="J137" t="s">
        <v>781</v>
      </c>
      <c r="L137" t="s">
        <v>1159</v>
      </c>
      <c r="M137" t="s">
        <v>1232</v>
      </c>
      <c r="N137" s="5" t="s">
        <v>1233</v>
      </c>
    </row>
    <row r="138" spans="1:14" ht="14" customHeight="1">
      <c r="A138" t="s">
        <v>1418</v>
      </c>
      <c r="B138" s="4" t="s">
        <v>532</v>
      </c>
      <c r="C138" t="s">
        <v>673</v>
      </c>
      <c r="D138" t="s">
        <v>1190</v>
      </c>
      <c r="E138" t="s">
        <v>645</v>
      </c>
      <c r="F138" t="s">
        <v>1033</v>
      </c>
      <c r="G138" t="s">
        <v>675</v>
      </c>
      <c r="H138" t="s">
        <v>226</v>
      </c>
      <c r="I138" t="s">
        <v>1006</v>
      </c>
      <c r="J138" t="s">
        <v>781</v>
      </c>
      <c r="L138" t="s">
        <v>1159</v>
      </c>
      <c r="M138" t="s">
        <v>1232</v>
      </c>
      <c r="N138" s="5" t="s">
        <v>1235</v>
      </c>
    </row>
    <row r="139" spans="1:14" ht="14" customHeight="1">
      <c r="A139" t="s">
        <v>1419</v>
      </c>
      <c r="B139" s="4" t="s">
        <v>532</v>
      </c>
      <c r="C139" t="s">
        <v>682</v>
      </c>
      <c r="D139" t="s">
        <v>1190</v>
      </c>
      <c r="E139" t="s">
        <v>683</v>
      </c>
      <c r="F139" t="s">
        <v>1036</v>
      </c>
      <c r="G139" t="s">
        <v>682</v>
      </c>
      <c r="H139" t="s">
        <v>226</v>
      </c>
      <c r="I139" t="s">
        <v>1006</v>
      </c>
      <c r="J139" t="s">
        <v>781</v>
      </c>
      <c r="L139" t="s">
        <v>1159</v>
      </c>
      <c r="M139" t="s">
        <v>1232</v>
      </c>
      <c r="N139" s="5" t="s">
        <v>1235</v>
      </c>
    </row>
    <row r="140" spans="1:14" ht="14" customHeight="1">
      <c r="A140" t="s">
        <v>1420</v>
      </c>
      <c r="B140" s="4" t="s">
        <v>532</v>
      </c>
      <c r="C140" t="s">
        <v>687</v>
      </c>
      <c r="D140" t="s">
        <v>1190</v>
      </c>
      <c r="E140" t="s">
        <v>683</v>
      </c>
      <c r="F140" t="s">
        <v>1040</v>
      </c>
      <c r="G140" t="s">
        <v>687</v>
      </c>
      <c r="H140" t="s">
        <v>226</v>
      </c>
      <c r="I140" t="s">
        <v>1006</v>
      </c>
      <c r="J140" t="s">
        <v>781</v>
      </c>
      <c r="L140" t="s">
        <v>1159</v>
      </c>
      <c r="M140" t="s">
        <v>1222</v>
      </c>
      <c r="N140" s="5" t="s">
        <v>1223</v>
      </c>
    </row>
    <row r="141" spans="1:14" ht="14" customHeight="1">
      <c r="A141" t="s">
        <v>1421</v>
      </c>
      <c r="B141" s="4" t="s">
        <v>532</v>
      </c>
      <c r="C141" t="s">
        <v>690</v>
      </c>
      <c r="D141" t="s">
        <v>1190</v>
      </c>
      <c r="E141" t="s">
        <v>683</v>
      </c>
      <c r="F141" t="s">
        <v>1043</v>
      </c>
      <c r="G141" t="s">
        <v>690</v>
      </c>
      <c r="H141" t="s">
        <v>226</v>
      </c>
      <c r="I141" t="s">
        <v>1006</v>
      </c>
      <c r="J141" t="s">
        <v>781</v>
      </c>
      <c r="L141" t="s">
        <v>1159</v>
      </c>
      <c r="M141" t="s">
        <v>1222</v>
      </c>
      <c r="N141" s="5" t="s">
        <v>1228</v>
      </c>
    </row>
    <row r="142" spans="1:14" ht="14" customHeight="1">
      <c r="A142" t="s">
        <v>1422</v>
      </c>
      <c r="B142" s="4" t="s">
        <v>532</v>
      </c>
      <c r="C142" t="s">
        <v>697</v>
      </c>
      <c r="D142" t="s">
        <v>1190</v>
      </c>
      <c r="E142" t="s">
        <v>683</v>
      </c>
      <c r="F142" t="s">
        <v>1046</v>
      </c>
      <c r="G142" t="s">
        <v>690</v>
      </c>
      <c r="H142" t="s">
        <v>226</v>
      </c>
      <c r="I142" t="s">
        <v>1006</v>
      </c>
      <c r="J142" t="s">
        <v>781</v>
      </c>
      <c r="L142" t="s">
        <v>1159</v>
      </c>
      <c r="M142" t="s">
        <v>1222</v>
      </c>
      <c r="N142" s="5" t="s">
        <v>1228</v>
      </c>
    </row>
    <row r="143" spans="1:14" ht="14" customHeight="1">
      <c r="A143" t="s">
        <v>701</v>
      </c>
      <c r="B143" s="4" t="s">
        <v>702</v>
      </c>
      <c r="C143" t="s">
        <v>703</v>
      </c>
      <c r="D143" t="s">
        <v>1160</v>
      </c>
      <c r="E143" t="s">
        <v>704</v>
      </c>
      <c r="F143" t="s">
        <v>1049</v>
      </c>
      <c r="G143" t="s">
        <v>362</v>
      </c>
      <c r="H143" t="s">
        <v>85</v>
      </c>
      <c r="I143" t="s">
        <v>1050</v>
      </c>
      <c r="J143" t="s">
        <v>781</v>
      </c>
      <c r="L143" t="s">
        <v>1166</v>
      </c>
      <c r="M143" t="s">
        <v>1236</v>
      </c>
      <c r="N143" s="5" t="s">
        <v>1237</v>
      </c>
    </row>
    <row r="144" spans="1:14" ht="14" customHeight="1">
      <c r="A144" t="s">
        <v>708</v>
      </c>
      <c r="B144" s="4" t="s">
        <v>702</v>
      </c>
      <c r="C144" t="s">
        <v>709</v>
      </c>
      <c r="D144" t="s">
        <v>1160</v>
      </c>
      <c r="E144" t="s">
        <v>704</v>
      </c>
      <c r="F144" t="s">
        <v>1055</v>
      </c>
      <c r="G144" t="s">
        <v>711</v>
      </c>
      <c r="H144" t="s">
        <v>85</v>
      </c>
      <c r="I144" t="s">
        <v>1050</v>
      </c>
      <c r="J144" t="s">
        <v>781</v>
      </c>
      <c r="L144" t="s">
        <v>1166</v>
      </c>
      <c r="M144" t="s">
        <v>1236</v>
      </c>
      <c r="N144" s="5" t="s">
        <v>1237</v>
      </c>
    </row>
    <row r="145" spans="1:14" ht="14" customHeight="1">
      <c r="A145" t="s">
        <v>713</v>
      </c>
      <c r="B145" s="4" t="s">
        <v>702</v>
      </c>
      <c r="C145" t="s">
        <v>714</v>
      </c>
      <c r="D145" t="s">
        <v>1160</v>
      </c>
      <c r="E145" t="s">
        <v>704</v>
      </c>
      <c r="F145" t="s">
        <v>1058</v>
      </c>
      <c r="G145" t="s">
        <v>716</v>
      </c>
      <c r="H145" t="s">
        <v>85</v>
      </c>
      <c r="I145" t="s">
        <v>1050</v>
      </c>
      <c r="J145" t="s">
        <v>781</v>
      </c>
      <c r="L145" t="s">
        <v>1166</v>
      </c>
      <c r="M145" t="s">
        <v>1236</v>
      </c>
      <c r="N145" s="5" t="s">
        <v>1238</v>
      </c>
    </row>
    <row r="146" spans="1:14" ht="14" customHeight="1">
      <c r="A146" t="s">
        <v>717</v>
      </c>
      <c r="B146" s="4" t="s">
        <v>702</v>
      </c>
      <c r="C146" t="s">
        <v>718</v>
      </c>
      <c r="D146" t="s">
        <v>1160</v>
      </c>
      <c r="E146" t="s">
        <v>719</v>
      </c>
      <c r="F146" t="s">
        <v>720</v>
      </c>
      <c r="G146" t="s">
        <v>1239</v>
      </c>
      <c r="H146" t="s">
        <v>85</v>
      </c>
      <c r="I146" t="s">
        <v>1240</v>
      </c>
      <c r="J146" t="s">
        <v>781</v>
      </c>
      <c r="L146" t="s">
        <v>1166</v>
      </c>
      <c r="M146" t="s">
        <v>1236</v>
      </c>
      <c r="N146" s="5" t="s">
        <v>1241</v>
      </c>
    </row>
    <row r="147" spans="1:14" ht="14" customHeight="1">
      <c r="A147" t="s">
        <v>724</v>
      </c>
      <c r="B147" s="4" t="s">
        <v>702</v>
      </c>
      <c r="C147" t="s">
        <v>725</v>
      </c>
      <c r="E147" t="s">
        <v>719</v>
      </c>
      <c r="F147" t="s">
        <v>726</v>
      </c>
      <c r="G147" t="s">
        <v>727</v>
      </c>
      <c r="H147" t="s">
        <v>85</v>
      </c>
      <c r="I147" t="s">
        <v>1168</v>
      </c>
      <c r="J147" t="s">
        <v>781</v>
      </c>
      <c r="K147" t="s">
        <v>1242</v>
      </c>
      <c r="L147" t="s">
        <v>1166</v>
      </c>
      <c r="M147" t="s">
        <v>1236</v>
      </c>
      <c r="N147" s="5" t="s">
        <v>1241</v>
      </c>
    </row>
    <row r="148" spans="1:14" ht="14" customHeight="1">
      <c r="A148" t="s">
        <v>734</v>
      </c>
      <c r="B148" s="4" t="s">
        <v>702</v>
      </c>
      <c r="C148" t="s">
        <v>735</v>
      </c>
      <c r="E148" t="s">
        <v>719</v>
      </c>
      <c r="F148" t="s">
        <v>736</v>
      </c>
      <c r="G148" t="s">
        <v>1243</v>
      </c>
      <c r="H148" t="s">
        <v>85</v>
      </c>
      <c r="I148" t="s">
        <v>1168</v>
      </c>
      <c r="J148" t="s">
        <v>781</v>
      </c>
      <c r="K148" t="s">
        <v>1244</v>
      </c>
      <c r="L148" t="s">
        <v>1166</v>
      </c>
      <c r="M148" t="s">
        <v>1245</v>
      </c>
      <c r="N148" s="5" t="s">
        <v>1241</v>
      </c>
    </row>
    <row r="149" spans="1:14" ht="14" customHeight="1">
      <c r="A149" t="s">
        <v>738</v>
      </c>
      <c r="B149" s="4" t="s">
        <v>702</v>
      </c>
      <c r="C149" t="s">
        <v>739</v>
      </c>
      <c r="E149" t="s">
        <v>719</v>
      </c>
      <c r="F149" t="s">
        <v>1066</v>
      </c>
      <c r="G149" t="s">
        <v>741</v>
      </c>
      <c r="H149" t="s">
        <v>85</v>
      </c>
      <c r="I149" t="s">
        <v>1168</v>
      </c>
      <c r="J149" t="s">
        <v>781</v>
      </c>
      <c r="K149" t="s">
        <v>1246</v>
      </c>
      <c r="L149" t="s">
        <v>1166</v>
      </c>
      <c r="M149" t="s">
        <v>1245</v>
      </c>
      <c r="N149" s="5" t="s">
        <v>1241</v>
      </c>
    </row>
    <row r="150" spans="1:14">
      <c r="A150" s="19" t="s">
        <v>1441</v>
      </c>
      <c r="B150" s="19" t="s">
        <v>1442</v>
      </c>
      <c r="C150" s="19" t="s">
        <v>1437</v>
      </c>
      <c r="D150" s="2"/>
      <c r="E150" s="18" t="s">
        <v>1436</v>
      </c>
      <c r="F150" s="2"/>
      <c r="G150" s="2"/>
      <c r="H150" s="2"/>
    </row>
    <row r="151" spans="1:14">
      <c r="A151" s="19" t="s">
        <v>1448</v>
      </c>
      <c r="B151" s="19" t="s">
        <v>1442</v>
      </c>
      <c r="C151" s="19" t="s">
        <v>1438</v>
      </c>
      <c r="D151" s="2"/>
      <c r="E151" s="18" t="s">
        <v>1436</v>
      </c>
      <c r="F151" s="2"/>
      <c r="G151" s="2"/>
      <c r="H151" s="2"/>
    </row>
    <row r="152" spans="1:14">
      <c r="A152" s="19" t="s">
        <v>1449</v>
      </c>
      <c r="B152" s="19" t="s">
        <v>1442</v>
      </c>
      <c r="C152" s="19" t="s">
        <v>1439</v>
      </c>
      <c r="D152" s="2"/>
      <c r="E152" s="18" t="s">
        <v>1436</v>
      </c>
      <c r="F152" s="2"/>
      <c r="G152" s="2"/>
      <c r="H152" s="2"/>
    </row>
    <row r="153" spans="1:14">
      <c r="A153" s="19" t="s">
        <v>1450</v>
      </c>
      <c r="B153" s="19" t="s">
        <v>1442</v>
      </c>
      <c r="C153" s="19" t="s">
        <v>1440</v>
      </c>
      <c r="D153" s="2"/>
      <c r="E153" s="18" t="s">
        <v>1436</v>
      </c>
      <c r="F153" s="2"/>
      <c r="G153" s="2"/>
      <c r="H153" s="2"/>
    </row>
    <row r="154" spans="1:14">
      <c r="A154" s="19" t="s">
        <v>1451</v>
      </c>
      <c r="B154" s="19" t="s">
        <v>1442</v>
      </c>
      <c r="C154" s="19" t="s">
        <v>1443</v>
      </c>
      <c r="D154" s="18" t="s">
        <v>1444</v>
      </c>
      <c r="E154" s="18" t="s">
        <v>1436</v>
      </c>
      <c r="F154" s="2"/>
      <c r="G154" s="2"/>
      <c r="H154" s="2"/>
    </row>
    <row r="155" spans="1:14">
      <c r="A155" s="19" t="s">
        <v>1452</v>
      </c>
      <c r="B155" s="19" t="s">
        <v>1442</v>
      </c>
      <c r="C155" s="19" t="s">
        <v>1445</v>
      </c>
      <c r="D155" s="18" t="s">
        <v>1444</v>
      </c>
      <c r="E155" s="18" t="s">
        <v>1436</v>
      </c>
      <c r="F155" s="2"/>
      <c r="G155" s="2"/>
      <c r="H155" s="2"/>
    </row>
    <row r="156" spans="1:14">
      <c r="A156" s="19" t="s">
        <v>1453</v>
      </c>
      <c r="B156" s="19" t="s">
        <v>1442</v>
      </c>
      <c r="C156" s="19" t="s">
        <v>1446</v>
      </c>
      <c r="D156" s="18" t="s">
        <v>1444</v>
      </c>
      <c r="E156" s="18" t="s">
        <v>1436</v>
      </c>
      <c r="F156" s="2"/>
      <c r="G156" s="2"/>
      <c r="H156" s="2"/>
    </row>
    <row r="157" spans="1:14">
      <c r="A157" s="19" t="s">
        <v>1454</v>
      </c>
      <c r="B157" s="19" t="s">
        <v>1442</v>
      </c>
      <c r="C157" s="19" t="s">
        <v>1447</v>
      </c>
      <c r="D157" s="18" t="s">
        <v>1444</v>
      </c>
      <c r="E157" s="18" t="s">
        <v>1436</v>
      </c>
      <c r="F157" s="2"/>
      <c r="G157" s="2"/>
      <c r="H157" s="2"/>
    </row>
    <row r="158" spans="1:14">
      <c r="A158" s="19" t="s">
        <v>1455</v>
      </c>
      <c r="B158" s="19" t="s">
        <v>1456</v>
      </c>
      <c r="C158" s="19" t="s">
        <v>1457</v>
      </c>
      <c r="D158" s="2"/>
      <c r="E158" s="19" t="s">
        <v>1462</v>
      </c>
      <c r="F158" s="2"/>
      <c r="G158" s="2"/>
      <c r="H158" s="2"/>
    </row>
    <row r="159" spans="1:14">
      <c r="A159" s="19" t="s">
        <v>1460</v>
      </c>
      <c r="B159" s="19" t="s">
        <v>1456</v>
      </c>
      <c r="C159" s="19" t="s">
        <v>1458</v>
      </c>
      <c r="D159" s="2"/>
      <c r="E159" s="19" t="s">
        <v>1462</v>
      </c>
      <c r="F159" s="2"/>
      <c r="G159" s="2"/>
      <c r="H159" s="2"/>
    </row>
    <row r="160" spans="1:14">
      <c r="A160" s="19" t="s">
        <v>1461</v>
      </c>
      <c r="B160" s="19" t="s">
        <v>1456</v>
      </c>
      <c r="C160" s="19" t="s">
        <v>1459</v>
      </c>
      <c r="D160" s="2"/>
      <c r="E160" s="19" t="s">
        <v>1462</v>
      </c>
      <c r="F160" s="2"/>
      <c r="G160" s="2"/>
      <c r="H160" s="2"/>
    </row>
    <row r="161" spans="1:14" ht="14" customHeight="1">
      <c r="A161" t="s">
        <v>742</v>
      </c>
      <c r="B161" s="4" t="s">
        <v>743</v>
      </c>
      <c r="C161" t="s">
        <v>744</v>
      </c>
      <c r="E161" s="2"/>
      <c r="F161" t="s">
        <v>745</v>
      </c>
      <c r="G161" t="s">
        <v>746</v>
      </c>
      <c r="H161" t="s">
        <v>85</v>
      </c>
      <c r="I161" t="s">
        <v>747</v>
      </c>
      <c r="J161" t="s">
        <v>1247</v>
      </c>
      <c r="L161" t="s">
        <v>1132</v>
      </c>
      <c r="M161" t="s">
        <v>1248</v>
      </c>
      <c r="N161" s="5" t="s">
        <v>1249</v>
      </c>
    </row>
    <row r="162" spans="1:14" ht="14" customHeight="1">
      <c r="A162" t="s">
        <v>749</v>
      </c>
      <c r="B162" s="4" t="s">
        <v>743</v>
      </c>
      <c r="C162" t="s">
        <v>750</v>
      </c>
      <c r="E162" s="2"/>
      <c r="F162" t="s">
        <v>751</v>
      </c>
      <c r="G162" t="s">
        <v>746</v>
      </c>
      <c r="H162" t="s">
        <v>85</v>
      </c>
      <c r="I162" t="s">
        <v>752</v>
      </c>
      <c r="J162" t="s">
        <v>1247</v>
      </c>
      <c r="L162" t="s">
        <v>1166</v>
      </c>
      <c r="M162" t="s">
        <v>1248</v>
      </c>
      <c r="N162" s="5" t="s">
        <v>1250</v>
      </c>
    </row>
    <row r="163" spans="1:14" ht="14" customHeight="1">
      <c r="A163" t="s">
        <v>753</v>
      </c>
      <c r="B163" s="4" t="s">
        <v>743</v>
      </c>
      <c r="C163" t="s">
        <v>754</v>
      </c>
      <c r="E163" s="2"/>
      <c r="F163" t="s">
        <v>755</v>
      </c>
      <c r="G163" t="s">
        <v>756</v>
      </c>
      <c r="H163" t="s">
        <v>85</v>
      </c>
      <c r="I163" t="s">
        <v>757</v>
      </c>
      <c r="J163" t="s">
        <v>1247</v>
      </c>
      <c r="L163" t="s">
        <v>1251</v>
      </c>
      <c r="M163" t="s">
        <v>1248</v>
      </c>
      <c r="N163" s="5" t="s">
        <v>1252</v>
      </c>
    </row>
    <row r="164" spans="1:14" ht="14" customHeight="1">
      <c r="A164" t="s">
        <v>760</v>
      </c>
      <c r="B164" s="4" t="s">
        <v>743</v>
      </c>
      <c r="C164" t="s">
        <v>761</v>
      </c>
      <c r="E164" s="2"/>
      <c r="F164" t="s">
        <v>763</v>
      </c>
      <c r="G164" t="s">
        <v>764</v>
      </c>
      <c r="H164" t="s">
        <v>765</v>
      </c>
      <c r="I164" t="s">
        <v>766</v>
      </c>
      <c r="J164" t="s">
        <v>1247</v>
      </c>
      <c r="L164" t="s">
        <v>1107</v>
      </c>
      <c r="M164" t="s">
        <v>1248</v>
      </c>
      <c r="N164" s="5" t="s">
        <v>1253</v>
      </c>
    </row>
    <row r="165" spans="1:14" ht="14" customHeight="1">
      <c r="A165" t="s">
        <v>770</v>
      </c>
      <c r="B165" s="4" t="s">
        <v>743</v>
      </c>
      <c r="C165" t="s">
        <v>771</v>
      </c>
      <c r="E165" s="2"/>
      <c r="F165" t="s">
        <v>773</v>
      </c>
      <c r="G165" t="s">
        <v>774</v>
      </c>
      <c r="H165" t="s">
        <v>765</v>
      </c>
      <c r="I165" t="s">
        <v>766</v>
      </c>
      <c r="J165" t="s">
        <v>1247</v>
      </c>
      <c r="L165" t="s">
        <v>1107</v>
      </c>
      <c r="M165" t="s">
        <v>1248</v>
      </c>
      <c r="N165" s="5" t="s">
        <v>1254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topLeftCell="A7" workbookViewId="0">
      <selection activeCell="B3" sqref="B3"/>
    </sheetView>
  </sheetViews>
  <sheetFormatPr defaultColWidth="9" defaultRowHeight="14"/>
  <cols>
    <col min="1" max="1" width="27.33203125" customWidth="1"/>
    <col min="2" max="2" width="13.4140625" customWidth="1"/>
    <col min="5" max="5" width="16.25" customWidth="1"/>
  </cols>
  <sheetData>
    <row r="1" spans="1:8">
      <c r="A1" s="23" t="s">
        <v>1255</v>
      </c>
      <c r="B1" s="23"/>
      <c r="E1" t="s">
        <v>1256</v>
      </c>
      <c r="H1" t="s">
        <v>1257</v>
      </c>
    </row>
    <row r="2" spans="1:8">
      <c r="A2" t="s">
        <v>1258</v>
      </c>
      <c r="E2" t="s">
        <v>507</v>
      </c>
    </row>
    <row r="3" spans="1:8">
      <c r="A3" t="s">
        <v>411</v>
      </c>
      <c r="B3" t="s">
        <v>1259</v>
      </c>
      <c r="E3" t="s">
        <v>1260</v>
      </c>
    </row>
    <row r="4" spans="1:8">
      <c r="A4" t="s">
        <v>1261</v>
      </c>
      <c r="E4" t="s">
        <v>498</v>
      </c>
    </row>
    <row r="5" spans="1:8">
      <c r="A5" t="s">
        <v>1262</v>
      </c>
      <c r="E5" t="s">
        <v>1263</v>
      </c>
    </row>
    <row r="8" spans="1:8">
      <c r="A8" t="s">
        <v>1264</v>
      </c>
    </row>
    <row r="9" spans="1:8">
      <c r="A9" t="s">
        <v>1265</v>
      </c>
      <c r="E9" t="s">
        <v>1266</v>
      </c>
    </row>
    <row r="14" spans="1:8">
      <c r="A14" t="s">
        <v>1267</v>
      </c>
    </row>
    <row r="17" spans="1:2">
      <c r="A17" t="s">
        <v>1268</v>
      </c>
      <c r="B17" t="s">
        <v>1269</v>
      </c>
    </row>
  </sheetData>
  <mergeCells count="1">
    <mergeCell ref="A1:B1"/>
  </mergeCells>
  <phoneticPr fontId="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activeCell="C4" sqref="C4"/>
    </sheetView>
  </sheetViews>
  <sheetFormatPr defaultColWidth="9" defaultRowHeight="14"/>
  <cols>
    <col min="1" max="1" width="9.6640625" customWidth="1"/>
    <col min="2" max="2" width="10.83203125" customWidth="1"/>
    <col min="3" max="3" width="11.25" customWidth="1"/>
    <col min="4" max="4" width="9.4140625" customWidth="1"/>
    <col min="5" max="5" width="6.1640625" customWidth="1"/>
    <col min="6" max="7" width="5.1640625" customWidth="1"/>
  </cols>
  <sheetData>
    <row r="1" spans="1:8">
      <c r="A1" t="s">
        <v>1270</v>
      </c>
      <c r="B1" t="s">
        <v>1271</v>
      </c>
      <c r="C1" t="s">
        <v>1272</v>
      </c>
      <c r="D1" t="s">
        <v>1273</v>
      </c>
      <c r="E1" t="s">
        <v>1274</v>
      </c>
      <c r="F1" t="s">
        <v>1275</v>
      </c>
      <c r="G1" t="s">
        <v>1276</v>
      </c>
    </row>
    <row r="2" spans="1:8">
      <c r="A2" t="s">
        <v>1277</v>
      </c>
      <c r="B2" s="1">
        <v>20661</v>
      </c>
      <c r="C2">
        <v>0</v>
      </c>
      <c r="D2">
        <v>0</v>
      </c>
      <c r="E2">
        <v>100</v>
      </c>
      <c r="F2">
        <v>0</v>
      </c>
      <c r="G2">
        <v>0</v>
      </c>
    </row>
    <row r="3" spans="1:8">
      <c r="A3" t="s">
        <v>1278</v>
      </c>
      <c r="B3" s="1">
        <v>22462</v>
      </c>
      <c r="C3">
        <v>0</v>
      </c>
      <c r="D3">
        <v>379</v>
      </c>
      <c r="E3">
        <v>98.31</v>
      </c>
      <c r="F3">
        <v>0</v>
      </c>
      <c r="G3">
        <v>1.69</v>
      </c>
      <c r="H3">
        <f>100-G3-F4</f>
        <v>96.93</v>
      </c>
    </row>
    <row r="4" spans="1:8">
      <c r="A4" t="s">
        <v>1279</v>
      </c>
      <c r="B4" s="1">
        <v>21423</v>
      </c>
      <c r="C4">
        <v>300</v>
      </c>
      <c r="D4">
        <v>0</v>
      </c>
      <c r="E4">
        <v>98.62</v>
      </c>
      <c r="F4">
        <v>1.38</v>
      </c>
      <c r="G4">
        <v>0</v>
      </c>
    </row>
    <row r="5" spans="1:8">
      <c r="A5" t="s">
        <v>1280</v>
      </c>
      <c r="B5" s="1">
        <v>21522</v>
      </c>
      <c r="C5">
        <v>0</v>
      </c>
      <c r="D5">
        <v>0</v>
      </c>
      <c r="E5">
        <v>100</v>
      </c>
      <c r="F5">
        <v>0</v>
      </c>
      <c r="G5">
        <v>0</v>
      </c>
    </row>
    <row r="7" spans="1:8">
      <c r="A7" t="s">
        <v>1270</v>
      </c>
      <c r="B7" t="s">
        <v>1271</v>
      </c>
      <c r="C7" t="s">
        <v>1272</v>
      </c>
      <c r="D7" t="s">
        <v>1273</v>
      </c>
      <c r="E7" t="s">
        <v>1274</v>
      </c>
      <c r="F7" t="s">
        <v>1275</v>
      </c>
      <c r="G7" t="s">
        <v>1276</v>
      </c>
    </row>
    <row r="8" spans="1:8">
      <c r="A8" t="s">
        <v>1277</v>
      </c>
      <c r="B8" s="1">
        <v>581102</v>
      </c>
      <c r="C8">
        <v>0</v>
      </c>
      <c r="D8">
        <v>0</v>
      </c>
      <c r="E8">
        <v>100</v>
      </c>
      <c r="F8">
        <v>0</v>
      </c>
      <c r="G8">
        <v>0</v>
      </c>
    </row>
    <row r="9" spans="1:8">
      <c r="A9" t="s">
        <v>1278</v>
      </c>
      <c r="B9" s="1">
        <v>611193</v>
      </c>
      <c r="C9">
        <v>0</v>
      </c>
      <c r="D9" s="1">
        <v>13490</v>
      </c>
      <c r="E9">
        <v>97.79</v>
      </c>
      <c r="F9">
        <v>0</v>
      </c>
      <c r="G9">
        <v>2.21</v>
      </c>
      <c r="H9">
        <f>100-G9-F10</f>
        <v>96.14</v>
      </c>
    </row>
    <row r="10" spans="1:8">
      <c r="A10" t="s">
        <v>1279</v>
      </c>
      <c r="B10" s="1">
        <v>596223</v>
      </c>
      <c r="C10" s="1">
        <v>9998</v>
      </c>
      <c r="D10">
        <v>16</v>
      </c>
      <c r="E10">
        <v>98.35</v>
      </c>
      <c r="F10">
        <v>1.65</v>
      </c>
      <c r="G10">
        <v>0</v>
      </c>
    </row>
    <row r="11" spans="1:8">
      <c r="A11" t="s">
        <v>1280</v>
      </c>
      <c r="B11" s="1">
        <v>588573</v>
      </c>
      <c r="C11">
        <v>4</v>
      </c>
      <c r="D11">
        <v>0</v>
      </c>
      <c r="E11">
        <v>100</v>
      </c>
      <c r="F11">
        <v>0</v>
      </c>
      <c r="G11">
        <v>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业务系统调研</vt:lpstr>
      <vt:lpstr>指标需求规格说明书_old</vt:lpstr>
      <vt:lpstr>指标需求规格说明书</vt:lpstr>
      <vt:lpstr>新增</vt:lpstr>
      <vt:lpstr>财务库存周转率_天数算法</vt:lpstr>
      <vt:lpstr>指标现状</vt:lpstr>
      <vt:lpstr>全部指标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fbianco@163.com</dc:creator>
  <cp:lastModifiedBy>fbianco@163.com</cp:lastModifiedBy>
  <dcterms:created xsi:type="dcterms:W3CDTF">2026-07-06T08:33:00Z</dcterms:created>
  <dcterms:modified xsi:type="dcterms:W3CDTF">2026-09-03T08:59:11Z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704C2A4007884A748BA09B13BF0B3F17_13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